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57e9e1dd8273766/Desktop/Projecten/Option Pricing Models/"/>
    </mc:Choice>
  </mc:AlternateContent>
  <xr:revisionPtr revIDLastSave="75598" documentId="13_ncr:1_{D41CA52A-1FF4-4F64-97BD-81B5A03543F3}" xr6:coauthVersionLast="47" xr6:coauthVersionMax="47" xr10:uidLastSave="{5A13C9F9-10B9-490D-8FE5-D06B6E281475}"/>
  <bookViews>
    <workbookView xWindow="-108" yWindow="-108" windowWidth="23256" windowHeight="12456" tabRatio="644" firstSheet="2" activeTab="3" xr2:uid="{F721F893-581A-41D1-A5C9-E2841E3343D1}"/>
  </bookViews>
  <sheets>
    <sheet name="Assumptions &amp; Lists" sheetId="3" state="hidden" r:id="rId1"/>
    <sheet name="Risk Free &amp; Inflation" sheetId="4" state="hidden" r:id="rId2"/>
    <sheet name="Data" sheetId="6" r:id="rId3"/>
    <sheet name="Trader" sheetId="36" r:id="rId4"/>
    <sheet name="Advanced" sheetId="37" state="hidden" r:id="rId5"/>
    <sheet name="PCPar" sheetId="38" state="hidden" r:id="rId6"/>
  </sheets>
  <functionGroups builtInGroupCount="19"/>
  <definedNames>
    <definedName name="auto_process_data">Data!$S$4</definedName>
    <definedName name="BreakEvenStrategy">Trader!$AI$5</definedName>
    <definedName name="contract_plot">Trader!$W$5</definedName>
    <definedName name="contract_range">Trader!$W$4</definedName>
    <definedName name="COPY_TimeSpreadBool">Data!$U$11</definedName>
    <definedName name="DataInput">Data!$C$3</definedName>
    <definedName name="days_yr">'Assumptions &amp; Lists'!$D$3</definedName>
    <definedName name="GreeksTF">Trader!$AF$6</definedName>
    <definedName name="HideContractAnalysis">'Assumptions &amp; Lists'!$D$26</definedName>
    <definedName name="HiDelta">Trader!$AD$7</definedName>
    <definedName name="HideStratAnalysis">'Assumptions &amp; Lists'!$D$27</definedName>
    <definedName name="index_new">Trader!$K$6</definedName>
    <definedName name="inflation">'Assumptions &amp; Lists'!$D$5</definedName>
    <definedName name="LowDelta">Trader!$AD$8</definedName>
    <definedName name="Maturity">Trader!$C$5</definedName>
    <definedName name="MaxLoss">Trader!$AI$4</definedName>
    <definedName name="MaxProfit">Trader!$AI$6</definedName>
    <definedName name="n">Data!$U$8</definedName>
    <definedName name="number_value">Data!$U$9</definedName>
    <definedName name="paste_indicate">Data!$C$2</definedName>
    <definedName name="PlotGreek">Trader!$AF$7</definedName>
    <definedName name="print">Data!$U$10</definedName>
    <definedName name="risk_free">'Risk Free &amp; Inflation'!$AA$7</definedName>
    <definedName name="SearchEffective">'Assumptions &amp; Lists'!$D$30</definedName>
    <definedName name="strategy">Trader!$AD$4</definedName>
    <definedName name="StratSearch">Trader!$AI$8</definedName>
    <definedName name="T_1">Trader!$K$4</definedName>
    <definedName name="T_2">Trader!$K$5</definedName>
    <definedName name="Ticker">Trader!$C$3</definedName>
    <definedName name="TimeSpreadBool">Trader!$K$3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36" l="1"/>
  <c r="U9" i="6" a="1"/>
  <c r="U9" i="6" s="1"/>
  <c r="U11" i="6"/>
  <c r="C4" i="36" a="1"/>
  <c r="C4" i="36" s="1"/>
  <c r="U9" i="4"/>
  <c r="K3" i="4"/>
  <c r="U8" i="36" l="1" a="1"/>
  <c r="U8" i="36" s="1"/>
  <c r="V8" i="36"/>
  <c r="W7" i="36" a="1"/>
  <c r="W7" i="36" l="1"/>
  <c r="L3" i="36" l="1"/>
  <c r="U7" i="6" a="1"/>
  <c r="U7" i="6" l="1"/>
  <c r="C6" i="36"/>
  <c r="D30" i="3" a="1"/>
  <c r="D30" i="3" s="1"/>
  <c r="L3" i="4"/>
  <c r="I4" i="36" a="1"/>
  <c r="I4" i="36" l="1"/>
  <c r="J5" i="38"/>
  <c r="J6" i="38"/>
  <c r="J7" i="38"/>
  <c r="J8" i="38"/>
  <c r="J9" i="38"/>
  <c r="J10" i="38"/>
  <c r="J11" i="38"/>
  <c r="J12" i="38"/>
  <c r="J13" i="38"/>
  <c r="J14" i="38"/>
  <c r="J4" i="38"/>
  <c r="D13" i="38"/>
  <c r="C5" i="38"/>
  <c r="D12" i="38" s="1"/>
  <c r="G8" i="38" a="1"/>
  <c r="H13" i="38" a="1"/>
  <c r="H11" i="38" a="1"/>
  <c r="H8" i="38" a="1"/>
  <c r="H9" i="38" a="1"/>
  <c r="G12" i="38" a="1"/>
  <c r="G4" i="38" a="1"/>
  <c r="H12" i="38" a="1"/>
  <c r="G5" i="38" a="1"/>
  <c r="G7" i="38" a="1"/>
  <c r="H10" i="38" a="1"/>
  <c r="G10" i="38" a="1"/>
  <c r="H7" i="38" a="1"/>
  <c r="H4" i="38" a="1"/>
  <c r="G11" i="38" a="1"/>
  <c r="G9" i="38" a="1"/>
  <c r="G13" i="38" a="1"/>
  <c r="H14" i="38" a="1"/>
  <c r="H5" i="38" a="1"/>
  <c r="G6" i="38" a="1"/>
  <c r="H6" i="38" a="1"/>
  <c r="G14" i="38" a="1"/>
  <c r="H12" i="38" l="1"/>
  <c r="H9" i="38"/>
  <c r="H10" i="38"/>
  <c r="H8" i="38"/>
  <c r="H4" i="38"/>
  <c r="H7" i="38"/>
  <c r="H11" i="38"/>
  <c r="H14" i="38"/>
  <c r="H6" i="38"/>
  <c r="H13" i="38"/>
  <c r="H5" i="38"/>
  <c r="G12" i="38"/>
  <c r="I12" i="38" s="1"/>
  <c r="K12" i="38" s="1"/>
  <c r="G11" i="38"/>
  <c r="I11" i="38" s="1"/>
  <c r="K11" i="38" s="1"/>
  <c r="G10" i="38"/>
  <c r="I10" i="38" s="1"/>
  <c r="K10" i="38" s="1"/>
  <c r="G13" i="38"/>
  <c r="G9" i="38"/>
  <c r="I9" i="38" s="1"/>
  <c r="K9" i="38" s="1"/>
  <c r="G14" i="38"/>
  <c r="G8" i="38"/>
  <c r="G4" i="38"/>
  <c r="G7" i="38"/>
  <c r="G6" i="38"/>
  <c r="G5" i="38"/>
  <c r="I8" i="38" l="1"/>
  <c r="K8" i="38" s="1"/>
  <c r="I6" i="38"/>
  <c r="K6" i="38" s="1"/>
  <c r="I7" i="38"/>
  <c r="K7" i="38" s="1"/>
  <c r="I14" i="38"/>
  <c r="K14" i="38" s="1"/>
  <c r="I5" i="38"/>
  <c r="K5" i="38" s="1"/>
  <c r="I4" i="38"/>
  <c r="K4" i="38" s="1"/>
  <c r="I13" i="38"/>
  <c r="K13" i="38" s="1"/>
  <c r="AE8" i="36"/>
  <c r="K15" i="38" l="1"/>
  <c r="AI9" i="36"/>
  <c r="AC8" i="36"/>
  <c r="AC7" i="36"/>
  <c r="E24" i="3"/>
  <c r="D24" i="3"/>
  <c r="C4" i="37" l="1" a="1"/>
  <c r="C4" i="37" s="1"/>
  <c r="AA8" i="36" l="1"/>
  <c r="Z109" i="37"/>
  <c r="Z108" i="37"/>
  <c r="Z107" i="37"/>
  <c r="Z106" i="37"/>
  <c r="Z105" i="37"/>
  <c r="Z104" i="37"/>
  <c r="Z103" i="37"/>
  <c r="Z102" i="37"/>
  <c r="Z101" i="37"/>
  <c r="Z100" i="37"/>
  <c r="Z99" i="37"/>
  <c r="Z98" i="37"/>
  <c r="Z97" i="37"/>
  <c r="Z96" i="37"/>
  <c r="Z95" i="37"/>
  <c r="Z94" i="37"/>
  <c r="Z93" i="37"/>
  <c r="Z92" i="37"/>
  <c r="Z91" i="37"/>
  <c r="Z90" i="37"/>
  <c r="Z89" i="37"/>
  <c r="Z88" i="37"/>
  <c r="Z87" i="37"/>
  <c r="Z86" i="37"/>
  <c r="Z85" i="37"/>
  <c r="Z84" i="37"/>
  <c r="Z83" i="37"/>
  <c r="Z82" i="37"/>
  <c r="Z81" i="37"/>
  <c r="Z80" i="37"/>
  <c r="Z79" i="37"/>
  <c r="Z78" i="37"/>
  <c r="Z77" i="37"/>
  <c r="Z76" i="37"/>
  <c r="Z75" i="37"/>
  <c r="Z74" i="37"/>
  <c r="Z73" i="37"/>
  <c r="Z72" i="37"/>
  <c r="Z71" i="37"/>
  <c r="Z70" i="37"/>
  <c r="Z69" i="37"/>
  <c r="Z68" i="37"/>
  <c r="Z67" i="37"/>
  <c r="Z66" i="37"/>
  <c r="Z65" i="37"/>
  <c r="Z64" i="37"/>
  <c r="Z63" i="37"/>
  <c r="Z62" i="37"/>
  <c r="Z61" i="37"/>
  <c r="Z60" i="37"/>
  <c r="Z59" i="37"/>
  <c r="Z58" i="37"/>
  <c r="Z57" i="37"/>
  <c r="Z56" i="37"/>
  <c r="Z55" i="37"/>
  <c r="Z54" i="37"/>
  <c r="Z53" i="37"/>
  <c r="Z52" i="37"/>
  <c r="Z51" i="37"/>
  <c r="Z50" i="37"/>
  <c r="Z49" i="37"/>
  <c r="Z48" i="37"/>
  <c r="Z47" i="37"/>
  <c r="Z46" i="37"/>
  <c r="Z45" i="37"/>
  <c r="Z44" i="37"/>
  <c r="Z43" i="37"/>
  <c r="Z42" i="37"/>
  <c r="Z41" i="37"/>
  <c r="Z40" i="37"/>
  <c r="Z39" i="37"/>
  <c r="Z38" i="37"/>
  <c r="Z37" i="37"/>
  <c r="Z36" i="37"/>
  <c r="Z35" i="37"/>
  <c r="Z34" i="37"/>
  <c r="Z33" i="37"/>
  <c r="Z32" i="37"/>
  <c r="Z31" i="37"/>
  <c r="Z30" i="37"/>
  <c r="Z29" i="37"/>
  <c r="Z28" i="37"/>
  <c r="Z27" i="37"/>
  <c r="Z26" i="37"/>
  <c r="Z25" i="37"/>
  <c r="Z24" i="37"/>
  <c r="Z23" i="37"/>
  <c r="Z22" i="37"/>
  <c r="Z21" i="37"/>
  <c r="Z20" i="37"/>
  <c r="Z19" i="37"/>
  <c r="Z18" i="37"/>
  <c r="Z17" i="37"/>
  <c r="Z16" i="37"/>
  <c r="Z15" i="37"/>
  <c r="Z14" i="37"/>
  <c r="Z13" i="37"/>
  <c r="Z12" i="37"/>
  <c r="Z11" i="37"/>
  <c r="Z10" i="37"/>
  <c r="Y7" i="37" a="1"/>
  <c r="Y7" i="37" s="1"/>
  <c r="X7" i="37" a="1"/>
  <c r="X7" i="37" s="1"/>
  <c r="W7" i="37" a="1"/>
  <c r="W7" i="37" s="1"/>
  <c r="V7" i="37" a="1"/>
  <c r="V7" i="37" s="1"/>
  <c r="U7" i="37" a="1"/>
  <c r="U7" i="37" s="1"/>
  <c r="Z5" i="37"/>
  <c r="Z4" i="37"/>
  <c r="W10" i="4"/>
  <c r="W126" i="4" s="1"/>
  <c r="D22" i="3"/>
  <c r="E20" i="3"/>
  <c r="D20" i="3"/>
  <c r="D3" i="3"/>
  <c r="C6" i="4" s="1"/>
  <c r="W162" i="4" l="1"/>
  <c r="W240" i="4"/>
  <c r="C6" i="37"/>
  <c r="W296" i="4"/>
  <c r="W46" i="4"/>
  <c r="W50" i="4"/>
  <c r="W54" i="4"/>
  <c r="W58" i="4"/>
  <c r="W74" i="4"/>
  <c r="W82" i="4"/>
  <c r="W86" i="4"/>
  <c r="W90" i="4"/>
  <c r="W62" i="4"/>
  <c r="W15" i="4"/>
  <c r="W94" i="4"/>
  <c r="W66" i="4"/>
  <c r="W14" i="4"/>
  <c r="W18" i="4"/>
  <c r="W34" i="4"/>
  <c r="W98" i="4"/>
  <c r="W70" i="4"/>
  <c r="W78" i="4"/>
  <c r="W26" i="4"/>
  <c r="W38" i="4"/>
  <c r="W102" i="4"/>
  <c r="W22" i="4"/>
  <c r="W30" i="4"/>
  <c r="W42" i="4"/>
  <c r="W108" i="4"/>
  <c r="W116" i="4"/>
  <c r="W125" i="4"/>
  <c r="W134" i="4"/>
  <c r="W148" i="4"/>
  <c r="W178" i="4"/>
  <c r="W209" i="4"/>
  <c r="W228" i="4"/>
  <c r="W292" i="4"/>
  <c r="W153" i="4"/>
  <c r="W168" i="4"/>
  <c r="W173" i="4"/>
  <c r="W184" i="4"/>
  <c r="W189" i="4"/>
  <c r="W196" i="4"/>
  <c r="W280" i="4"/>
  <c r="W112" i="4"/>
  <c r="W121" i="4"/>
  <c r="W130" i="4"/>
  <c r="W144" i="4"/>
  <c r="W158" i="4"/>
  <c r="W268" i="4"/>
  <c r="W466" i="4"/>
  <c r="U10" i="4"/>
  <c r="U844" i="4" s="1"/>
  <c r="W19" i="4"/>
  <c r="W23" i="4"/>
  <c r="W27" i="4"/>
  <c r="W31" i="4"/>
  <c r="W35" i="4"/>
  <c r="W39" i="4"/>
  <c r="W43" i="4"/>
  <c r="W47" i="4"/>
  <c r="W51" i="4"/>
  <c r="W55" i="4"/>
  <c r="W59" i="4"/>
  <c r="W63" i="4"/>
  <c r="W67" i="4"/>
  <c r="W71" i="4"/>
  <c r="W75" i="4"/>
  <c r="W79" i="4"/>
  <c r="W83" i="4"/>
  <c r="W87" i="4"/>
  <c r="W91" i="4"/>
  <c r="W95" i="4"/>
  <c r="W99" i="4"/>
  <c r="W204" i="4"/>
  <c r="W256" i="4"/>
  <c r="W117" i="4"/>
  <c r="W140" i="4"/>
  <c r="W149" i="4"/>
  <c r="W164" i="4"/>
  <c r="W174" i="4"/>
  <c r="W190" i="4"/>
  <c r="W244" i="4"/>
  <c r="W154" i="4"/>
  <c r="W169" i="4"/>
  <c r="W180" i="4"/>
  <c r="W185" i="4"/>
  <c r="W197" i="4"/>
  <c r="W212" i="4"/>
  <c r="W220" i="4"/>
  <c r="W232" i="4"/>
  <c r="W1311" i="4"/>
  <c r="W1307" i="4"/>
  <c r="W1303" i="4"/>
  <c r="W1299" i="4"/>
  <c r="W1295" i="4"/>
  <c r="W1291" i="4"/>
  <c r="W1287" i="4"/>
  <c r="W1283" i="4"/>
  <c r="W1279" i="4"/>
  <c r="W1275" i="4"/>
  <c r="W1271" i="4"/>
  <c r="W1267" i="4"/>
  <c r="W1263" i="4"/>
  <c r="W1259" i="4"/>
  <c r="W1255" i="4"/>
  <c r="W1251" i="4"/>
  <c r="W1247" i="4"/>
  <c r="W1243" i="4"/>
  <c r="W1239" i="4"/>
  <c r="W1235" i="4"/>
  <c r="W1231" i="4"/>
  <c r="W1227" i="4"/>
  <c r="W1223" i="4"/>
  <c r="W1219" i="4"/>
  <c r="W1215" i="4"/>
  <c r="W1211" i="4"/>
  <c r="W1207" i="4"/>
  <c r="W1203" i="4"/>
  <c r="W1199" i="4"/>
  <c r="W1195" i="4"/>
  <c r="W1191" i="4"/>
  <c r="W1187" i="4"/>
  <c r="W1183" i="4"/>
  <c r="W1179" i="4"/>
  <c r="W1175" i="4"/>
  <c r="W1171" i="4"/>
  <c r="W1167" i="4"/>
  <c r="W1163" i="4"/>
  <c r="W1159" i="4"/>
  <c r="W1155" i="4"/>
  <c r="W1151" i="4"/>
  <c r="W1147" i="4"/>
  <c r="W1143" i="4"/>
  <c r="W1139" i="4"/>
  <c r="W1135" i="4"/>
  <c r="W1131" i="4"/>
  <c r="W1127" i="4"/>
  <c r="W1123" i="4"/>
  <c r="W1119" i="4"/>
  <c r="W1115" i="4"/>
  <c r="W1111" i="4"/>
  <c r="W1107" i="4"/>
  <c r="W1103" i="4"/>
  <c r="W1099" i="4"/>
  <c r="W1095" i="4"/>
  <c r="W1091" i="4"/>
  <c r="W1087" i="4"/>
  <c r="W1083" i="4"/>
  <c r="W1079" i="4"/>
  <c r="W1075" i="4"/>
  <c r="W1071" i="4"/>
  <c r="W1067" i="4"/>
  <c r="W1063" i="4"/>
  <c r="W1059" i="4"/>
  <c r="W1055" i="4"/>
  <c r="W1051" i="4"/>
  <c r="W1047" i="4"/>
  <c r="W1043" i="4"/>
  <c r="W1039" i="4"/>
  <c r="W1035" i="4"/>
  <c r="W1031" i="4"/>
  <c r="W1027" i="4"/>
  <c r="W1023" i="4"/>
  <c r="W1019" i="4"/>
  <c r="W1015" i="4"/>
  <c r="W1011" i="4"/>
  <c r="W1007" i="4"/>
  <c r="W1003" i="4"/>
  <c r="W999" i="4"/>
  <c r="W995" i="4"/>
  <c r="W991" i="4"/>
  <c r="W987" i="4"/>
  <c r="W983" i="4"/>
  <c r="W979" i="4"/>
  <c r="W975" i="4"/>
  <c r="W1310" i="4"/>
  <c r="W1306" i="4"/>
  <c r="W1302" i="4"/>
  <c r="W1298" i="4"/>
  <c r="W1294" i="4"/>
  <c r="W1290" i="4"/>
  <c r="W1286" i="4"/>
  <c r="W1282" i="4"/>
  <c r="W1278" i="4"/>
  <c r="W1274" i="4"/>
  <c r="W1270" i="4"/>
  <c r="W1266" i="4"/>
  <c r="W1262" i="4"/>
  <c r="W1258" i="4"/>
  <c r="W1254" i="4"/>
  <c r="W1250" i="4"/>
  <c r="W1246" i="4"/>
  <c r="W1242" i="4"/>
  <c r="W1238" i="4"/>
  <c r="W1234" i="4"/>
  <c r="W1230" i="4"/>
  <c r="W1226" i="4"/>
  <c r="W1222" i="4"/>
  <c r="W1218" i="4"/>
  <c r="W1214" i="4"/>
  <c r="W1210" i="4"/>
  <c r="W1206" i="4"/>
  <c r="W1202" i="4"/>
  <c r="W1198" i="4"/>
  <c r="W1194" i="4"/>
  <c r="W1190" i="4"/>
  <c r="W1186" i="4"/>
  <c r="W1182" i="4"/>
  <c r="W1178" i="4"/>
  <c r="W1174" i="4"/>
  <c r="W1170" i="4"/>
  <c r="W1166" i="4"/>
  <c r="W1162" i="4"/>
  <c r="W1158" i="4"/>
  <c r="W1154" i="4"/>
  <c r="W1150" i="4"/>
  <c r="W1146" i="4"/>
  <c r="W1142" i="4"/>
  <c r="W1138" i="4"/>
  <c r="W1134" i="4"/>
  <c r="W1130" i="4"/>
  <c r="W1126" i="4"/>
  <c r="W1122" i="4"/>
  <c r="W1118" i="4"/>
  <c r="W1114" i="4"/>
  <c r="W1110" i="4"/>
  <c r="W1106" i="4"/>
  <c r="W1102" i="4"/>
  <c r="W1098" i="4"/>
  <c r="W1094" i="4"/>
  <c r="W1090" i="4"/>
  <c r="W1086" i="4"/>
  <c r="W1082" i="4"/>
  <c r="W1078" i="4"/>
  <c r="W1074" i="4"/>
  <c r="W1070" i="4"/>
  <c r="W1066" i="4"/>
  <c r="W1062" i="4"/>
  <c r="W1058" i="4"/>
  <c r="W1054" i="4"/>
  <c r="W1050" i="4"/>
  <c r="W1046" i="4"/>
  <c r="W1042" i="4"/>
  <c r="W1038" i="4"/>
  <c r="W1034" i="4"/>
  <c r="W1030" i="4"/>
  <c r="W1026" i="4"/>
  <c r="W1022" i="4"/>
  <c r="W1018" i="4"/>
  <c r="W1014" i="4"/>
  <c r="W1010" i="4"/>
  <c r="W1006" i="4"/>
  <c r="W1002" i="4"/>
  <c r="W998" i="4"/>
  <c r="W994" i="4"/>
  <c r="W990" i="4"/>
  <c r="W986" i="4"/>
  <c r="W982" i="4"/>
  <c r="W978" i="4"/>
  <c r="W974" i="4"/>
  <c r="W1309" i="4"/>
  <c r="W1305" i="4"/>
  <c r="W1301" i="4"/>
  <c r="W1297" i="4"/>
  <c r="W1293" i="4"/>
  <c r="W1289" i="4"/>
  <c r="W1285" i="4"/>
  <c r="W1281" i="4"/>
  <c r="W1277" i="4"/>
  <c r="W1273" i="4"/>
  <c r="W1269" i="4"/>
  <c r="W1265" i="4"/>
  <c r="W1261" i="4"/>
  <c r="W1257" i="4"/>
  <c r="W1253" i="4"/>
  <c r="W1249" i="4"/>
  <c r="W1245" i="4"/>
  <c r="W1241" i="4"/>
  <c r="W1237" i="4"/>
  <c r="W1233" i="4"/>
  <c r="W1229" i="4"/>
  <c r="W1225" i="4"/>
  <c r="W1221" i="4"/>
  <c r="W1217" i="4"/>
  <c r="W1213" i="4"/>
  <c r="W1209" i="4"/>
  <c r="W1205" i="4"/>
  <c r="W1201" i="4"/>
  <c r="W1197" i="4"/>
  <c r="W1193" i="4"/>
  <c r="W1189" i="4"/>
  <c r="W1185" i="4"/>
  <c r="W1181" i="4"/>
  <c r="W1177" i="4"/>
  <c r="W1173" i="4"/>
  <c r="W1169" i="4"/>
  <c r="W1165" i="4"/>
  <c r="W1300" i="4"/>
  <c r="W1236" i="4"/>
  <c r="W1188" i="4"/>
  <c r="W1160" i="4"/>
  <c r="W1136" i="4"/>
  <c r="W1116" i="4"/>
  <c r="W1097" i="4"/>
  <c r="W1064" i="4"/>
  <c r="W1296" i="4"/>
  <c r="W1232" i="4"/>
  <c r="W1145" i="4"/>
  <c r="W1088" i="4"/>
  <c r="W1052" i="4"/>
  <c r="W977" i="4"/>
  <c r="W1292" i="4"/>
  <c r="W1228" i="4"/>
  <c r="W1184" i="4"/>
  <c r="W1157" i="4"/>
  <c r="W1124" i="4"/>
  <c r="W1105" i="4"/>
  <c r="W1057" i="4"/>
  <c r="W1040" i="4"/>
  <c r="W1029" i="4"/>
  <c r="W1024" i="4"/>
  <c r="W1013" i="4"/>
  <c r="W1008" i="4"/>
  <c r="W997" i="4"/>
  <c r="W992" i="4"/>
  <c r="W1288" i="4"/>
  <c r="W1224" i="4"/>
  <c r="W1133" i="4"/>
  <c r="W1096" i="4"/>
  <c r="W1077" i="4"/>
  <c r="W1069" i="4"/>
  <c r="W1045" i="4"/>
  <c r="W981" i="4"/>
  <c r="W972" i="4"/>
  <c r="W968" i="4"/>
  <c r="W964" i="4"/>
  <c r="W960" i="4"/>
  <c r="W956" i="4"/>
  <c r="W952" i="4"/>
  <c r="W948" i="4"/>
  <c r="W944" i="4"/>
  <c r="W940" i="4"/>
  <c r="W936" i="4"/>
  <c r="W932" i="4"/>
  <c r="W928" i="4"/>
  <c r="W924" i="4"/>
  <c r="W920" i="4"/>
  <c r="W916" i="4"/>
  <c r="W912" i="4"/>
  <c r="W908" i="4"/>
  <c r="W904" i="4"/>
  <c r="W900" i="4"/>
  <c r="W896" i="4"/>
  <c r="W892" i="4"/>
  <c r="W888" i="4"/>
  <c r="W884" i="4"/>
  <c r="W880" i="4"/>
  <c r="W876" i="4"/>
  <c r="W872" i="4"/>
  <c r="W868" i="4"/>
  <c r="W864" i="4"/>
  <c r="W860" i="4"/>
  <c r="W856" i="4"/>
  <c r="W852" i="4"/>
  <c r="W848" i="4"/>
  <c r="W844" i="4"/>
  <c r="W840" i="4"/>
  <c r="W836" i="4"/>
  <c r="W832" i="4"/>
  <c r="W1284" i="4"/>
  <c r="W1220" i="4"/>
  <c r="W1180" i="4"/>
  <c r="W1144" i="4"/>
  <c r="W1113" i="4"/>
  <c r="W1280" i="4"/>
  <c r="W1216" i="4"/>
  <c r="W1156" i="4"/>
  <c r="W1104" i="4"/>
  <c r="W1085" i="4"/>
  <c r="W976" i="4"/>
  <c r="W1276" i="4"/>
  <c r="W1212" i="4"/>
  <c r="W1176" i="4"/>
  <c r="W1132" i="4"/>
  <c r="W1121" i="4"/>
  <c r="W1076" i="4"/>
  <c r="W1068" i="4"/>
  <c r="W1056" i="4"/>
  <c r="W1033" i="4"/>
  <c r="W1028" i="4"/>
  <c r="W1017" i="4"/>
  <c r="W1012" i="4"/>
  <c r="W1001" i="4"/>
  <c r="W996" i="4"/>
  <c r="W985" i="4"/>
  <c r="W1272" i="4"/>
  <c r="W1208" i="4"/>
  <c r="W1153" i="4"/>
  <c r="W1141" i="4"/>
  <c r="W1112" i="4"/>
  <c r="W1093" i="4"/>
  <c r="W1061" i="4"/>
  <c r="W1044" i="4"/>
  <c r="W980" i="4"/>
  <c r="W971" i="4"/>
  <c r="W967" i="4"/>
  <c r="W963" i="4"/>
  <c r="W959" i="4"/>
  <c r="W955" i="4"/>
  <c r="W951" i="4"/>
  <c r="W947" i="4"/>
  <c r="W943" i="4"/>
  <c r="W939" i="4"/>
  <c r="W935" i="4"/>
  <c r="W931" i="4"/>
  <c r="W927" i="4"/>
  <c r="W923" i="4"/>
  <c r="W919" i="4"/>
  <c r="W915" i="4"/>
  <c r="W911" i="4"/>
  <c r="W907" i="4"/>
  <c r="W903" i="4"/>
  <c r="W899" i="4"/>
  <c r="W895" i="4"/>
  <c r="W891" i="4"/>
  <c r="W1268" i="4"/>
  <c r="W1204" i="4"/>
  <c r="W1172" i="4"/>
  <c r="W1084" i="4"/>
  <c r="W1049" i="4"/>
  <c r="W1264" i="4"/>
  <c r="W1129" i="4"/>
  <c r="W1120" i="4"/>
  <c r="W1101" i="4"/>
  <c r="W1260" i="4"/>
  <c r="W1200" i="4"/>
  <c r="W1168" i="4"/>
  <c r="W1152" i="4"/>
  <c r="W1140" i="4"/>
  <c r="W1092" i="4"/>
  <c r="W1037" i="4"/>
  <c r="W1032" i="4"/>
  <c r="W1021" i="4"/>
  <c r="W1016" i="4"/>
  <c r="W1005" i="4"/>
  <c r="W1000" i="4"/>
  <c r="W989" i="4"/>
  <c r="W984" i="4"/>
  <c r="W1256" i="4"/>
  <c r="W1109" i="4"/>
  <c r="W1073" i="4"/>
  <c r="W1060" i="4"/>
  <c r="W970" i="4"/>
  <c r="W966" i="4"/>
  <c r="W962" i="4"/>
  <c r="W958" i="4"/>
  <c r="W954" i="4"/>
  <c r="W950" i="4"/>
  <c r="W946" i="4"/>
  <c r="W942" i="4"/>
  <c r="W938" i="4"/>
  <c r="W934" i="4"/>
  <c r="W930" i="4"/>
  <c r="W926" i="4"/>
  <c r="W1252" i="4"/>
  <c r="W1196" i="4"/>
  <c r="W1164" i="4"/>
  <c r="W1149" i="4"/>
  <c r="W1128" i="4"/>
  <c r="W1100" i="4"/>
  <c r="W1081" i="4"/>
  <c r="W1065" i="4"/>
  <c r="W1048" i="4"/>
  <c r="W1312" i="4"/>
  <c r="W1248" i="4"/>
  <c r="W1161" i="4"/>
  <c r="W1137" i="4"/>
  <c r="W1117" i="4"/>
  <c r="W1053" i="4"/>
  <c r="W1304" i="4"/>
  <c r="W1240" i="4"/>
  <c r="W1148" i="4"/>
  <c r="W1125" i="4"/>
  <c r="W1080" i="4"/>
  <c r="W937" i="4"/>
  <c r="W917" i="4"/>
  <c r="W843" i="4"/>
  <c r="W824" i="4"/>
  <c r="W807" i="4"/>
  <c r="W790" i="4"/>
  <c r="W773" i="4"/>
  <c r="W760" i="4"/>
  <c r="W1025" i="4"/>
  <c r="W949" i="4"/>
  <c r="W883" i="4"/>
  <c r="W877" i="4"/>
  <c r="W870" i="4"/>
  <c r="W838" i="4"/>
  <c r="W828" i="4"/>
  <c r="W811" i="4"/>
  <c r="W794" i="4"/>
  <c r="W777" i="4"/>
  <c r="W764" i="4"/>
  <c r="W1020" i="4"/>
  <c r="W961" i="4"/>
  <c r="W925" i="4"/>
  <c r="W906" i="4"/>
  <c r="W898" i="4"/>
  <c r="W890" i="4"/>
  <c r="W858" i="4"/>
  <c r="W853" i="4"/>
  <c r="W833" i="4"/>
  <c r="W815" i="4"/>
  <c r="W798" i="4"/>
  <c r="W781" i="4"/>
  <c r="W768" i="4"/>
  <c r="W914" i="4"/>
  <c r="W863" i="4"/>
  <c r="W847" i="4"/>
  <c r="W819" i="4"/>
  <c r="W802" i="4"/>
  <c r="W785" i="4"/>
  <c r="W772" i="4"/>
  <c r="W755" i="4"/>
  <c r="W751" i="4"/>
  <c r="W747" i="4"/>
  <c r="W743" i="4"/>
  <c r="W739" i="4"/>
  <c r="W735" i="4"/>
  <c r="W731" i="4"/>
  <c r="W727" i="4"/>
  <c r="W723" i="4"/>
  <c r="W719" i="4"/>
  <c r="W715" i="4"/>
  <c r="W711" i="4"/>
  <c r="W707" i="4"/>
  <c r="W703" i="4"/>
  <c r="W699" i="4"/>
  <c r="W695" i="4"/>
  <c r="W691" i="4"/>
  <c r="W687" i="4"/>
  <c r="W683" i="4"/>
  <c r="W679" i="4"/>
  <c r="W675" i="4"/>
  <c r="W671" i="4"/>
  <c r="W667" i="4"/>
  <c r="W663" i="4"/>
  <c r="W659" i="4"/>
  <c r="W655" i="4"/>
  <c r="W651" i="4"/>
  <c r="W647" i="4"/>
  <c r="W643" i="4"/>
  <c r="W639" i="4"/>
  <c r="W635" i="4"/>
  <c r="W631" i="4"/>
  <c r="W627" i="4"/>
  <c r="W623" i="4"/>
  <c r="W619" i="4"/>
  <c r="W615" i="4"/>
  <c r="W611" i="4"/>
  <c r="W607" i="4"/>
  <c r="W603" i="4"/>
  <c r="W599" i="4"/>
  <c r="W595" i="4"/>
  <c r="W591" i="4"/>
  <c r="W587" i="4"/>
  <c r="W583" i="4"/>
  <c r="W579" i="4"/>
  <c r="W575" i="4"/>
  <c r="W571" i="4"/>
  <c r="W1009" i="4"/>
  <c r="W882" i="4"/>
  <c r="W875" i="4"/>
  <c r="W842" i="4"/>
  <c r="W823" i="4"/>
  <c r="W806" i="4"/>
  <c r="W789" i="4"/>
  <c r="W776" i="4"/>
  <c r="W759" i="4"/>
  <c r="W1108" i="4"/>
  <c r="W1004" i="4"/>
  <c r="W922" i="4"/>
  <c r="W869" i="4"/>
  <c r="W837" i="4"/>
  <c r="W827" i="4"/>
  <c r="W810" i="4"/>
  <c r="W793" i="4"/>
  <c r="W780" i="4"/>
  <c r="W763" i="4"/>
  <c r="W973" i="4"/>
  <c r="W945" i="4"/>
  <c r="W933" i="4"/>
  <c r="W905" i="4"/>
  <c r="W897" i="4"/>
  <c r="W889" i="4"/>
  <c r="W862" i="4"/>
  <c r="W857" i="4"/>
  <c r="W814" i="4"/>
  <c r="W797" i="4"/>
  <c r="W784" i="4"/>
  <c r="W767" i="4"/>
  <c r="W1089" i="4"/>
  <c r="W957" i="4"/>
  <c r="W913" i="4"/>
  <c r="W874" i="4"/>
  <c r="W851" i="4"/>
  <c r="W846" i="4"/>
  <c r="W831" i="4"/>
  <c r="W818" i="4"/>
  <c r="W801" i="4"/>
  <c r="W788" i="4"/>
  <c r="W771" i="4"/>
  <c r="W754" i="4"/>
  <c r="W750" i="4"/>
  <c r="W746" i="4"/>
  <c r="W742" i="4"/>
  <c r="W738" i="4"/>
  <c r="W734" i="4"/>
  <c r="W730" i="4"/>
  <c r="W726" i="4"/>
  <c r="W722" i="4"/>
  <c r="W718" i="4"/>
  <c r="W714" i="4"/>
  <c r="W710" i="4"/>
  <c r="W706" i="4"/>
  <c r="W702" i="4"/>
  <c r="W698" i="4"/>
  <c r="W694" i="4"/>
  <c r="W690" i="4"/>
  <c r="W686" i="4"/>
  <c r="W682" i="4"/>
  <c r="W678" i="4"/>
  <c r="W887" i="4"/>
  <c r="W881" i="4"/>
  <c r="W867" i="4"/>
  <c r="W841" i="4"/>
  <c r="W822" i="4"/>
  <c r="W805" i="4"/>
  <c r="W792" i="4"/>
  <c r="W775" i="4"/>
  <c r="W758" i="4"/>
  <c r="W1072" i="4"/>
  <c r="W993" i="4"/>
  <c r="W921" i="4"/>
  <c r="W826" i="4"/>
  <c r="W809" i="4"/>
  <c r="W796" i="4"/>
  <c r="W779" i="4"/>
  <c r="W969" i="4"/>
  <c r="W910" i="4"/>
  <c r="W902" i="4"/>
  <c r="W894" i="4"/>
  <c r="W879" i="4"/>
  <c r="W861" i="4"/>
  <c r="W850" i="4"/>
  <c r="W835" i="4"/>
  <c r="W813" i="4"/>
  <c r="W800" i="4"/>
  <c r="W783" i="4"/>
  <c r="W766" i="4"/>
  <c r="W941" i="4"/>
  <c r="W886" i="4"/>
  <c r="W873" i="4"/>
  <c r="W866" i="4"/>
  <c r="W855" i="4"/>
  <c r="W845" i="4"/>
  <c r="W830" i="4"/>
  <c r="W817" i="4"/>
  <c r="W804" i="4"/>
  <c r="W787" i="4"/>
  <c r="W770" i="4"/>
  <c r="W988" i="4"/>
  <c r="W953" i="4"/>
  <c r="W929" i="4"/>
  <c r="W918" i="4"/>
  <c r="W821" i="4"/>
  <c r="W808" i="4"/>
  <c r="W791" i="4"/>
  <c r="W774" i="4"/>
  <c r="W1308" i="4"/>
  <c r="W878" i="4"/>
  <c r="W839" i="4"/>
  <c r="W825" i="4"/>
  <c r="W812" i="4"/>
  <c r="W795" i="4"/>
  <c r="W1192" i="4"/>
  <c r="W1036" i="4"/>
  <c r="W885" i="4"/>
  <c r="W865" i="4"/>
  <c r="W859" i="4"/>
  <c r="W829" i="4"/>
  <c r="W820" i="4"/>
  <c r="W803" i="4"/>
  <c r="W786" i="4"/>
  <c r="W769" i="4"/>
  <c r="W965" i="4"/>
  <c r="W748" i="4"/>
  <c r="W725" i="4"/>
  <c r="W716" i="4"/>
  <c r="W697" i="4"/>
  <c r="W689" i="4"/>
  <c r="W681" i="4"/>
  <c r="W666" i="4"/>
  <c r="W660" i="4"/>
  <c r="W653" i="4"/>
  <c r="W564" i="4"/>
  <c r="W551" i="4"/>
  <c r="W534" i="4"/>
  <c r="W517" i="4"/>
  <c r="W834" i="4"/>
  <c r="W757" i="4"/>
  <c r="W705" i="4"/>
  <c r="W673" i="4"/>
  <c r="W632" i="4"/>
  <c r="W618" i="4"/>
  <c r="W609" i="4"/>
  <c r="W600" i="4"/>
  <c r="W586" i="4"/>
  <c r="W577" i="4"/>
  <c r="W568" i="4"/>
  <c r="W555" i="4"/>
  <c r="W538" i="4"/>
  <c r="W521" i="4"/>
  <c r="W504" i="4"/>
  <c r="W500" i="4"/>
  <c r="W496" i="4"/>
  <c r="W492" i="4"/>
  <c r="W488" i="4"/>
  <c r="W484" i="4"/>
  <c r="W480" i="4"/>
  <c r="W476" i="4"/>
  <c r="W472" i="4"/>
  <c r="W468" i="4"/>
  <c r="W464" i="4"/>
  <c r="W460" i="4"/>
  <c r="W456" i="4"/>
  <c r="W452" i="4"/>
  <c r="W448" i="4"/>
  <c r="W444" i="4"/>
  <c r="W440" i="4"/>
  <c r="W436" i="4"/>
  <c r="W432" i="4"/>
  <c r="W428" i="4"/>
  <c r="W424" i="4"/>
  <c r="W420" i="4"/>
  <c r="W416" i="4"/>
  <c r="W412" i="4"/>
  <c r="W408" i="4"/>
  <c r="W404" i="4"/>
  <c r="W400" i="4"/>
  <c r="W396" i="4"/>
  <c r="W392" i="4"/>
  <c r="W388" i="4"/>
  <c r="W384" i="4"/>
  <c r="W380" i="4"/>
  <c r="W376" i="4"/>
  <c r="W372" i="4"/>
  <c r="W368" i="4"/>
  <c r="W364" i="4"/>
  <c r="W360" i="4"/>
  <c r="W745" i="4"/>
  <c r="W736" i="4"/>
  <c r="W646" i="4"/>
  <c r="W641" i="4"/>
  <c r="W559" i="4"/>
  <c r="W542" i="4"/>
  <c r="W525" i="4"/>
  <c r="W508" i="4"/>
  <c r="W713" i="4"/>
  <c r="W665" i="4"/>
  <c r="W658" i="4"/>
  <c r="W636" i="4"/>
  <c r="W622" i="4"/>
  <c r="W613" i="4"/>
  <c r="W604" i="4"/>
  <c r="W590" i="4"/>
  <c r="W581" i="4"/>
  <c r="W572" i="4"/>
  <c r="W563" i="4"/>
  <c r="W546" i="4"/>
  <c r="W529" i="4"/>
  <c r="W512" i="4"/>
  <c r="W756" i="4"/>
  <c r="W733" i="4"/>
  <c r="W724" i="4"/>
  <c r="W696" i="4"/>
  <c r="W688" i="4"/>
  <c r="W680" i="4"/>
  <c r="W652" i="4"/>
  <c r="W567" i="4"/>
  <c r="W550" i="4"/>
  <c r="W533" i="4"/>
  <c r="W516" i="4"/>
  <c r="W909" i="4"/>
  <c r="W816" i="4"/>
  <c r="W704" i="4"/>
  <c r="W672" i="4"/>
  <c r="W626" i="4"/>
  <c r="W617" i="4"/>
  <c r="W608" i="4"/>
  <c r="W594" i="4"/>
  <c r="W585" i="4"/>
  <c r="W576" i="4"/>
  <c r="W554" i="4"/>
  <c r="W537" i="4"/>
  <c r="W520" i="4"/>
  <c r="W901" i="4"/>
  <c r="W753" i="4"/>
  <c r="W744" i="4"/>
  <c r="W721" i="4"/>
  <c r="W657" i="4"/>
  <c r="W645" i="4"/>
  <c r="W640" i="4"/>
  <c r="W558" i="4"/>
  <c r="W541" i="4"/>
  <c r="W524" i="4"/>
  <c r="W893" i="4"/>
  <c r="W712" i="4"/>
  <c r="W670" i="4"/>
  <c r="W664" i="4"/>
  <c r="W650" i="4"/>
  <c r="W630" i="4"/>
  <c r="W621" i="4"/>
  <c r="W612" i="4"/>
  <c r="W598" i="4"/>
  <c r="W589" i="4"/>
  <c r="W580" i="4"/>
  <c r="W562" i="4"/>
  <c r="W545" i="4"/>
  <c r="W528" i="4"/>
  <c r="W515" i="4"/>
  <c r="W741" i="4"/>
  <c r="W732" i="4"/>
  <c r="W701" i="4"/>
  <c r="W693" i="4"/>
  <c r="W685" i="4"/>
  <c r="W677" i="4"/>
  <c r="W566" i="4"/>
  <c r="W549" i="4"/>
  <c r="W532" i="4"/>
  <c r="W519" i="4"/>
  <c r="W799" i="4"/>
  <c r="W765" i="4"/>
  <c r="W662" i="4"/>
  <c r="W634" i="4"/>
  <c r="W625" i="4"/>
  <c r="W616" i="4"/>
  <c r="W602" i="4"/>
  <c r="W593" i="4"/>
  <c r="W584" i="4"/>
  <c r="W570" i="4"/>
  <c r="W553" i="4"/>
  <c r="W536" i="4"/>
  <c r="W523" i="4"/>
  <c r="W871" i="4"/>
  <c r="W762" i="4"/>
  <c r="W752" i="4"/>
  <c r="W729" i="4"/>
  <c r="W720" i="4"/>
  <c r="W709" i="4"/>
  <c r="W669" i="4"/>
  <c r="W656" i="4"/>
  <c r="W649" i="4"/>
  <c r="W644" i="4"/>
  <c r="W638" i="4"/>
  <c r="W629" i="4"/>
  <c r="W620" i="4"/>
  <c r="W606" i="4"/>
  <c r="W597" i="4"/>
  <c r="W588" i="4"/>
  <c r="W574" i="4"/>
  <c r="W561" i="4"/>
  <c r="W544" i="4"/>
  <c r="W749" i="4"/>
  <c r="W740" i="4"/>
  <c r="W717" i="4"/>
  <c r="W700" i="4"/>
  <c r="W692" i="4"/>
  <c r="W684" i="4"/>
  <c r="W676" i="4"/>
  <c r="W661" i="4"/>
  <c r="W1244" i="4"/>
  <c r="W854" i="4"/>
  <c r="W761" i="4"/>
  <c r="W654" i="4"/>
  <c r="W633" i="4"/>
  <c r="W624" i="4"/>
  <c r="W610" i="4"/>
  <c r="W601" i="4"/>
  <c r="W1041" i="4"/>
  <c r="W849" i="4"/>
  <c r="W782" i="4"/>
  <c r="W737" i="4"/>
  <c r="W728" i="4"/>
  <c r="W708" i="4"/>
  <c r="W674" i="4"/>
  <c r="W668" i="4"/>
  <c r="W648" i="4"/>
  <c r="W642" i="4"/>
  <c r="W560" i="4"/>
  <c r="W531" i="4"/>
  <c r="W510" i="4"/>
  <c r="W471" i="4"/>
  <c r="W377" i="4"/>
  <c r="W628" i="4"/>
  <c r="W573" i="4"/>
  <c r="W557" i="4"/>
  <c r="W502" i="4"/>
  <c r="W495" i="4"/>
  <c r="W489" i="4"/>
  <c r="W477" i="4"/>
  <c r="W459" i="4"/>
  <c r="W454" i="4"/>
  <c r="W449" i="4"/>
  <c r="W443" i="4"/>
  <c r="W438" i="4"/>
  <c r="W433" i="4"/>
  <c r="W427" i="4"/>
  <c r="W422" i="4"/>
  <c r="W413" i="4"/>
  <c r="W399" i="4"/>
  <c r="W390" i="4"/>
  <c r="W381" i="4"/>
  <c r="W482" i="4"/>
  <c r="W465" i="4"/>
  <c r="W543" i="4"/>
  <c r="W518" i="4"/>
  <c r="W494" i="4"/>
  <c r="W470" i="4"/>
  <c r="W417" i="4"/>
  <c r="W403" i="4"/>
  <c r="W394" i="4"/>
  <c r="W385" i="4"/>
  <c r="W359" i="4"/>
  <c r="W355" i="4"/>
  <c r="W351" i="4"/>
  <c r="W347" i="4"/>
  <c r="W343" i="4"/>
  <c r="W339" i="4"/>
  <c r="W335" i="4"/>
  <c r="W331" i="4"/>
  <c r="W327" i="4"/>
  <c r="W323" i="4"/>
  <c r="W319" i="4"/>
  <c r="W315" i="4"/>
  <c r="W311" i="4"/>
  <c r="W307" i="4"/>
  <c r="W303" i="4"/>
  <c r="W299" i="4"/>
  <c r="W295" i="4"/>
  <c r="W291" i="4"/>
  <c r="W287" i="4"/>
  <c r="W283" i="4"/>
  <c r="W279" i="4"/>
  <c r="W275" i="4"/>
  <c r="W271" i="4"/>
  <c r="W267" i="4"/>
  <c r="W263" i="4"/>
  <c r="W259" i="4"/>
  <c r="W255" i="4"/>
  <c r="W251" i="4"/>
  <c r="W247" i="4"/>
  <c r="W243" i="4"/>
  <c r="W239" i="4"/>
  <c r="W235" i="4"/>
  <c r="W231" i="4"/>
  <c r="W227" i="4"/>
  <c r="W223" i="4"/>
  <c r="W219" i="4"/>
  <c r="W215" i="4"/>
  <c r="W211" i="4"/>
  <c r="W207" i="4"/>
  <c r="W203" i="4"/>
  <c r="W199" i="4"/>
  <c r="W195" i="4"/>
  <c r="W191" i="4"/>
  <c r="W187" i="4"/>
  <c r="W183" i="4"/>
  <c r="W179" i="4"/>
  <c r="W175" i="4"/>
  <c r="W171" i="4"/>
  <c r="W167" i="4"/>
  <c r="W163" i="4"/>
  <c r="W159" i="4"/>
  <c r="W155" i="4"/>
  <c r="W151" i="4"/>
  <c r="W147" i="4"/>
  <c r="W143" i="4"/>
  <c r="W139" i="4"/>
  <c r="W135" i="4"/>
  <c r="W131" i="4"/>
  <c r="W127" i="4"/>
  <c r="W123" i="4"/>
  <c r="W119" i="4"/>
  <c r="W115" i="4"/>
  <c r="W111" i="4"/>
  <c r="W107" i="4"/>
  <c r="W103" i="4"/>
  <c r="W614" i="4"/>
  <c r="W569" i="4"/>
  <c r="W556" i="4"/>
  <c r="W530" i="4"/>
  <c r="W509" i="4"/>
  <c r="W487" i="4"/>
  <c r="W363" i="4"/>
  <c r="W540" i="4"/>
  <c r="W527" i="4"/>
  <c r="W501" i="4"/>
  <c r="W475" i="4"/>
  <c r="W458" i="4"/>
  <c r="W453" i="4"/>
  <c r="W447" i="4"/>
  <c r="W442" i="4"/>
  <c r="W437" i="4"/>
  <c r="W431" i="4"/>
  <c r="W426" i="4"/>
  <c r="W421" i="4"/>
  <c r="W407" i="4"/>
  <c r="W398" i="4"/>
  <c r="W389" i="4"/>
  <c r="W367" i="4"/>
  <c r="W507" i="4"/>
  <c r="W481" i="4"/>
  <c r="W463" i="4"/>
  <c r="W371" i="4"/>
  <c r="W605" i="4"/>
  <c r="W582" i="4"/>
  <c r="W539" i="4"/>
  <c r="W493" i="4"/>
  <c r="W486" i="4"/>
  <c r="W469" i="4"/>
  <c r="W411" i="4"/>
  <c r="W402" i="4"/>
  <c r="W393" i="4"/>
  <c r="W375" i="4"/>
  <c r="W358" i="4"/>
  <c r="W354" i="4"/>
  <c r="W350" i="4"/>
  <c r="W346" i="4"/>
  <c r="W342" i="4"/>
  <c r="W338" i="4"/>
  <c r="W334" i="4"/>
  <c r="W330" i="4"/>
  <c r="W326" i="4"/>
  <c r="W322" i="4"/>
  <c r="W318" i="4"/>
  <c r="W314" i="4"/>
  <c r="W310" i="4"/>
  <c r="W306" i="4"/>
  <c r="W302" i="4"/>
  <c r="W298" i="4"/>
  <c r="W294" i="4"/>
  <c r="W290" i="4"/>
  <c r="W286" i="4"/>
  <c r="W282" i="4"/>
  <c r="W278" i="4"/>
  <c r="W274" i="4"/>
  <c r="W270" i="4"/>
  <c r="W266" i="4"/>
  <c r="W262" i="4"/>
  <c r="W258" i="4"/>
  <c r="W254" i="4"/>
  <c r="W250" i="4"/>
  <c r="W246" i="4"/>
  <c r="W242" i="4"/>
  <c r="W238" i="4"/>
  <c r="W234" i="4"/>
  <c r="W230" i="4"/>
  <c r="W226" i="4"/>
  <c r="W222" i="4"/>
  <c r="W218" i="4"/>
  <c r="W214" i="4"/>
  <c r="W210" i="4"/>
  <c r="W206" i="4"/>
  <c r="W202" i="4"/>
  <c r="W198" i="4"/>
  <c r="W194" i="4"/>
  <c r="W565" i="4"/>
  <c r="W552" i="4"/>
  <c r="W506" i="4"/>
  <c r="W499" i="4"/>
  <c r="W474" i="4"/>
  <c r="W379" i="4"/>
  <c r="W362" i="4"/>
  <c r="W526" i="4"/>
  <c r="W514" i="4"/>
  <c r="W462" i="4"/>
  <c r="W457" i="4"/>
  <c r="W451" i="4"/>
  <c r="W446" i="4"/>
  <c r="W441" i="4"/>
  <c r="W435" i="4"/>
  <c r="W430" i="4"/>
  <c r="W425" i="4"/>
  <c r="W415" i="4"/>
  <c r="W406" i="4"/>
  <c r="W397" i="4"/>
  <c r="W383" i="4"/>
  <c r="W366" i="4"/>
  <c r="W578" i="4"/>
  <c r="W498" i="4"/>
  <c r="W491" i="4"/>
  <c r="W479" i="4"/>
  <c r="W370" i="4"/>
  <c r="W535" i="4"/>
  <c r="W485" i="4"/>
  <c r="W467" i="4"/>
  <c r="W419" i="4"/>
  <c r="W410" i="4"/>
  <c r="W401" i="4"/>
  <c r="W387" i="4"/>
  <c r="W374" i="4"/>
  <c r="W357" i="4"/>
  <c r="W353" i="4"/>
  <c r="W349" i="4"/>
  <c r="W345" i="4"/>
  <c r="W341" i="4"/>
  <c r="W337" i="4"/>
  <c r="W333" i="4"/>
  <c r="W329" i="4"/>
  <c r="W325" i="4"/>
  <c r="W321" i="4"/>
  <c r="W317" i="4"/>
  <c r="W313" i="4"/>
  <c r="W309" i="4"/>
  <c r="W305" i="4"/>
  <c r="W301" i="4"/>
  <c r="W297" i="4"/>
  <c r="W293" i="4"/>
  <c r="W289" i="4"/>
  <c r="W285" i="4"/>
  <c r="W281" i="4"/>
  <c r="W277" i="4"/>
  <c r="W273" i="4"/>
  <c r="W269" i="4"/>
  <c r="W265" i="4"/>
  <c r="W261" i="4"/>
  <c r="W257" i="4"/>
  <c r="W253" i="4"/>
  <c r="W249" i="4"/>
  <c r="W245" i="4"/>
  <c r="W241" i="4"/>
  <c r="W237" i="4"/>
  <c r="W233" i="4"/>
  <c r="W229" i="4"/>
  <c r="W225" i="4"/>
  <c r="W221" i="4"/>
  <c r="W217" i="4"/>
  <c r="W596" i="4"/>
  <c r="W548" i="4"/>
  <c r="W505" i="4"/>
  <c r="W473" i="4"/>
  <c r="W378" i="4"/>
  <c r="W361" i="4"/>
  <c r="W592" i="4"/>
  <c r="W513" i="4"/>
  <c r="W490" i="4"/>
  <c r="W478" i="4"/>
  <c r="W461" i="4"/>
  <c r="W455" i="4"/>
  <c r="W450" i="4"/>
  <c r="W445" i="4"/>
  <c r="W439" i="4"/>
  <c r="W434" i="4"/>
  <c r="W429" i="4"/>
  <c r="W423" i="4"/>
  <c r="W414" i="4"/>
  <c r="W405" i="4"/>
  <c r="W391" i="4"/>
  <c r="W382" i="4"/>
  <c r="W365" i="4"/>
  <c r="W778" i="4"/>
  <c r="W637" i="4"/>
  <c r="W547" i="4"/>
  <c r="W511" i="4"/>
  <c r="W503" i="4"/>
  <c r="W483" i="4"/>
  <c r="W418" i="4"/>
  <c r="W409" i="4"/>
  <c r="W395" i="4"/>
  <c r="W386" i="4"/>
  <c r="W373" i="4"/>
  <c r="W356" i="4"/>
  <c r="W352" i="4"/>
  <c r="W348" i="4"/>
  <c r="W344" i="4"/>
  <c r="W340" i="4"/>
  <c r="W336" i="4"/>
  <c r="W332" i="4"/>
  <c r="W328" i="4"/>
  <c r="W324" i="4"/>
  <c r="W320" i="4"/>
  <c r="W316" i="4"/>
  <c r="W312" i="4"/>
  <c r="W308" i="4"/>
  <c r="W304" i="4"/>
  <c r="W300" i="4"/>
  <c r="W104" i="4"/>
  <c r="W113" i="4"/>
  <c r="W122" i="4"/>
  <c r="W136" i="4"/>
  <c r="W145" i="4"/>
  <c r="W284" i="4"/>
  <c r="V9" i="4"/>
  <c r="V10" i="4" s="1"/>
  <c r="Y10" i="4" s="1"/>
  <c r="W16" i="4"/>
  <c r="W20" i="4"/>
  <c r="W24" i="4"/>
  <c r="W28" i="4"/>
  <c r="W32" i="4"/>
  <c r="W36" i="4"/>
  <c r="W40" i="4"/>
  <c r="W44" i="4"/>
  <c r="W48" i="4"/>
  <c r="W52" i="4"/>
  <c r="W56" i="4"/>
  <c r="W60" i="4"/>
  <c r="W64" i="4"/>
  <c r="W68" i="4"/>
  <c r="W72" i="4"/>
  <c r="W76" i="4"/>
  <c r="W80" i="4"/>
  <c r="W84" i="4"/>
  <c r="W88" i="4"/>
  <c r="W92" i="4"/>
  <c r="W96" i="4"/>
  <c r="W100" i="4"/>
  <c r="W160" i="4"/>
  <c r="W205" i="4"/>
  <c r="W272" i="4"/>
  <c r="W497" i="4"/>
  <c r="W109" i="4"/>
  <c r="W118" i="4"/>
  <c r="W132" i="4"/>
  <c r="W141" i="4"/>
  <c r="W150" i="4"/>
  <c r="W165" i="4"/>
  <c r="W170" i="4"/>
  <c r="W186" i="4"/>
  <c r="W192" i="4"/>
  <c r="W260" i="4"/>
  <c r="W176" i="4"/>
  <c r="W181" i="4"/>
  <c r="W213" i="4"/>
  <c r="W248" i="4"/>
  <c r="W105" i="4"/>
  <c r="W114" i="4"/>
  <c r="W128" i="4"/>
  <c r="W137" i="4"/>
  <c r="W146" i="4"/>
  <c r="W156" i="4"/>
  <c r="W200" i="4"/>
  <c r="W236" i="4"/>
  <c r="W522" i="4"/>
  <c r="W17" i="4"/>
  <c r="W21" i="4"/>
  <c r="W25" i="4"/>
  <c r="W29" i="4"/>
  <c r="W33" i="4"/>
  <c r="W37" i="4"/>
  <c r="W41" i="4"/>
  <c r="W45" i="4"/>
  <c r="W49" i="4"/>
  <c r="W53" i="4"/>
  <c r="W57" i="4"/>
  <c r="W61" i="4"/>
  <c r="W65" i="4"/>
  <c r="W69" i="4"/>
  <c r="W73" i="4"/>
  <c r="W77" i="4"/>
  <c r="W81" i="4"/>
  <c r="W85" i="4"/>
  <c r="W89" i="4"/>
  <c r="W93" i="4"/>
  <c r="W97" i="4"/>
  <c r="W101" i="4"/>
  <c r="W161" i="4"/>
  <c r="W224" i="4"/>
  <c r="W288" i="4"/>
  <c r="W12" i="4"/>
  <c r="W110" i="4"/>
  <c r="W124" i="4"/>
  <c r="W133" i="4"/>
  <c r="W142" i="4"/>
  <c r="W166" i="4"/>
  <c r="W182" i="4"/>
  <c r="W193" i="4"/>
  <c r="W208" i="4"/>
  <c r="W276" i="4"/>
  <c r="W13" i="4"/>
  <c r="W152" i="4"/>
  <c r="W172" i="4"/>
  <c r="W177" i="4"/>
  <c r="W188" i="4"/>
  <c r="W264" i="4"/>
  <c r="W106" i="4"/>
  <c r="W120" i="4"/>
  <c r="W129" i="4"/>
  <c r="W138" i="4"/>
  <c r="W157" i="4"/>
  <c r="W201" i="4"/>
  <c r="W216" i="4"/>
  <c r="W252" i="4"/>
  <c r="W369" i="4"/>
  <c r="U70" i="4" l="1"/>
  <c r="U166" i="4"/>
  <c r="U297" i="4"/>
  <c r="U194" i="4"/>
  <c r="U66" i="4"/>
  <c r="U23" i="4"/>
  <c r="U77" i="4"/>
  <c r="U206" i="4"/>
  <c r="U20" i="4"/>
  <c r="U167" i="4"/>
  <c r="U225" i="4"/>
  <c r="U62" i="4"/>
  <c r="U45" i="4"/>
  <c r="U151" i="4"/>
  <c r="U233" i="4"/>
  <c r="U122" i="4"/>
  <c r="U64" i="4"/>
  <c r="U24" i="4"/>
  <c r="U143" i="4"/>
  <c r="U54" i="4"/>
  <c r="U142" i="4"/>
  <c r="U161" i="4"/>
  <c r="U198" i="4"/>
  <c r="U19" i="4"/>
  <c r="U186" i="4"/>
  <c r="U237" i="4"/>
  <c r="U201" i="4"/>
  <c r="U31" i="4"/>
  <c r="U101" i="4"/>
  <c r="U191" i="4"/>
  <c r="U32" i="4"/>
  <c r="U215" i="4"/>
  <c r="U42" i="4"/>
  <c r="U39" i="4"/>
  <c r="U37" i="4"/>
  <c r="U128" i="4"/>
  <c r="U134" i="4"/>
  <c r="U38" i="4"/>
  <c r="U173" i="4"/>
  <c r="U133" i="4"/>
  <c r="U181" i="4"/>
  <c r="U34" i="4"/>
  <c r="U592" i="4"/>
  <c r="U93" i="4"/>
  <c r="U137" i="4"/>
  <c r="U170" i="4"/>
  <c r="U175" i="4"/>
  <c r="U86" i="4"/>
  <c r="U69" i="4"/>
  <c r="U289" i="4"/>
  <c r="U25" i="4"/>
  <c r="U109" i="4"/>
  <c r="U120" i="4"/>
  <c r="U30" i="4"/>
  <c r="U249" i="4"/>
  <c r="U119" i="4"/>
  <c r="U65" i="4"/>
  <c r="U165" i="4"/>
  <c r="U58" i="4"/>
  <c r="U125" i="4"/>
  <c r="U102" i="4"/>
  <c r="U26" i="4"/>
  <c r="U147" i="4"/>
  <c r="U317" i="4"/>
  <c r="U57" i="4"/>
  <c r="U123" i="4"/>
  <c r="U150" i="4"/>
  <c r="U21" i="4"/>
  <c r="U98" i="4"/>
  <c r="U22" i="4"/>
  <c r="U214" i="4"/>
  <c r="U261" i="4"/>
  <c r="U110" i="4"/>
  <c r="U41" i="4"/>
  <c r="U85" i="4"/>
  <c r="U14" i="4"/>
  <c r="U138" i="4"/>
  <c r="U207" i="4"/>
  <c r="U17" i="4"/>
  <c r="U114" i="4"/>
  <c r="U141" i="4"/>
  <c r="U94" i="4"/>
  <c r="U277" i="4"/>
  <c r="U49" i="4"/>
  <c r="U90" i="4"/>
  <c r="U182" i="4"/>
  <c r="U61" i="4"/>
  <c r="U35" i="4"/>
  <c r="U29" i="4"/>
  <c r="U153" i="4"/>
  <c r="U273" i="4"/>
  <c r="U118" i="4"/>
  <c r="U55" i="4"/>
  <c r="U129" i="4"/>
  <c r="U177" i="4"/>
  <c r="U193" i="4"/>
  <c r="U189" i="4"/>
  <c r="U305" i="4"/>
  <c r="U78" i="4"/>
  <c r="U53" i="4"/>
  <c r="U187" i="4"/>
  <c r="U505" i="4"/>
  <c r="U209" i="4"/>
  <c r="U561" i="4"/>
  <c r="U74" i="4"/>
  <c r="U33" i="4"/>
  <c r="U115" i="4"/>
  <c r="U171" i="4"/>
  <c r="U285" i="4"/>
  <c r="U313" i="4"/>
  <c r="U44" i="4"/>
  <c r="U104" i="4"/>
  <c r="U275" i="4"/>
  <c r="U525" i="4"/>
  <c r="U712" i="4"/>
  <c r="U1186" i="4"/>
  <c r="U293" i="4"/>
  <c r="U339" i="4"/>
  <c r="U440" i="4"/>
  <c r="U848" i="4"/>
  <c r="U1250" i="4"/>
  <c r="U583" i="4"/>
  <c r="U504" i="4"/>
  <c r="U962" i="4"/>
  <c r="U1067" i="4"/>
  <c r="U91" i="4"/>
  <c r="U443" i="4"/>
  <c r="U517" i="4"/>
  <c r="U1005" i="4"/>
  <c r="U1131" i="4"/>
  <c r="U152" i="4"/>
  <c r="U547" i="4"/>
  <c r="U1049" i="4"/>
  <c r="U1195" i="4"/>
  <c r="U216" i="4"/>
  <c r="U560" i="4"/>
  <c r="U1033" i="4"/>
  <c r="U1259" i="4"/>
  <c r="U280" i="4"/>
  <c r="U950" i="4"/>
  <c r="U924" i="4"/>
  <c r="U1052" i="4"/>
  <c r="U382" i="4"/>
  <c r="U344" i="4"/>
  <c r="U835" i="4"/>
  <c r="U1113" i="4"/>
  <c r="U1116" i="4"/>
  <c r="U197" i="4"/>
  <c r="U329" i="4"/>
  <c r="U522" i="4"/>
  <c r="U758" i="4"/>
  <c r="U1133" i="4"/>
  <c r="U1180" i="4"/>
  <c r="U548" i="4"/>
  <c r="U683" i="4"/>
  <c r="U874" i="4"/>
  <c r="U853" i="4"/>
  <c r="U1244" i="4"/>
  <c r="U451" i="4"/>
  <c r="U602" i="4"/>
  <c r="U763" i="4"/>
  <c r="U917" i="4"/>
  <c r="U1308" i="4"/>
  <c r="U234" i="4"/>
  <c r="U515" i="4"/>
  <c r="U806" i="4"/>
  <c r="U1046" i="4"/>
  <c r="U88" i="4"/>
  <c r="U298" i="4"/>
  <c r="U580" i="4"/>
  <c r="U747" i="4"/>
  <c r="U1165" i="4"/>
  <c r="U76" i="4"/>
  <c r="U375" i="4"/>
  <c r="U487" i="4"/>
  <c r="U815" i="4"/>
  <c r="U1229" i="4"/>
  <c r="U384" i="4"/>
  <c r="U742" i="4"/>
  <c r="U870" i="4"/>
  <c r="U1293" i="4"/>
  <c r="U211" i="4"/>
  <c r="U566" i="4"/>
  <c r="U563" i="4"/>
  <c r="U648" i="4"/>
  <c r="U1122" i="4"/>
  <c r="U72" i="4"/>
  <c r="U159" i="4"/>
  <c r="U190" i="4"/>
  <c r="U391" i="4"/>
  <c r="U333" i="4"/>
  <c r="U370" i="4"/>
  <c r="U457" i="4"/>
  <c r="U238" i="4"/>
  <c r="U302" i="4"/>
  <c r="U388" i="4"/>
  <c r="U389" i="4"/>
  <c r="U363" i="4"/>
  <c r="U279" i="4"/>
  <c r="U343" i="4"/>
  <c r="U610" i="4"/>
  <c r="U449" i="4"/>
  <c r="U156" i="4"/>
  <c r="U220" i="4"/>
  <c r="U284" i="4"/>
  <c r="U348" i="4"/>
  <c r="U633" i="4"/>
  <c r="U691" i="4"/>
  <c r="U611" i="4"/>
  <c r="U532" i="4"/>
  <c r="U612" i="4"/>
  <c r="U491" i="4"/>
  <c r="U808" i="4"/>
  <c r="U581" i="4"/>
  <c r="U542" i="4"/>
  <c r="U444" i="4"/>
  <c r="U508" i="4"/>
  <c r="U534" i="4"/>
  <c r="U564" i="4"/>
  <c r="U596" i="4"/>
  <c r="U963" i="4"/>
  <c r="U850" i="4"/>
  <c r="U775" i="4"/>
  <c r="U880" i="4"/>
  <c r="U780" i="4"/>
  <c r="U823" i="4"/>
  <c r="U751" i="4"/>
  <c r="U858" i="4"/>
  <c r="U876" i="4"/>
  <c r="U652" i="4"/>
  <c r="U716" i="4"/>
  <c r="U864" i="4"/>
  <c r="U980" i="4"/>
  <c r="U1010" i="4"/>
  <c r="U1066" i="4"/>
  <c r="U1038" i="4"/>
  <c r="U928" i="4"/>
  <c r="U986" i="4"/>
  <c r="U977" i="4"/>
  <c r="U857" i="4"/>
  <c r="U921" i="4"/>
  <c r="U1070" i="4"/>
  <c r="U1169" i="4"/>
  <c r="U1233" i="4"/>
  <c r="U1297" i="4"/>
  <c r="U1126" i="4"/>
  <c r="U1190" i="4"/>
  <c r="U1254" i="4"/>
  <c r="U1071" i="4"/>
  <c r="U1135" i="4"/>
  <c r="U1199" i="4"/>
  <c r="U1263" i="4"/>
  <c r="U1056" i="4"/>
  <c r="U1120" i="4"/>
  <c r="U1184" i="4"/>
  <c r="U1248" i="4"/>
  <c r="U1312" i="4"/>
  <c r="U87" i="4"/>
  <c r="U202" i="4"/>
  <c r="U68" i="4"/>
  <c r="U185" i="4"/>
  <c r="U229" i="4"/>
  <c r="U400" i="4"/>
  <c r="U337" i="4"/>
  <c r="U498" i="4"/>
  <c r="U462" i="4"/>
  <c r="U242" i="4"/>
  <c r="U306" i="4"/>
  <c r="U393" i="4"/>
  <c r="U398" i="4"/>
  <c r="U380" i="4"/>
  <c r="U283" i="4"/>
  <c r="U347" i="4"/>
  <c r="U706" i="4"/>
  <c r="U454" i="4"/>
  <c r="U160" i="4"/>
  <c r="U224" i="4"/>
  <c r="U288" i="4"/>
  <c r="U352" i="4"/>
  <c r="U624" i="4"/>
  <c r="U699" i="4"/>
  <c r="U625" i="4"/>
  <c r="U545" i="4"/>
  <c r="U645" i="4"/>
  <c r="U495" i="4"/>
  <c r="U520" i="4"/>
  <c r="U590" i="4"/>
  <c r="U559" i="4"/>
  <c r="U448" i="4"/>
  <c r="U521" i="4"/>
  <c r="U551" i="4"/>
  <c r="U573" i="4"/>
  <c r="U628" i="4"/>
  <c r="U787" i="4"/>
  <c r="U855" i="4"/>
  <c r="U792" i="4"/>
  <c r="U887" i="4"/>
  <c r="U797" i="4"/>
  <c r="U842" i="4"/>
  <c r="U755" i="4"/>
  <c r="U863" i="4"/>
  <c r="U923" i="4"/>
  <c r="U656" i="4"/>
  <c r="U720" i="4"/>
  <c r="U915" i="4"/>
  <c r="U1031" i="4"/>
  <c r="U1016" i="4"/>
  <c r="U1101" i="4"/>
  <c r="U1093" i="4"/>
  <c r="U932" i="4"/>
  <c r="U992" i="4"/>
  <c r="U1063" i="4"/>
  <c r="U861" i="4"/>
  <c r="U925" i="4"/>
  <c r="U1097" i="4"/>
  <c r="U1173" i="4"/>
  <c r="U1237" i="4"/>
  <c r="U1301" i="4"/>
  <c r="U1130" i="4"/>
  <c r="U1194" i="4"/>
  <c r="U1258" i="4"/>
  <c r="U1075" i="4"/>
  <c r="U1139" i="4"/>
  <c r="U1203" i="4"/>
  <c r="U1267" i="4"/>
  <c r="U1060" i="4"/>
  <c r="U1124" i="4"/>
  <c r="U1188" i="4"/>
  <c r="U1252" i="4"/>
  <c r="U83" i="4"/>
  <c r="U195" i="4"/>
  <c r="U205" i="4"/>
  <c r="U56" i="4"/>
  <c r="U145" i="4"/>
  <c r="U174" i="4"/>
  <c r="U210" i="4"/>
  <c r="U405" i="4"/>
  <c r="U341" i="4"/>
  <c r="U523" i="4"/>
  <c r="U514" i="4"/>
  <c r="U246" i="4"/>
  <c r="U310" i="4"/>
  <c r="U402" i="4"/>
  <c r="U407" i="4"/>
  <c r="U569" i="4"/>
  <c r="U287" i="4"/>
  <c r="U351" i="4"/>
  <c r="U372" i="4"/>
  <c r="U459" i="4"/>
  <c r="U164" i="4"/>
  <c r="U228" i="4"/>
  <c r="U292" i="4"/>
  <c r="U356" i="4"/>
  <c r="U654" i="4"/>
  <c r="U738" i="4"/>
  <c r="U634" i="4"/>
  <c r="U562" i="4"/>
  <c r="U650" i="4"/>
  <c r="U499" i="4"/>
  <c r="U533" i="4"/>
  <c r="U599" i="4"/>
  <c r="U572" i="4"/>
  <c r="U452" i="4"/>
  <c r="U538" i="4"/>
  <c r="U568" i="4"/>
  <c r="U582" i="4"/>
  <c r="U642" i="4"/>
  <c r="U804" i="4"/>
  <c r="U894" i="4"/>
  <c r="U809" i="4"/>
  <c r="U942" i="4"/>
  <c r="U810" i="4"/>
  <c r="U882" i="4"/>
  <c r="U772" i="4"/>
  <c r="U890" i="4"/>
  <c r="U959" i="4"/>
  <c r="U660" i="4"/>
  <c r="U724" i="4"/>
  <c r="U935" i="4"/>
  <c r="U1161" i="4"/>
  <c r="U1021" i="4"/>
  <c r="U1129" i="4"/>
  <c r="U1141" i="4"/>
  <c r="U936" i="4"/>
  <c r="U997" i="4"/>
  <c r="U1105" i="4"/>
  <c r="U865" i="4"/>
  <c r="U929" i="4"/>
  <c r="U988" i="4"/>
  <c r="U1177" i="4"/>
  <c r="U1241" i="4"/>
  <c r="U1305" i="4"/>
  <c r="U1134" i="4"/>
  <c r="U1198" i="4"/>
  <c r="U1262" i="4"/>
  <c r="U1079" i="4"/>
  <c r="U1143" i="4"/>
  <c r="U1207" i="4"/>
  <c r="U1271" i="4"/>
  <c r="U1064" i="4"/>
  <c r="U1128" i="4"/>
  <c r="U1192" i="4"/>
  <c r="U1256" i="4"/>
  <c r="U241" i="4"/>
  <c r="U79" i="4"/>
  <c r="V1311" i="4"/>
  <c r="V1307" i="4"/>
  <c r="V1303" i="4"/>
  <c r="V1299" i="4"/>
  <c r="V1295" i="4"/>
  <c r="V1291" i="4"/>
  <c r="V1287" i="4"/>
  <c r="V1283" i="4"/>
  <c r="V1279" i="4"/>
  <c r="V1275" i="4"/>
  <c r="V1271" i="4"/>
  <c r="V1267" i="4"/>
  <c r="V1263" i="4"/>
  <c r="V1259" i="4"/>
  <c r="V1255" i="4"/>
  <c r="V1251" i="4"/>
  <c r="V1247" i="4"/>
  <c r="V1243" i="4"/>
  <c r="V1239" i="4"/>
  <c r="V1235" i="4"/>
  <c r="V1231" i="4"/>
  <c r="V1227" i="4"/>
  <c r="V1223" i="4"/>
  <c r="V1219" i="4"/>
  <c r="V1215" i="4"/>
  <c r="V1211" i="4"/>
  <c r="V1207" i="4"/>
  <c r="V1203" i="4"/>
  <c r="V1199" i="4"/>
  <c r="V1195" i="4"/>
  <c r="V1191" i="4"/>
  <c r="V1187" i="4"/>
  <c r="V1183" i="4"/>
  <c r="V1179" i="4"/>
  <c r="V1175" i="4"/>
  <c r="V1171" i="4"/>
  <c r="V1167" i="4"/>
  <c r="V1163" i="4"/>
  <c r="V1159" i="4"/>
  <c r="V1155" i="4"/>
  <c r="V1151" i="4"/>
  <c r="V1147" i="4"/>
  <c r="V1143" i="4"/>
  <c r="V1139" i="4"/>
  <c r="V1135" i="4"/>
  <c r="V1131" i="4"/>
  <c r="V1127" i="4"/>
  <c r="V1123" i="4"/>
  <c r="V1119" i="4"/>
  <c r="V1115" i="4"/>
  <c r="V1111" i="4"/>
  <c r="V1107" i="4"/>
  <c r="V1103" i="4"/>
  <c r="V1099" i="4"/>
  <c r="V1095" i="4"/>
  <c r="V1091" i="4"/>
  <c r="V1087" i="4"/>
  <c r="V1083" i="4"/>
  <c r="V1079" i="4"/>
  <c r="V1075" i="4"/>
  <c r="V1071" i="4"/>
  <c r="V1067" i="4"/>
  <c r="V1063" i="4"/>
  <c r="V1059" i="4"/>
  <c r="V1055" i="4"/>
  <c r="V1051" i="4"/>
  <c r="V1047" i="4"/>
  <c r="V1043" i="4"/>
  <c r="V1039" i="4"/>
  <c r="V1035" i="4"/>
  <c r="V1031" i="4"/>
  <c r="V1027" i="4"/>
  <c r="V1023" i="4"/>
  <c r="V1019" i="4"/>
  <c r="V1015" i="4"/>
  <c r="V1011" i="4"/>
  <c r="V1007" i="4"/>
  <c r="V1003" i="4"/>
  <c r="V999" i="4"/>
  <c r="V995" i="4"/>
  <c r="V991" i="4"/>
  <c r="V987" i="4"/>
  <c r="V1310" i="4"/>
  <c r="V1306" i="4"/>
  <c r="V1302" i="4"/>
  <c r="V1298" i="4"/>
  <c r="V1294" i="4"/>
  <c r="V1290" i="4"/>
  <c r="V1286" i="4"/>
  <c r="V1282" i="4"/>
  <c r="V1278" i="4"/>
  <c r="V1274" i="4"/>
  <c r="V1270" i="4"/>
  <c r="V1266" i="4"/>
  <c r="V1262" i="4"/>
  <c r="V1258" i="4"/>
  <c r="V1254" i="4"/>
  <c r="V1250" i="4"/>
  <c r="V1246" i="4"/>
  <c r="V1242" i="4"/>
  <c r="V1238" i="4"/>
  <c r="V1234" i="4"/>
  <c r="V1230" i="4"/>
  <c r="V1226" i="4"/>
  <c r="V1222" i="4"/>
  <c r="V1218" i="4"/>
  <c r="V1214" i="4"/>
  <c r="V1210" i="4"/>
  <c r="V1206" i="4"/>
  <c r="V1202" i="4"/>
  <c r="V1198" i="4"/>
  <c r="V1194" i="4"/>
  <c r="V1190" i="4"/>
  <c r="V1186" i="4"/>
  <c r="X1186" i="4" s="1"/>
  <c r="V1182" i="4"/>
  <c r="V1178" i="4"/>
  <c r="V1174" i="4"/>
  <c r="V1170" i="4"/>
  <c r="V1166" i="4"/>
  <c r="V1162" i="4"/>
  <c r="V1158" i="4"/>
  <c r="V1154" i="4"/>
  <c r="V1150" i="4"/>
  <c r="V1146" i="4"/>
  <c r="V1142" i="4"/>
  <c r="V1138" i="4"/>
  <c r="V1134" i="4"/>
  <c r="V1130" i="4"/>
  <c r="V1126" i="4"/>
  <c r="V1122" i="4"/>
  <c r="V1118" i="4"/>
  <c r="V1114" i="4"/>
  <c r="V1110" i="4"/>
  <c r="V1106" i="4"/>
  <c r="V1102" i="4"/>
  <c r="V1098" i="4"/>
  <c r="V1094" i="4"/>
  <c r="V1090" i="4"/>
  <c r="V1086" i="4"/>
  <c r="V1082" i="4"/>
  <c r="V1078" i="4"/>
  <c r="V1074" i="4"/>
  <c r="V1070" i="4"/>
  <c r="V1066" i="4"/>
  <c r="V1062" i="4"/>
  <c r="V1058" i="4"/>
  <c r="V1054" i="4"/>
  <c r="V1050" i="4"/>
  <c r="V1046" i="4"/>
  <c r="V1042" i="4"/>
  <c r="V1038" i="4"/>
  <c r="V1034" i="4"/>
  <c r="V1030" i="4"/>
  <c r="V1026" i="4"/>
  <c r="V1022" i="4"/>
  <c r="V1018" i="4"/>
  <c r="V1014" i="4"/>
  <c r="V1010" i="4"/>
  <c r="V1006" i="4"/>
  <c r="V1002" i="4"/>
  <c r="V998" i="4"/>
  <c r="V994" i="4"/>
  <c r="V990" i="4"/>
  <c r="V986" i="4"/>
  <c r="V982" i="4"/>
  <c r="V1309" i="4"/>
  <c r="V1305" i="4"/>
  <c r="V1301" i="4"/>
  <c r="V1297" i="4"/>
  <c r="V1293" i="4"/>
  <c r="V1289" i="4"/>
  <c r="V1285" i="4"/>
  <c r="V1281" i="4"/>
  <c r="V1277" i="4"/>
  <c r="V1273" i="4"/>
  <c r="V1269" i="4"/>
  <c r="V1265" i="4"/>
  <c r="V1261" i="4"/>
  <c r="V1257" i="4"/>
  <c r="V1253" i="4"/>
  <c r="V1249" i="4"/>
  <c r="V1245" i="4"/>
  <c r="V1241" i="4"/>
  <c r="V1237" i="4"/>
  <c r="V1233" i="4"/>
  <c r="V1229" i="4"/>
  <c r="V1225" i="4"/>
  <c r="V1221" i="4"/>
  <c r="V1217" i="4"/>
  <c r="V1213" i="4"/>
  <c r="V1209" i="4"/>
  <c r="V1205" i="4"/>
  <c r="V1201" i="4"/>
  <c r="V1197" i="4"/>
  <c r="V1193" i="4"/>
  <c r="V1189" i="4"/>
  <c r="V1185" i="4"/>
  <c r="V1181" i="4"/>
  <c r="V1177" i="4"/>
  <c r="V1173" i="4"/>
  <c r="V1169" i="4"/>
  <c r="V1165" i="4"/>
  <c r="V1161" i="4"/>
  <c r="V1157" i="4"/>
  <c r="V1153" i="4"/>
  <c r="V1149" i="4"/>
  <c r="V1145" i="4"/>
  <c r="V1141" i="4"/>
  <c r="V1137" i="4"/>
  <c r="V1133" i="4"/>
  <c r="V1129" i="4"/>
  <c r="V1125" i="4"/>
  <c r="V1121" i="4"/>
  <c r="V1117" i="4"/>
  <c r="V1113" i="4"/>
  <c r="V1109" i="4"/>
  <c r="V1105" i="4"/>
  <c r="V1101" i="4"/>
  <c r="V1097" i="4"/>
  <c r="V1093" i="4"/>
  <c r="V1089" i="4"/>
  <c r="V1085" i="4"/>
  <c r="V1081" i="4"/>
  <c r="V1077" i="4"/>
  <c r="V1073" i="4"/>
  <c r="V1069" i="4"/>
  <c r="V1312" i="4"/>
  <c r="V1308" i="4"/>
  <c r="V1304" i="4"/>
  <c r="V1300" i="4"/>
  <c r="V1296" i="4"/>
  <c r="V1292" i="4"/>
  <c r="V1288" i="4"/>
  <c r="V1284" i="4"/>
  <c r="V1280" i="4"/>
  <c r="V1276" i="4"/>
  <c r="V1272" i="4"/>
  <c r="V1268" i="4"/>
  <c r="V1264" i="4"/>
  <c r="V1260" i="4"/>
  <c r="V1256" i="4"/>
  <c r="V1252" i="4"/>
  <c r="V1248" i="4"/>
  <c r="V1244" i="4"/>
  <c r="V1240" i="4"/>
  <c r="V1236" i="4"/>
  <c r="V1232" i="4"/>
  <c r="V1228" i="4"/>
  <c r="V1224" i="4"/>
  <c r="V1220" i="4"/>
  <c r="V1216" i="4"/>
  <c r="V1212" i="4"/>
  <c r="V1208" i="4"/>
  <c r="V1204" i="4"/>
  <c r="V1200" i="4"/>
  <c r="V1196" i="4"/>
  <c r="V1192" i="4"/>
  <c r="V1188" i="4"/>
  <c r="V1184" i="4"/>
  <c r="V1180" i="4"/>
  <c r="V1176" i="4"/>
  <c r="V1172" i="4"/>
  <c r="V1168" i="4"/>
  <c r="V1164" i="4"/>
  <c r="V1148" i="4"/>
  <c r="V1080" i="4"/>
  <c r="V973" i="4"/>
  <c r="V969" i="4"/>
  <c r="V965" i="4"/>
  <c r="V961" i="4"/>
  <c r="V957" i="4"/>
  <c r="V953" i="4"/>
  <c r="V949" i="4"/>
  <c r="V945" i="4"/>
  <c r="V941" i="4"/>
  <c r="V937" i="4"/>
  <c r="V933" i="4"/>
  <c r="V929" i="4"/>
  <c r="V925" i="4"/>
  <c r="V921" i="4"/>
  <c r="V917" i="4"/>
  <c r="V913" i="4"/>
  <c r="V909" i="4"/>
  <c r="V905" i="4"/>
  <c r="V901" i="4"/>
  <c r="V897" i="4"/>
  <c r="V893" i="4"/>
  <c r="V889" i="4"/>
  <c r="V885" i="4"/>
  <c r="V881" i="4"/>
  <c r="V877" i="4"/>
  <c r="V873" i="4"/>
  <c r="V869" i="4"/>
  <c r="V865" i="4"/>
  <c r="V861" i="4"/>
  <c r="V857" i="4"/>
  <c r="V853" i="4"/>
  <c r="V849" i="4"/>
  <c r="V845" i="4"/>
  <c r="V841" i="4"/>
  <c r="V837" i="4"/>
  <c r="V833" i="4"/>
  <c r="V829" i="4"/>
  <c r="V825" i="4"/>
  <c r="V821" i="4"/>
  <c r="V817" i="4"/>
  <c r="V813" i="4"/>
  <c r="V809" i="4"/>
  <c r="V805" i="4"/>
  <c r="V801" i="4"/>
  <c r="V797" i="4"/>
  <c r="V793" i="4"/>
  <c r="V789" i="4"/>
  <c r="V785" i="4"/>
  <c r="V781" i="4"/>
  <c r="V777" i="4"/>
  <c r="V773" i="4"/>
  <c r="V769" i="4"/>
  <c r="V765" i="4"/>
  <c r="V761" i="4"/>
  <c r="V757" i="4"/>
  <c r="V1160" i="4"/>
  <c r="V1136" i="4"/>
  <c r="V1116" i="4"/>
  <c r="V1064" i="4"/>
  <c r="V1088" i="4"/>
  <c r="V1052" i="4"/>
  <c r="V977" i="4"/>
  <c r="V1124" i="4"/>
  <c r="V1057" i="4"/>
  <c r="V1040" i="4"/>
  <c r="V1029" i="4"/>
  <c r="V1024" i="4"/>
  <c r="V1013" i="4"/>
  <c r="V1008" i="4"/>
  <c r="V997" i="4"/>
  <c r="V992" i="4"/>
  <c r="V1096" i="4"/>
  <c r="V1045" i="4"/>
  <c r="V981" i="4"/>
  <c r="V972" i="4"/>
  <c r="V968" i="4"/>
  <c r="V964" i="4"/>
  <c r="V960" i="4"/>
  <c r="V956" i="4"/>
  <c r="V952" i="4"/>
  <c r="V948" i="4"/>
  <c r="V944" i="4"/>
  <c r="V940" i="4"/>
  <c r="V936" i="4"/>
  <c r="V932" i="4"/>
  <c r="V928" i="4"/>
  <c r="V924" i="4"/>
  <c r="V920" i="4"/>
  <c r="V916" i="4"/>
  <c r="V912" i="4"/>
  <c r="V908" i="4"/>
  <c r="V904" i="4"/>
  <c r="V900" i="4"/>
  <c r="V896" i="4"/>
  <c r="V892" i="4"/>
  <c r="V888" i="4"/>
  <c r="V884" i="4"/>
  <c r="V880" i="4"/>
  <c r="V1144" i="4"/>
  <c r="V1156" i="4"/>
  <c r="V1104" i="4"/>
  <c r="V976" i="4"/>
  <c r="V1132" i="4"/>
  <c r="V1076" i="4"/>
  <c r="V1068" i="4"/>
  <c r="V1056" i="4"/>
  <c r="V1033" i="4"/>
  <c r="V1028" i="4"/>
  <c r="V1017" i="4"/>
  <c r="V1012" i="4"/>
  <c r="V1001" i="4"/>
  <c r="V996" i="4"/>
  <c r="V985" i="4"/>
  <c r="V1112" i="4"/>
  <c r="V1061" i="4"/>
  <c r="V1044" i="4"/>
  <c r="V980" i="4"/>
  <c r="V971" i="4"/>
  <c r="V967" i="4"/>
  <c r="V963" i="4"/>
  <c r="V959" i="4"/>
  <c r="V955" i="4"/>
  <c r="V951" i="4"/>
  <c r="V947" i="4"/>
  <c r="V943" i="4"/>
  <c r="V939" i="4"/>
  <c r="V935" i="4"/>
  <c r="V931" i="4"/>
  <c r="V927" i="4"/>
  <c r="V923" i="4"/>
  <c r="V919" i="4"/>
  <c r="V915" i="4"/>
  <c r="V911" i="4"/>
  <c r="V907" i="4"/>
  <c r="V903" i="4"/>
  <c r="V899" i="4"/>
  <c r="V895" i="4"/>
  <c r="V891" i="4"/>
  <c r="V887" i="4"/>
  <c r="V883" i="4"/>
  <c r="V879" i="4"/>
  <c r="V875" i="4"/>
  <c r="V871" i="4"/>
  <c r="V867" i="4"/>
  <c r="V863" i="4"/>
  <c r="V859" i="4"/>
  <c r="V855" i="4"/>
  <c r="V851" i="4"/>
  <c r="V1084" i="4"/>
  <c r="V1049" i="4"/>
  <c r="V1120" i="4"/>
  <c r="V1152" i="4"/>
  <c r="V1140" i="4"/>
  <c r="V1092" i="4"/>
  <c r="V1037" i="4"/>
  <c r="V1032" i="4"/>
  <c r="V1021" i="4"/>
  <c r="V1016" i="4"/>
  <c r="V1005" i="4"/>
  <c r="V1000" i="4"/>
  <c r="V989" i="4"/>
  <c r="V984" i="4"/>
  <c r="V979" i="4"/>
  <c r="V1060" i="4"/>
  <c r="V974" i="4"/>
  <c r="V970" i="4"/>
  <c r="V966" i="4"/>
  <c r="V962" i="4"/>
  <c r="V1128" i="4"/>
  <c r="V1100" i="4"/>
  <c r="V1065" i="4"/>
  <c r="V1048" i="4"/>
  <c r="V1108" i="4"/>
  <c r="V1072" i="4"/>
  <c r="V1041" i="4"/>
  <c r="V1036" i="4"/>
  <c r="V1025" i="4"/>
  <c r="V1020" i="4"/>
  <c r="V1009" i="4"/>
  <c r="V1004" i="4"/>
  <c r="V993" i="4"/>
  <c r="V988" i="4"/>
  <c r="V864" i="4"/>
  <c r="V848" i="4"/>
  <c r="V820" i="4"/>
  <c r="V803" i="4"/>
  <c r="V786" i="4"/>
  <c r="V756" i="4"/>
  <c r="V752" i="4"/>
  <c r="V748" i="4"/>
  <c r="V744" i="4"/>
  <c r="V740" i="4"/>
  <c r="V736" i="4"/>
  <c r="V732" i="4"/>
  <c r="V728" i="4"/>
  <c r="V724" i="4"/>
  <c r="V720" i="4"/>
  <c r="V716" i="4"/>
  <c r="V712" i="4"/>
  <c r="X712" i="4" s="1"/>
  <c r="V708" i="4"/>
  <c r="V704" i="4"/>
  <c r="V700" i="4"/>
  <c r="V696" i="4"/>
  <c r="V692" i="4"/>
  <c r="V688" i="4"/>
  <c r="V684" i="4"/>
  <c r="V680" i="4"/>
  <c r="V676" i="4"/>
  <c r="V672" i="4"/>
  <c r="V668" i="4"/>
  <c r="V664" i="4"/>
  <c r="V660" i="4"/>
  <c r="V656" i="4"/>
  <c r="V652" i="4"/>
  <c r="V648" i="4"/>
  <c r="V644" i="4"/>
  <c r="V640" i="4"/>
  <c r="V636" i="4"/>
  <c r="V632" i="4"/>
  <c r="V628" i="4"/>
  <c r="V624" i="4"/>
  <c r="V620" i="4"/>
  <c r="V616" i="4"/>
  <c r="V612" i="4"/>
  <c r="V608" i="4"/>
  <c r="V604" i="4"/>
  <c r="V600" i="4"/>
  <c r="V596" i="4"/>
  <c r="V592" i="4"/>
  <c r="X592" i="4" s="1"/>
  <c r="V588" i="4"/>
  <c r="V584" i="4"/>
  <c r="V580" i="4"/>
  <c r="V576" i="4"/>
  <c r="V572" i="4"/>
  <c r="V568" i="4"/>
  <c r="V564" i="4"/>
  <c r="V560" i="4"/>
  <c r="V556" i="4"/>
  <c r="V552" i="4"/>
  <c r="V548" i="4"/>
  <c r="V544" i="4"/>
  <c r="V540" i="4"/>
  <c r="V536" i="4"/>
  <c r="V532" i="4"/>
  <c r="V528" i="4"/>
  <c r="V524" i="4"/>
  <c r="V520" i="4"/>
  <c r="V516" i="4"/>
  <c r="V512" i="4"/>
  <c r="V508" i="4"/>
  <c r="V843" i="4"/>
  <c r="V824" i="4"/>
  <c r="V807" i="4"/>
  <c r="V790" i="4"/>
  <c r="V760" i="4"/>
  <c r="V978" i="4"/>
  <c r="V876" i="4"/>
  <c r="V870" i="4"/>
  <c r="V838" i="4"/>
  <c r="V828" i="4"/>
  <c r="V811" i="4"/>
  <c r="V794" i="4"/>
  <c r="V764" i="4"/>
  <c r="V975" i="4"/>
  <c r="V946" i="4"/>
  <c r="V934" i="4"/>
  <c r="V906" i="4"/>
  <c r="V898" i="4"/>
  <c r="V890" i="4"/>
  <c r="V858" i="4"/>
  <c r="V815" i="4"/>
  <c r="V798" i="4"/>
  <c r="V768" i="4"/>
  <c r="V958" i="4"/>
  <c r="V914" i="4"/>
  <c r="V852" i="4"/>
  <c r="V847" i="4"/>
  <c r="V832" i="4"/>
  <c r="V819" i="4"/>
  <c r="V802" i="4"/>
  <c r="V772" i="4"/>
  <c r="V755" i="4"/>
  <c r="V751" i="4"/>
  <c r="V747" i="4"/>
  <c r="V743" i="4"/>
  <c r="V739" i="4"/>
  <c r="V735" i="4"/>
  <c r="V731" i="4"/>
  <c r="V727" i="4"/>
  <c r="V723" i="4"/>
  <c r="V719" i="4"/>
  <c r="V715" i="4"/>
  <c r="V711" i="4"/>
  <c r="V707" i="4"/>
  <c r="V703" i="4"/>
  <c r="V699" i="4"/>
  <c r="V695" i="4"/>
  <c r="V691" i="4"/>
  <c r="V687" i="4"/>
  <c r="V683" i="4"/>
  <c r="V679" i="4"/>
  <c r="V675" i="4"/>
  <c r="V671" i="4"/>
  <c r="V667" i="4"/>
  <c r="V663" i="4"/>
  <c r="V659" i="4"/>
  <c r="V655" i="4"/>
  <c r="V651" i="4"/>
  <c r="V882" i="4"/>
  <c r="V842" i="4"/>
  <c r="V823" i="4"/>
  <c r="V806" i="4"/>
  <c r="V776" i="4"/>
  <c r="V759" i="4"/>
  <c r="V922" i="4"/>
  <c r="V868" i="4"/>
  <c r="V827" i="4"/>
  <c r="V810" i="4"/>
  <c r="V780" i="4"/>
  <c r="V763" i="4"/>
  <c r="V862" i="4"/>
  <c r="V836" i="4"/>
  <c r="V814" i="4"/>
  <c r="V784" i="4"/>
  <c r="V767" i="4"/>
  <c r="V942" i="4"/>
  <c r="V874" i="4"/>
  <c r="V856" i="4"/>
  <c r="V846" i="4"/>
  <c r="V831" i="4"/>
  <c r="V818" i="4"/>
  <c r="V788" i="4"/>
  <c r="V771" i="4"/>
  <c r="V754" i="4"/>
  <c r="V750" i="4"/>
  <c r="V746" i="4"/>
  <c r="V742" i="4"/>
  <c r="V738" i="4"/>
  <c r="V734" i="4"/>
  <c r="V730" i="4"/>
  <c r="V726" i="4"/>
  <c r="V722" i="4"/>
  <c r="V718" i="4"/>
  <c r="V714" i="4"/>
  <c r="V710" i="4"/>
  <c r="V706" i="4"/>
  <c r="V702" i="4"/>
  <c r="V698" i="4"/>
  <c r="V694" i="4"/>
  <c r="V690" i="4"/>
  <c r="V686" i="4"/>
  <c r="V682" i="4"/>
  <c r="V678" i="4"/>
  <c r="V674" i="4"/>
  <c r="V670" i="4"/>
  <c r="V666" i="4"/>
  <c r="V662" i="4"/>
  <c r="V658" i="4"/>
  <c r="V654" i="4"/>
  <c r="V650" i="4"/>
  <c r="V954" i="4"/>
  <c r="V930" i="4"/>
  <c r="V822" i="4"/>
  <c r="V792" i="4"/>
  <c r="V775" i="4"/>
  <c r="V840" i="4"/>
  <c r="V826" i="4"/>
  <c r="V796" i="4"/>
  <c r="V779" i="4"/>
  <c r="V762" i="4"/>
  <c r="V910" i="4"/>
  <c r="V902" i="4"/>
  <c r="V894" i="4"/>
  <c r="V850" i="4"/>
  <c r="V835" i="4"/>
  <c r="V800" i="4"/>
  <c r="V783" i="4"/>
  <c r="V1053" i="4"/>
  <c r="V886" i="4"/>
  <c r="V872" i="4"/>
  <c r="V866" i="4"/>
  <c r="V860" i="4"/>
  <c r="V830" i="4"/>
  <c r="V804" i="4"/>
  <c r="V787" i="4"/>
  <c r="V770" i="4"/>
  <c r="V938" i="4"/>
  <c r="V918" i="4"/>
  <c r="V844" i="4"/>
  <c r="X844" i="4" s="1"/>
  <c r="V808" i="4"/>
  <c r="V791" i="4"/>
  <c r="V983" i="4"/>
  <c r="V926" i="4"/>
  <c r="V854" i="4"/>
  <c r="V834" i="4"/>
  <c r="V816" i="4"/>
  <c r="V799" i="4"/>
  <c r="V782" i="4"/>
  <c r="V839" i="4"/>
  <c r="V778" i="4"/>
  <c r="V637" i="4"/>
  <c r="V623" i="4"/>
  <c r="V614" i="4"/>
  <c r="V605" i="4"/>
  <c r="V591" i="4"/>
  <c r="V582" i="4"/>
  <c r="V573" i="4"/>
  <c r="V547" i="4"/>
  <c r="V530" i="4"/>
  <c r="V513" i="4"/>
  <c r="V950" i="4"/>
  <c r="V774" i="4"/>
  <c r="V725" i="4"/>
  <c r="V697" i="4"/>
  <c r="V689" i="4"/>
  <c r="V681" i="4"/>
  <c r="V653" i="4"/>
  <c r="V551" i="4"/>
  <c r="V534" i="4"/>
  <c r="V517" i="4"/>
  <c r="V705" i="4"/>
  <c r="V673" i="4"/>
  <c r="V627" i="4"/>
  <c r="V618" i="4"/>
  <c r="V609" i="4"/>
  <c r="V595" i="4"/>
  <c r="V586" i="4"/>
  <c r="V577" i="4"/>
  <c r="V555" i="4"/>
  <c r="V538" i="4"/>
  <c r="V521" i="4"/>
  <c r="V504" i="4"/>
  <c r="V500" i="4"/>
  <c r="V496" i="4"/>
  <c r="V492" i="4"/>
  <c r="V488" i="4"/>
  <c r="V484" i="4"/>
  <c r="V480" i="4"/>
  <c r="V476" i="4"/>
  <c r="V472" i="4"/>
  <c r="V468" i="4"/>
  <c r="V464" i="4"/>
  <c r="V460" i="4"/>
  <c r="V456" i="4"/>
  <c r="V452" i="4"/>
  <c r="V448" i="4"/>
  <c r="V444" i="4"/>
  <c r="V440" i="4"/>
  <c r="V436" i="4"/>
  <c r="V432" i="4"/>
  <c r="V428" i="4"/>
  <c r="V424" i="4"/>
  <c r="V420" i="4"/>
  <c r="V416" i="4"/>
  <c r="V412" i="4"/>
  <c r="V408" i="4"/>
  <c r="V404" i="4"/>
  <c r="V400" i="4"/>
  <c r="V396" i="4"/>
  <c r="V392" i="4"/>
  <c r="V388" i="4"/>
  <c r="V384" i="4"/>
  <c r="V745" i="4"/>
  <c r="V646" i="4"/>
  <c r="V641" i="4"/>
  <c r="V559" i="4"/>
  <c r="V542" i="4"/>
  <c r="V525" i="4"/>
  <c r="X525" i="4" s="1"/>
  <c r="V713" i="4"/>
  <c r="V665" i="4"/>
  <c r="V631" i="4"/>
  <c r="V622" i="4"/>
  <c r="V613" i="4"/>
  <c r="V599" i="4"/>
  <c r="V590" i="4"/>
  <c r="V581" i="4"/>
  <c r="V563" i="4"/>
  <c r="V546" i="4"/>
  <c r="V529" i="4"/>
  <c r="V733" i="4"/>
  <c r="V567" i="4"/>
  <c r="V550" i="4"/>
  <c r="V533" i="4"/>
  <c r="V812" i="4"/>
  <c r="V635" i="4"/>
  <c r="V626" i="4"/>
  <c r="V617" i="4"/>
  <c r="V603" i="4"/>
  <c r="V594" i="4"/>
  <c r="V585" i="4"/>
  <c r="V571" i="4"/>
  <c r="V554" i="4"/>
  <c r="V537" i="4"/>
  <c r="V766" i="4"/>
  <c r="V753" i="4"/>
  <c r="V721" i="4"/>
  <c r="V657" i="4"/>
  <c r="V645" i="4"/>
  <c r="V558" i="4"/>
  <c r="V541" i="4"/>
  <c r="V511" i="4"/>
  <c r="V639" i="4"/>
  <c r="V630" i="4"/>
  <c r="V621" i="4"/>
  <c r="V607" i="4"/>
  <c r="V598" i="4"/>
  <c r="V589" i="4"/>
  <c r="V575" i="4"/>
  <c r="V562" i="4"/>
  <c r="V545" i="4"/>
  <c r="V515" i="4"/>
  <c r="V878" i="4"/>
  <c r="V741" i="4"/>
  <c r="V701" i="4"/>
  <c r="V693" i="4"/>
  <c r="V685" i="4"/>
  <c r="V677" i="4"/>
  <c r="V566" i="4"/>
  <c r="V549" i="4"/>
  <c r="V519" i="4"/>
  <c r="V795" i="4"/>
  <c r="V634" i="4"/>
  <c r="V625" i="4"/>
  <c r="V611" i="4"/>
  <c r="V602" i="4"/>
  <c r="V593" i="4"/>
  <c r="V729" i="4"/>
  <c r="V709" i="4"/>
  <c r="V669" i="4"/>
  <c r="V649" i="4"/>
  <c r="V643" i="4"/>
  <c r="V557" i="4"/>
  <c r="V638" i="4"/>
  <c r="V629" i="4"/>
  <c r="V615" i="4"/>
  <c r="V606" i="4"/>
  <c r="V597" i="4"/>
  <c r="V749" i="4"/>
  <c r="V717" i="4"/>
  <c r="V661" i="4"/>
  <c r="V633" i="4"/>
  <c r="V619" i="4"/>
  <c r="V610" i="4"/>
  <c r="V758" i="4"/>
  <c r="V503" i="4"/>
  <c r="V483" i="4"/>
  <c r="V418" i="4"/>
  <c r="V409" i="4"/>
  <c r="V395" i="4"/>
  <c r="V386" i="4"/>
  <c r="V373" i="4"/>
  <c r="V360" i="4"/>
  <c r="V356" i="4"/>
  <c r="V352" i="4"/>
  <c r="V348" i="4"/>
  <c r="V344" i="4"/>
  <c r="V340" i="4"/>
  <c r="V336" i="4"/>
  <c r="V332" i="4"/>
  <c r="V328" i="4"/>
  <c r="V324" i="4"/>
  <c r="V320" i="4"/>
  <c r="V316" i="4"/>
  <c r="V312" i="4"/>
  <c r="V308" i="4"/>
  <c r="V304" i="4"/>
  <c r="V300" i="4"/>
  <c r="V296" i="4"/>
  <c r="V292" i="4"/>
  <c r="V288" i="4"/>
  <c r="V284" i="4"/>
  <c r="V280" i="4"/>
  <c r="V276" i="4"/>
  <c r="V272" i="4"/>
  <c r="V268" i="4"/>
  <c r="V264" i="4"/>
  <c r="V260" i="4"/>
  <c r="V256" i="4"/>
  <c r="V252" i="4"/>
  <c r="V248" i="4"/>
  <c r="V244" i="4"/>
  <c r="V240" i="4"/>
  <c r="V236" i="4"/>
  <c r="V232" i="4"/>
  <c r="V228" i="4"/>
  <c r="V224" i="4"/>
  <c r="V220" i="4"/>
  <c r="V216" i="4"/>
  <c r="V212" i="4"/>
  <c r="V208" i="4"/>
  <c r="V204" i="4"/>
  <c r="V200" i="4"/>
  <c r="V196" i="4"/>
  <c r="V192" i="4"/>
  <c r="V188" i="4"/>
  <c r="V184" i="4"/>
  <c r="V180" i="4"/>
  <c r="V176" i="4"/>
  <c r="V172" i="4"/>
  <c r="V168" i="4"/>
  <c r="V164" i="4"/>
  <c r="V160" i="4"/>
  <c r="V156" i="4"/>
  <c r="V152" i="4"/>
  <c r="V148" i="4"/>
  <c r="V144" i="4"/>
  <c r="V140" i="4"/>
  <c r="V136" i="4"/>
  <c r="V132" i="4"/>
  <c r="V128" i="4"/>
  <c r="X128" i="4" s="1"/>
  <c r="V124" i="4"/>
  <c r="V120" i="4"/>
  <c r="X120" i="4" s="1"/>
  <c r="V116" i="4"/>
  <c r="V112" i="4"/>
  <c r="V108" i="4"/>
  <c r="V587" i="4"/>
  <c r="V531" i="4"/>
  <c r="V510" i="4"/>
  <c r="V471" i="4"/>
  <c r="V377" i="4"/>
  <c r="V364" i="4"/>
  <c r="V737" i="4"/>
  <c r="V570" i="4"/>
  <c r="V502" i="4"/>
  <c r="V495" i="4"/>
  <c r="V489" i="4"/>
  <c r="V477" i="4"/>
  <c r="V459" i="4"/>
  <c r="V454" i="4"/>
  <c r="V449" i="4"/>
  <c r="V443" i="4"/>
  <c r="V438" i="4"/>
  <c r="V433" i="4"/>
  <c r="V427" i="4"/>
  <c r="V422" i="4"/>
  <c r="V413" i="4"/>
  <c r="V399" i="4"/>
  <c r="V390" i="4"/>
  <c r="V381" i="4"/>
  <c r="V368" i="4"/>
  <c r="V482" i="4"/>
  <c r="V465" i="4"/>
  <c r="V372" i="4"/>
  <c r="V583" i="4"/>
  <c r="V543" i="4"/>
  <c r="V518" i="4"/>
  <c r="V494" i="4"/>
  <c r="V470" i="4"/>
  <c r="V417" i="4"/>
  <c r="V403" i="4"/>
  <c r="V394" i="4"/>
  <c r="V385" i="4"/>
  <c r="V376" i="4"/>
  <c r="V359" i="4"/>
  <c r="V355" i="4"/>
  <c r="V351" i="4"/>
  <c r="V347" i="4"/>
  <c r="V343" i="4"/>
  <c r="V339" i="4"/>
  <c r="V335" i="4"/>
  <c r="V331" i="4"/>
  <c r="V327" i="4"/>
  <c r="V323" i="4"/>
  <c r="V319" i="4"/>
  <c r="V315" i="4"/>
  <c r="V311" i="4"/>
  <c r="V307" i="4"/>
  <c r="V303" i="4"/>
  <c r="V299" i="4"/>
  <c r="V295" i="4"/>
  <c r="V291" i="4"/>
  <c r="V287" i="4"/>
  <c r="V283" i="4"/>
  <c r="V279" i="4"/>
  <c r="V275" i="4"/>
  <c r="X275" i="4" s="1"/>
  <c r="V271" i="4"/>
  <c r="V267" i="4"/>
  <c r="V263" i="4"/>
  <c r="V259" i="4"/>
  <c r="V255" i="4"/>
  <c r="V251" i="4"/>
  <c r="V247" i="4"/>
  <c r="V243" i="4"/>
  <c r="V239" i="4"/>
  <c r="V235" i="4"/>
  <c r="V231" i="4"/>
  <c r="V227" i="4"/>
  <c r="V223" i="4"/>
  <c r="V219" i="4"/>
  <c r="V215" i="4"/>
  <c r="V211" i="4"/>
  <c r="V207" i="4"/>
  <c r="V203" i="4"/>
  <c r="V199" i="4"/>
  <c r="V195" i="4"/>
  <c r="V569" i="4"/>
  <c r="V509" i="4"/>
  <c r="V487" i="4"/>
  <c r="V380" i="4"/>
  <c r="V363" i="4"/>
  <c r="V553" i="4"/>
  <c r="V527" i="4"/>
  <c r="V501" i="4"/>
  <c r="V475" i="4"/>
  <c r="V458" i="4"/>
  <c r="V453" i="4"/>
  <c r="V447" i="4"/>
  <c r="V442" i="4"/>
  <c r="V437" i="4"/>
  <c r="V431" i="4"/>
  <c r="V426" i="4"/>
  <c r="V421" i="4"/>
  <c r="V407" i="4"/>
  <c r="V398" i="4"/>
  <c r="V389" i="4"/>
  <c r="V367" i="4"/>
  <c r="V507" i="4"/>
  <c r="V481" i="4"/>
  <c r="V463" i="4"/>
  <c r="V371" i="4"/>
  <c r="V601" i="4"/>
  <c r="V579" i="4"/>
  <c r="V539" i="4"/>
  <c r="V493" i="4"/>
  <c r="V486" i="4"/>
  <c r="V469" i="4"/>
  <c r="V411" i="4"/>
  <c r="V402" i="4"/>
  <c r="V393" i="4"/>
  <c r="V375" i="4"/>
  <c r="V358" i="4"/>
  <c r="V354" i="4"/>
  <c r="V350" i="4"/>
  <c r="V346" i="4"/>
  <c r="V342" i="4"/>
  <c r="V338" i="4"/>
  <c r="V334" i="4"/>
  <c r="V330" i="4"/>
  <c r="V326" i="4"/>
  <c r="V322" i="4"/>
  <c r="V318" i="4"/>
  <c r="V314" i="4"/>
  <c r="V310" i="4"/>
  <c r="V306" i="4"/>
  <c r="V302" i="4"/>
  <c r="V298" i="4"/>
  <c r="V294" i="4"/>
  <c r="V290" i="4"/>
  <c r="V286" i="4"/>
  <c r="V282" i="4"/>
  <c r="V278" i="4"/>
  <c r="V274" i="4"/>
  <c r="V270" i="4"/>
  <c r="V266" i="4"/>
  <c r="V262" i="4"/>
  <c r="V258" i="4"/>
  <c r="V254" i="4"/>
  <c r="V250" i="4"/>
  <c r="V246" i="4"/>
  <c r="V242" i="4"/>
  <c r="V238" i="4"/>
  <c r="V234" i="4"/>
  <c r="V230" i="4"/>
  <c r="V226" i="4"/>
  <c r="V222" i="4"/>
  <c r="V218" i="4"/>
  <c r="V214" i="4"/>
  <c r="X214" i="4" s="1"/>
  <c r="V210" i="4"/>
  <c r="V206" i="4"/>
  <c r="X206" i="4" s="1"/>
  <c r="V202" i="4"/>
  <c r="V198" i="4"/>
  <c r="X198" i="4" s="1"/>
  <c r="V194" i="4"/>
  <c r="X194" i="4" s="1"/>
  <c r="V190" i="4"/>
  <c r="V186" i="4"/>
  <c r="X186" i="4" s="1"/>
  <c r="V182" i="4"/>
  <c r="X182" i="4" s="1"/>
  <c r="V178" i="4"/>
  <c r="V174" i="4"/>
  <c r="V170" i="4"/>
  <c r="V565" i="4"/>
  <c r="V506" i="4"/>
  <c r="V499" i="4"/>
  <c r="V474" i="4"/>
  <c r="V379" i="4"/>
  <c r="V362" i="4"/>
  <c r="V526" i="4"/>
  <c r="V514" i="4"/>
  <c r="V462" i="4"/>
  <c r="V457" i="4"/>
  <c r="V451" i="4"/>
  <c r="V446" i="4"/>
  <c r="V441" i="4"/>
  <c r="V435" i="4"/>
  <c r="V430" i="4"/>
  <c r="V425" i="4"/>
  <c r="V415" i="4"/>
  <c r="V406" i="4"/>
  <c r="V397" i="4"/>
  <c r="V383" i="4"/>
  <c r="V366" i="4"/>
  <c r="V578" i="4"/>
  <c r="V523" i="4"/>
  <c r="V498" i="4"/>
  <c r="V491" i="4"/>
  <c r="V479" i="4"/>
  <c r="V370" i="4"/>
  <c r="V535" i="4"/>
  <c r="V485" i="4"/>
  <c r="V467" i="4"/>
  <c r="V419" i="4"/>
  <c r="V410" i="4"/>
  <c r="V401" i="4"/>
  <c r="V387" i="4"/>
  <c r="V374" i="4"/>
  <c r="V357" i="4"/>
  <c r="V353" i="4"/>
  <c r="V349" i="4"/>
  <c r="V345" i="4"/>
  <c r="V341" i="4"/>
  <c r="V337" i="4"/>
  <c r="V333" i="4"/>
  <c r="V329" i="4"/>
  <c r="V325" i="4"/>
  <c r="V321" i="4"/>
  <c r="V317" i="4"/>
  <c r="V313" i="4"/>
  <c r="V647" i="4"/>
  <c r="V561" i="4"/>
  <c r="X561" i="4" s="1"/>
  <c r="V505" i="4"/>
  <c r="X505" i="4" s="1"/>
  <c r="V473" i="4"/>
  <c r="V378" i="4"/>
  <c r="V361" i="4"/>
  <c r="V522" i="4"/>
  <c r="V497" i="4"/>
  <c r="V466" i="4"/>
  <c r="V369" i="4"/>
  <c r="V574" i="4"/>
  <c r="V445" i="4"/>
  <c r="V289" i="4"/>
  <c r="V225" i="4"/>
  <c r="X225" i="4" s="1"/>
  <c r="V162" i="4"/>
  <c r="V102" i="4"/>
  <c r="X102" i="4" s="1"/>
  <c r="V98" i="4"/>
  <c r="X98" i="4" s="1"/>
  <c r="V94" i="4"/>
  <c r="V90" i="4"/>
  <c r="X90" i="4" s="1"/>
  <c r="V86" i="4"/>
  <c r="V82" i="4"/>
  <c r="V78" i="4"/>
  <c r="X78" i="4" s="1"/>
  <c r="V74" i="4"/>
  <c r="X74" i="4" s="1"/>
  <c r="V70" i="4"/>
  <c r="X70" i="4" s="1"/>
  <c r="V66" i="4"/>
  <c r="X66" i="4" s="1"/>
  <c r="V62" i="4"/>
  <c r="X62" i="4" s="1"/>
  <c r="V58" i="4"/>
  <c r="X58" i="4" s="1"/>
  <c r="V54" i="4"/>
  <c r="X54" i="4" s="1"/>
  <c r="V50" i="4"/>
  <c r="V46" i="4"/>
  <c r="V42" i="4"/>
  <c r="X42" i="4" s="1"/>
  <c r="V38" i="4"/>
  <c r="X38" i="4" s="1"/>
  <c r="V34" i="4"/>
  <c r="X34" i="4" s="1"/>
  <c r="V30" i="4"/>
  <c r="X30" i="4" s="1"/>
  <c r="V26" i="4"/>
  <c r="V22" i="4"/>
  <c r="X22" i="4" s="1"/>
  <c r="V18" i="4"/>
  <c r="V14" i="4"/>
  <c r="X14" i="4" s="1"/>
  <c r="V37" i="4"/>
  <c r="X37" i="4" s="1"/>
  <c r="V25" i="4"/>
  <c r="X25" i="4" s="1"/>
  <c r="V23" i="4"/>
  <c r="X23" i="4" s="1"/>
  <c r="V439" i="4"/>
  <c r="V365" i="4"/>
  <c r="V237" i="4"/>
  <c r="X237" i="4" s="1"/>
  <c r="V201" i="4"/>
  <c r="X201" i="4" s="1"/>
  <c r="V157" i="4"/>
  <c r="V147" i="4"/>
  <c r="V138" i="4"/>
  <c r="X138" i="4" s="1"/>
  <c r="V129" i="4"/>
  <c r="V115" i="4"/>
  <c r="X115" i="4" s="1"/>
  <c r="V106" i="4"/>
  <c r="V53" i="4"/>
  <c r="X53" i="4" s="1"/>
  <c r="V21" i="4"/>
  <c r="X21" i="4" s="1"/>
  <c r="V39" i="4"/>
  <c r="V143" i="4"/>
  <c r="X143" i="4" s="1"/>
  <c r="V434" i="4"/>
  <c r="V301" i="4"/>
  <c r="V249" i="4"/>
  <c r="X249" i="4" s="1"/>
  <c r="V177" i="4"/>
  <c r="V49" i="4"/>
  <c r="X49" i="4" s="1"/>
  <c r="V17" i="4"/>
  <c r="V19" i="4"/>
  <c r="X19" i="4" s="1"/>
  <c r="V429" i="4"/>
  <c r="V261" i="4"/>
  <c r="X261" i="4" s="1"/>
  <c r="V193" i="4"/>
  <c r="V187" i="4"/>
  <c r="X187" i="4" s="1"/>
  <c r="V171" i="4"/>
  <c r="X171" i="4" s="1"/>
  <c r="V166" i="4"/>
  <c r="X166" i="4" s="1"/>
  <c r="V151" i="4"/>
  <c r="V142" i="4"/>
  <c r="X142" i="4" s="1"/>
  <c r="V133" i="4"/>
  <c r="X133" i="4" s="1"/>
  <c r="V119" i="4"/>
  <c r="X119" i="4" s="1"/>
  <c r="V110" i="4"/>
  <c r="X110" i="4" s="1"/>
  <c r="V13" i="4"/>
  <c r="V73" i="4"/>
  <c r="V41" i="4"/>
  <c r="X41" i="4" s="1"/>
  <c r="V29" i="4"/>
  <c r="X29" i="4" s="1"/>
  <c r="V31" i="4"/>
  <c r="X31" i="4" s="1"/>
  <c r="V423" i="4"/>
  <c r="V273" i="4"/>
  <c r="X273" i="4" s="1"/>
  <c r="V161" i="4"/>
  <c r="X161" i="4" s="1"/>
  <c r="V101" i="4"/>
  <c r="X101" i="4" s="1"/>
  <c r="V97" i="4"/>
  <c r="V93" i="4"/>
  <c r="X93" i="4" s="1"/>
  <c r="V89" i="4"/>
  <c r="V85" i="4"/>
  <c r="X85" i="4" s="1"/>
  <c r="V81" i="4"/>
  <c r="V77" i="4"/>
  <c r="X77" i="4" s="1"/>
  <c r="V69" i="4"/>
  <c r="X69" i="4" s="1"/>
  <c r="V65" i="4"/>
  <c r="X65" i="4" s="1"/>
  <c r="V61" i="4"/>
  <c r="X61" i="4" s="1"/>
  <c r="V57" i="4"/>
  <c r="X57" i="4" s="1"/>
  <c r="V45" i="4"/>
  <c r="X45" i="4" s="1"/>
  <c r="V33" i="4"/>
  <c r="X33" i="4" s="1"/>
  <c r="V167" i="4"/>
  <c r="X167" i="4" s="1"/>
  <c r="V125" i="4"/>
  <c r="X125" i="4" s="1"/>
  <c r="V285" i="4"/>
  <c r="X285" i="4" s="1"/>
  <c r="V146" i="4"/>
  <c r="V137" i="4"/>
  <c r="X137" i="4" s="1"/>
  <c r="V123" i="4"/>
  <c r="V114" i="4"/>
  <c r="V105" i="4"/>
  <c r="V414" i="4"/>
  <c r="V297" i="4"/>
  <c r="X297" i="4" s="1"/>
  <c r="V233" i="4"/>
  <c r="V221" i="4"/>
  <c r="V213" i="4"/>
  <c r="V181" i="4"/>
  <c r="X181" i="4" s="1"/>
  <c r="V155" i="4"/>
  <c r="V245" i="4"/>
  <c r="V191" i="4"/>
  <c r="V175" i="4"/>
  <c r="V165" i="4"/>
  <c r="X165" i="4" s="1"/>
  <c r="V150" i="4"/>
  <c r="X150" i="4" s="1"/>
  <c r="V141" i="4"/>
  <c r="X141" i="4" s="1"/>
  <c r="V127" i="4"/>
  <c r="V118" i="4"/>
  <c r="X118" i="4" s="1"/>
  <c r="V109" i="4"/>
  <c r="X109" i="4" s="1"/>
  <c r="V12" i="4"/>
  <c r="V56" i="4"/>
  <c r="V36" i="4"/>
  <c r="V28" i="4"/>
  <c r="V20" i="4"/>
  <c r="X20" i="4" s="1"/>
  <c r="V43" i="4"/>
  <c r="V450" i="4"/>
  <c r="V134" i="4"/>
  <c r="X134" i="4" s="1"/>
  <c r="V490" i="4"/>
  <c r="V405" i="4"/>
  <c r="V257" i="4"/>
  <c r="V205" i="4"/>
  <c r="V100" i="4"/>
  <c r="V96" i="4"/>
  <c r="V92" i="4"/>
  <c r="V88" i="4"/>
  <c r="V84" i="4"/>
  <c r="V80" i="4"/>
  <c r="V76" i="4"/>
  <c r="V72" i="4"/>
  <c r="V68" i="4"/>
  <c r="V64" i="4"/>
  <c r="X64" i="4" s="1"/>
  <c r="V60" i="4"/>
  <c r="V52" i="4"/>
  <c r="V48" i="4"/>
  <c r="V44" i="4"/>
  <c r="V40" i="4"/>
  <c r="V32" i="4"/>
  <c r="V24" i="4"/>
  <c r="V16" i="4"/>
  <c r="V15" i="4"/>
  <c r="V269" i="4"/>
  <c r="V159" i="4"/>
  <c r="V145" i="4"/>
  <c r="V131" i="4"/>
  <c r="V122" i="4"/>
  <c r="V113" i="4"/>
  <c r="V104" i="4"/>
  <c r="V478" i="4"/>
  <c r="V309" i="4"/>
  <c r="V281" i="4"/>
  <c r="V197" i="4"/>
  <c r="V185" i="4"/>
  <c r="V169" i="4"/>
  <c r="V154" i="4"/>
  <c r="V391" i="4"/>
  <c r="V293" i="4"/>
  <c r="X293" i="4" s="1"/>
  <c r="V229" i="4"/>
  <c r="V179" i="4"/>
  <c r="V149" i="4"/>
  <c r="V135" i="4"/>
  <c r="V126" i="4"/>
  <c r="V117" i="4"/>
  <c r="V87" i="4"/>
  <c r="V67" i="4"/>
  <c r="V55" i="4"/>
  <c r="X55" i="4" s="1"/>
  <c r="V47" i="4"/>
  <c r="V27" i="4"/>
  <c r="V241" i="4"/>
  <c r="V163" i="4"/>
  <c r="V103" i="4"/>
  <c r="V99" i="4"/>
  <c r="V95" i="4"/>
  <c r="V91" i="4"/>
  <c r="V83" i="4"/>
  <c r="V79" i="4"/>
  <c r="V75" i="4"/>
  <c r="V71" i="4"/>
  <c r="V63" i="4"/>
  <c r="V59" i="4"/>
  <c r="V51" i="4"/>
  <c r="V35" i="4"/>
  <c r="X35" i="4" s="1"/>
  <c r="V461" i="4"/>
  <c r="V382" i="4"/>
  <c r="V253" i="4"/>
  <c r="V217" i="4"/>
  <c r="V158" i="4"/>
  <c r="V139" i="4"/>
  <c r="V130" i="4"/>
  <c r="V121" i="4"/>
  <c r="V107" i="4"/>
  <c r="V111" i="4"/>
  <c r="V642" i="4"/>
  <c r="V455" i="4"/>
  <c r="V305" i="4"/>
  <c r="V265" i="4"/>
  <c r="V189" i="4"/>
  <c r="X189" i="4" s="1"/>
  <c r="V173" i="4"/>
  <c r="X173" i="4" s="1"/>
  <c r="V153" i="4"/>
  <c r="X153" i="4" s="1"/>
  <c r="V277" i="4"/>
  <c r="X277" i="4" s="1"/>
  <c r="V209" i="4"/>
  <c r="X209" i="4" s="1"/>
  <c r="V183" i="4"/>
  <c r="U52" i="4"/>
  <c r="U169" i="4"/>
  <c r="U203" i="4"/>
  <c r="X203" i="4" s="1"/>
  <c r="U414" i="4"/>
  <c r="U345" i="4"/>
  <c r="X345" i="4" s="1"/>
  <c r="U578" i="4"/>
  <c r="U549" i="4"/>
  <c r="X549" i="4" s="1"/>
  <c r="U250" i="4"/>
  <c r="U314" i="4"/>
  <c r="X314" i="4" s="1"/>
  <c r="U411" i="4"/>
  <c r="X411" i="4" s="1"/>
  <c r="U416" i="4"/>
  <c r="X416" i="4" s="1"/>
  <c r="U227" i="4"/>
  <c r="U291" i="4"/>
  <c r="U355" i="4"/>
  <c r="U465" i="4"/>
  <c r="X465" i="4" s="1"/>
  <c r="U477" i="4"/>
  <c r="X477" i="4" s="1"/>
  <c r="U168" i="4"/>
  <c r="U232" i="4"/>
  <c r="U296" i="4"/>
  <c r="U360" i="4"/>
  <c r="U661" i="4"/>
  <c r="X661" i="4" s="1"/>
  <c r="U588" i="4"/>
  <c r="X588" i="4" s="1"/>
  <c r="U655" i="4"/>
  <c r="X655" i="4" s="1"/>
  <c r="U575" i="4"/>
  <c r="X575" i="4" s="1"/>
  <c r="U657" i="4"/>
  <c r="X657" i="4" s="1"/>
  <c r="U503" i="4"/>
  <c r="X503" i="4" s="1"/>
  <c r="U550" i="4"/>
  <c r="X550" i="4" s="1"/>
  <c r="U613" i="4"/>
  <c r="X613" i="4" s="1"/>
  <c r="U604" i="4"/>
  <c r="X604" i="4" s="1"/>
  <c r="U456" i="4"/>
  <c r="X456" i="4" s="1"/>
  <c r="U555" i="4"/>
  <c r="X555" i="4" s="1"/>
  <c r="U600" i="4"/>
  <c r="X600" i="4" s="1"/>
  <c r="U591" i="4"/>
  <c r="X591" i="4" s="1"/>
  <c r="U647" i="4"/>
  <c r="U821" i="4"/>
  <c r="X821" i="4" s="1"/>
  <c r="U902" i="4"/>
  <c r="X902" i="4" s="1"/>
  <c r="U822" i="4"/>
  <c r="X822" i="4" s="1"/>
  <c r="U767" i="4"/>
  <c r="X767" i="4" s="1"/>
  <c r="U827" i="4"/>
  <c r="X827" i="4" s="1"/>
  <c r="U999" i="4"/>
  <c r="X999" i="4" s="1"/>
  <c r="U789" i="4"/>
  <c r="U898" i="4"/>
  <c r="X898" i="4" s="1"/>
  <c r="U1015" i="4"/>
  <c r="X1015" i="4" s="1"/>
  <c r="U664" i="4"/>
  <c r="X664" i="4" s="1"/>
  <c r="U728" i="4"/>
  <c r="X728" i="4" s="1"/>
  <c r="U769" i="4"/>
  <c r="X769" i="4" s="1"/>
  <c r="U978" i="4"/>
  <c r="U1026" i="4"/>
  <c r="U1055" i="4"/>
  <c r="X1055" i="4" s="1"/>
  <c r="U1153" i="4"/>
  <c r="X1153" i="4" s="1"/>
  <c r="U940" i="4"/>
  <c r="X940" i="4" s="1"/>
  <c r="U1002" i="4"/>
  <c r="X1002" i="4" s="1"/>
  <c r="U1157" i="4"/>
  <c r="X1157" i="4" s="1"/>
  <c r="U869" i="4"/>
  <c r="X869" i="4" s="1"/>
  <c r="U933" i="4"/>
  <c r="X933" i="4" s="1"/>
  <c r="U993" i="4"/>
  <c r="X993" i="4" s="1"/>
  <c r="U1181" i="4"/>
  <c r="X1181" i="4" s="1"/>
  <c r="U1245" i="4"/>
  <c r="X1245" i="4" s="1"/>
  <c r="U1309" i="4"/>
  <c r="X1309" i="4" s="1"/>
  <c r="U1138" i="4"/>
  <c r="X1138" i="4" s="1"/>
  <c r="U1202" i="4"/>
  <c r="X1202" i="4" s="1"/>
  <c r="U1266" i="4"/>
  <c r="X1266" i="4" s="1"/>
  <c r="U1083" i="4"/>
  <c r="U1147" i="4"/>
  <c r="U1211" i="4"/>
  <c r="U1275" i="4"/>
  <c r="U1068" i="4"/>
  <c r="X1068" i="4" s="1"/>
  <c r="U1132" i="4"/>
  <c r="X1132" i="4" s="1"/>
  <c r="U1196" i="4"/>
  <c r="X1196" i="4" s="1"/>
  <c r="U1260" i="4"/>
  <c r="X1260" i="4" s="1"/>
  <c r="U75" i="4"/>
  <c r="X75" i="4" s="1"/>
  <c r="U158" i="4"/>
  <c r="U40" i="4"/>
  <c r="X40" i="4" s="1"/>
  <c r="U131" i="4"/>
  <c r="U154" i="4"/>
  <c r="U179" i="4"/>
  <c r="U423" i="4"/>
  <c r="X423" i="4" s="1"/>
  <c r="U349" i="4"/>
  <c r="U366" i="4"/>
  <c r="U362" i="4"/>
  <c r="U254" i="4"/>
  <c r="X254" i="4" s="1"/>
  <c r="U318" i="4"/>
  <c r="X318" i="4" s="1"/>
  <c r="U420" i="4"/>
  <c r="X420" i="4" s="1"/>
  <c r="U421" i="4"/>
  <c r="U231" i="4"/>
  <c r="U295" i="4"/>
  <c r="U359" i="4"/>
  <c r="U482" i="4"/>
  <c r="X482" i="4" s="1"/>
  <c r="U489" i="4"/>
  <c r="X489" i="4" s="1"/>
  <c r="U172" i="4"/>
  <c r="X172" i="4" s="1"/>
  <c r="U236" i="4"/>
  <c r="X236" i="4" s="1"/>
  <c r="U300" i="4"/>
  <c r="X300" i="4" s="1"/>
  <c r="U373" i="4"/>
  <c r="X373" i="4" s="1"/>
  <c r="U682" i="4"/>
  <c r="U620" i="4"/>
  <c r="U718" i="4"/>
  <c r="X718" i="4" s="1"/>
  <c r="U589" i="4"/>
  <c r="X589" i="4" s="1"/>
  <c r="U663" i="4"/>
  <c r="X663" i="4" s="1"/>
  <c r="U507" i="4"/>
  <c r="X507" i="4" s="1"/>
  <c r="U567" i="4"/>
  <c r="X567" i="4" s="1"/>
  <c r="U622" i="4"/>
  <c r="U636" i="4"/>
  <c r="X636" i="4" s="1"/>
  <c r="U460" i="4"/>
  <c r="X460" i="4" s="1"/>
  <c r="U577" i="4"/>
  <c r="X577" i="4" s="1"/>
  <c r="U632" i="4"/>
  <c r="X632" i="4" s="1"/>
  <c r="U605" i="4"/>
  <c r="X605" i="4" s="1"/>
  <c r="U737" i="4"/>
  <c r="U830" i="4"/>
  <c r="U910" i="4"/>
  <c r="X910" i="4" s="1"/>
  <c r="U919" i="4"/>
  <c r="X919" i="4" s="1"/>
  <c r="U784" i="4"/>
  <c r="X784" i="4" s="1"/>
  <c r="U868" i="4"/>
  <c r="X868" i="4" s="1"/>
  <c r="U703" i="4"/>
  <c r="X703" i="4" s="1"/>
  <c r="U802" i="4"/>
  <c r="U906" i="4"/>
  <c r="X906" i="4" s="1"/>
  <c r="U760" i="4"/>
  <c r="X760" i="4" s="1"/>
  <c r="U668" i="4"/>
  <c r="X668" i="4" s="1"/>
  <c r="U732" i="4"/>
  <c r="X732" i="4" s="1"/>
  <c r="U782" i="4"/>
  <c r="U983" i="4"/>
  <c r="U1032" i="4"/>
  <c r="X1032" i="4" s="1"/>
  <c r="U1061" i="4"/>
  <c r="X1061" i="4" s="1"/>
  <c r="U976" i="4"/>
  <c r="X976" i="4" s="1"/>
  <c r="U944" i="4"/>
  <c r="X944" i="4" s="1"/>
  <c r="U1008" i="4"/>
  <c r="X1008" i="4" s="1"/>
  <c r="U987" i="4"/>
  <c r="U873" i="4"/>
  <c r="X873" i="4" s="1"/>
  <c r="U937" i="4"/>
  <c r="X937" i="4" s="1"/>
  <c r="U998" i="4"/>
  <c r="X998" i="4" s="1"/>
  <c r="U1185" i="4"/>
  <c r="X1185" i="4" s="1"/>
  <c r="U1249" i="4"/>
  <c r="X1249" i="4" s="1"/>
  <c r="U1078" i="4"/>
  <c r="X1078" i="4" s="1"/>
  <c r="U1142" i="4"/>
  <c r="X1142" i="4" s="1"/>
  <c r="U1206" i="4"/>
  <c r="X1206" i="4" s="1"/>
  <c r="U1270" i="4"/>
  <c r="X1270" i="4" s="1"/>
  <c r="U1087" i="4"/>
  <c r="U1151" i="4"/>
  <c r="U1215" i="4"/>
  <c r="U1279" i="4"/>
  <c r="U1072" i="4"/>
  <c r="U1136" i="4"/>
  <c r="X1136" i="4" s="1"/>
  <c r="U1200" i="4"/>
  <c r="X1200" i="4" s="1"/>
  <c r="U1264" i="4"/>
  <c r="X1264" i="4" s="1"/>
  <c r="U71" i="4"/>
  <c r="U183" i="4"/>
  <c r="X183" i="4" s="1"/>
  <c r="U321" i="4"/>
  <c r="X321" i="4" s="1"/>
  <c r="U82" i="4"/>
  <c r="X82" i="4" s="1"/>
  <c r="U18" i="4"/>
  <c r="U157" i="4"/>
  <c r="U301" i="4"/>
  <c r="U73" i="4"/>
  <c r="U199" i="4"/>
  <c r="X199" i="4" s="1"/>
  <c r="U116" i="4"/>
  <c r="X116" i="4" s="1"/>
  <c r="U155" i="4"/>
  <c r="U48" i="4"/>
  <c r="U28" i="4"/>
  <c r="U140" i="4"/>
  <c r="U429" i="4"/>
  <c r="U353" i="4"/>
  <c r="U383" i="4"/>
  <c r="U379" i="4"/>
  <c r="U258" i="4"/>
  <c r="X258" i="4" s="1"/>
  <c r="U322" i="4"/>
  <c r="X322" i="4" s="1"/>
  <c r="U469" i="4"/>
  <c r="X469" i="4" s="1"/>
  <c r="U426" i="4"/>
  <c r="X426" i="4" s="1"/>
  <c r="U235" i="4"/>
  <c r="U299" i="4"/>
  <c r="X299" i="4" s="1"/>
  <c r="U376" i="4"/>
  <c r="X376" i="4" s="1"/>
  <c r="U368" i="4"/>
  <c r="U502" i="4"/>
  <c r="U176" i="4"/>
  <c r="X176" i="4" s="1"/>
  <c r="U240" i="4"/>
  <c r="X240" i="4" s="1"/>
  <c r="U304" i="4"/>
  <c r="X304" i="4" s="1"/>
  <c r="U386" i="4"/>
  <c r="X386" i="4" s="1"/>
  <c r="U690" i="4"/>
  <c r="U643" i="4"/>
  <c r="X643" i="4" s="1"/>
  <c r="U750" i="4"/>
  <c r="U598" i="4"/>
  <c r="X598" i="4" s="1"/>
  <c r="U670" i="4"/>
  <c r="X670" i="4" s="1"/>
  <c r="U524" i="4"/>
  <c r="X524" i="4" s="1"/>
  <c r="U576" i="4"/>
  <c r="X576" i="4" s="1"/>
  <c r="U631" i="4"/>
  <c r="X631" i="4" s="1"/>
  <c r="U641" i="4"/>
  <c r="X641" i="4" s="1"/>
  <c r="U464" i="4"/>
  <c r="X464" i="4" s="1"/>
  <c r="U586" i="4"/>
  <c r="X586" i="4" s="1"/>
  <c r="U653" i="4"/>
  <c r="X653" i="4" s="1"/>
  <c r="U614" i="4"/>
  <c r="X614" i="4" s="1"/>
  <c r="U765" i="4"/>
  <c r="X765" i="4" s="1"/>
  <c r="U860" i="4"/>
  <c r="U939" i="4"/>
  <c r="U930" i="4"/>
  <c r="X930" i="4" s="1"/>
  <c r="U801" i="4"/>
  <c r="X801" i="4" s="1"/>
  <c r="U888" i="4"/>
  <c r="U707" i="4"/>
  <c r="X707" i="4" s="1"/>
  <c r="U819" i="4"/>
  <c r="X819" i="4" s="1"/>
  <c r="U934" i="4"/>
  <c r="X934" i="4" s="1"/>
  <c r="U777" i="4"/>
  <c r="X777" i="4" s="1"/>
  <c r="U672" i="4"/>
  <c r="X672" i="4" s="1"/>
  <c r="U736" i="4"/>
  <c r="X736" i="4" s="1"/>
  <c r="U799" i="4"/>
  <c r="X799" i="4" s="1"/>
  <c r="U1047" i="4"/>
  <c r="X1047" i="4" s="1"/>
  <c r="U1037" i="4"/>
  <c r="X1037" i="4" s="1"/>
  <c r="U1074" i="4"/>
  <c r="X1074" i="4" s="1"/>
  <c r="U1121" i="4"/>
  <c r="X1121" i="4" s="1"/>
  <c r="U948" i="4"/>
  <c r="X948" i="4" s="1"/>
  <c r="U1013" i="4"/>
  <c r="X1013" i="4" s="1"/>
  <c r="U1003" i="4"/>
  <c r="X1003" i="4" s="1"/>
  <c r="U877" i="4"/>
  <c r="X877" i="4" s="1"/>
  <c r="U941" i="4"/>
  <c r="X941" i="4" s="1"/>
  <c r="U1004" i="4"/>
  <c r="X1004" i="4" s="1"/>
  <c r="U1189" i="4"/>
  <c r="X1189" i="4" s="1"/>
  <c r="U1253" i="4"/>
  <c r="X1253" i="4" s="1"/>
  <c r="U1082" i="4"/>
  <c r="X1082" i="4" s="1"/>
  <c r="U1146" i="4"/>
  <c r="X1146" i="4" s="1"/>
  <c r="U1210" i="4"/>
  <c r="X1210" i="4" s="1"/>
  <c r="U1274" i="4"/>
  <c r="X1274" i="4" s="1"/>
  <c r="U1091" i="4"/>
  <c r="U1155" i="4"/>
  <c r="U1219" i="4"/>
  <c r="U1283" i="4"/>
  <c r="U1076" i="4"/>
  <c r="X1076" i="4" s="1"/>
  <c r="U1140" i="4"/>
  <c r="X1140" i="4" s="1"/>
  <c r="U1204" i="4"/>
  <c r="X1204" i="4" s="1"/>
  <c r="U1268" i="4"/>
  <c r="X1268" i="4" s="1"/>
  <c r="U67" i="4"/>
  <c r="X67" i="4" s="1"/>
  <c r="U139" i="4"/>
  <c r="X139" i="4" s="1"/>
  <c r="U105" i="4"/>
  <c r="U132" i="4"/>
  <c r="X132" i="4" s="1"/>
  <c r="U245" i="4"/>
  <c r="U36" i="4"/>
  <c r="U16" i="4"/>
  <c r="U113" i="4"/>
  <c r="U108" i="4"/>
  <c r="X108" i="4" s="1"/>
  <c r="U149" i="4"/>
  <c r="X149" i="4" s="1"/>
  <c r="U434" i="4"/>
  <c r="X434" i="4" s="1"/>
  <c r="U357" i="4"/>
  <c r="U392" i="4"/>
  <c r="X392" i="4" s="1"/>
  <c r="U474" i="4"/>
  <c r="U262" i="4"/>
  <c r="X262" i="4" s="1"/>
  <c r="U326" i="4"/>
  <c r="X326" i="4" s="1"/>
  <c r="U486" i="4"/>
  <c r="X486" i="4" s="1"/>
  <c r="U431" i="4"/>
  <c r="X431" i="4" s="1"/>
  <c r="U239" i="4"/>
  <c r="X239" i="4" s="1"/>
  <c r="U303" i="4"/>
  <c r="X303" i="4" s="1"/>
  <c r="U385" i="4"/>
  <c r="X385" i="4" s="1"/>
  <c r="U381" i="4"/>
  <c r="U584" i="4"/>
  <c r="X584" i="4" s="1"/>
  <c r="U180" i="4"/>
  <c r="X180" i="4" s="1"/>
  <c r="U244" i="4"/>
  <c r="X244" i="4" s="1"/>
  <c r="U308" i="4"/>
  <c r="X308" i="4" s="1"/>
  <c r="U395" i="4"/>
  <c r="X395" i="4" s="1"/>
  <c r="U698" i="4"/>
  <c r="X698" i="4" s="1"/>
  <c r="U649" i="4"/>
  <c r="X649" i="4" s="1"/>
  <c r="U762" i="4"/>
  <c r="X762" i="4" s="1"/>
  <c r="U607" i="4"/>
  <c r="X607" i="4" s="1"/>
  <c r="U710" i="4"/>
  <c r="X710" i="4" s="1"/>
  <c r="U537" i="4"/>
  <c r="X537" i="4" s="1"/>
  <c r="U608" i="4"/>
  <c r="X608" i="4" s="1"/>
  <c r="U651" i="4"/>
  <c r="X651" i="4" s="1"/>
  <c r="U646" i="4"/>
  <c r="U468" i="4"/>
  <c r="X468" i="4" s="1"/>
  <c r="U595" i="4"/>
  <c r="X595" i="4" s="1"/>
  <c r="U681" i="4"/>
  <c r="U623" i="4"/>
  <c r="X623" i="4" s="1"/>
  <c r="U778" i="4"/>
  <c r="U866" i="4"/>
  <c r="X866" i="4" s="1"/>
  <c r="U966" i="4"/>
  <c r="X966" i="4" s="1"/>
  <c r="U954" i="4"/>
  <c r="X954" i="4" s="1"/>
  <c r="U814" i="4"/>
  <c r="X814" i="4" s="1"/>
  <c r="U896" i="4"/>
  <c r="U711" i="4"/>
  <c r="X711" i="4" s="1"/>
  <c r="U832" i="4"/>
  <c r="X832" i="4" s="1"/>
  <c r="U946" i="4"/>
  <c r="X946" i="4" s="1"/>
  <c r="U790" i="4"/>
  <c r="U676" i="4"/>
  <c r="U740" i="4"/>
  <c r="U816" i="4"/>
  <c r="X816" i="4" s="1"/>
  <c r="U1053" i="4"/>
  <c r="X1053" i="4" s="1"/>
  <c r="U1042" i="4"/>
  <c r="X1042" i="4" s="1"/>
  <c r="U985" i="4"/>
  <c r="X985" i="4" s="1"/>
  <c r="U991" i="4"/>
  <c r="X991" i="4" s="1"/>
  <c r="U952" i="4"/>
  <c r="U1018" i="4"/>
  <c r="X1018" i="4" s="1"/>
  <c r="U1019" i="4"/>
  <c r="U881" i="4"/>
  <c r="X881" i="4" s="1"/>
  <c r="U945" i="4"/>
  <c r="U1009" i="4"/>
  <c r="X1009" i="4" s="1"/>
  <c r="U1193" i="4"/>
  <c r="X1193" i="4" s="1"/>
  <c r="U1257" i="4"/>
  <c r="X1257" i="4" s="1"/>
  <c r="U1086" i="4"/>
  <c r="X1086" i="4" s="1"/>
  <c r="U1150" i="4"/>
  <c r="X1150" i="4" s="1"/>
  <c r="U1214" i="4"/>
  <c r="X1214" i="4" s="1"/>
  <c r="U1278" i="4"/>
  <c r="X1278" i="4" s="1"/>
  <c r="U1095" i="4"/>
  <c r="X1095" i="4" s="1"/>
  <c r="U1159" i="4"/>
  <c r="X1159" i="4" s="1"/>
  <c r="U1223" i="4"/>
  <c r="X1223" i="4" s="1"/>
  <c r="U1287" i="4"/>
  <c r="X1287" i="4" s="1"/>
  <c r="U1080" i="4"/>
  <c r="U1144" i="4"/>
  <c r="X1144" i="4" s="1"/>
  <c r="U1208" i="4"/>
  <c r="X1208" i="4" s="1"/>
  <c r="U1272" i="4"/>
  <c r="X1272" i="4" s="1"/>
  <c r="U63" i="4"/>
  <c r="U43" i="4"/>
  <c r="U15" i="4"/>
  <c r="U439" i="4"/>
  <c r="X439" i="4" s="1"/>
  <c r="U374" i="4"/>
  <c r="X374" i="4" s="1"/>
  <c r="U397" i="4"/>
  <c r="X397" i="4" s="1"/>
  <c r="U506" i="4"/>
  <c r="X506" i="4" s="1"/>
  <c r="U266" i="4"/>
  <c r="X266" i="4" s="1"/>
  <c r="U330" i="4"/>
  <c r="X330" i="4" s="1"/>
  <c r="U493" i="4"/>
  <c r="X493" i="4" s="1"/>
  <c r="U437" i="4"/>
  <c r="X437" i="4" s="1"/>
  <c r="U243" i="4"/>
  <c r="X243" i="4" s="1"/>
  <c r="U307" i="4"/>
  <c r="X307" i="4" s="1"/>
  <c r="U394" i="4"/>
  <c r="X394" i="4" s="1"/>
  <c r="U390" i="4"/>
  <c r="U619" i="4"/>
  <c r="U184" i="4"/>
  <c r="X184" i="4" s="1"/>
  <c r="U248" i="4"/>
  <c r="X248" i="4" s="1"/>
  <c r="U312" i="4"/>
  <c r="X312" i="4" s="1"/>
  <c r="U404" i="4"/>
  <c r="X404" i="4" s="1"/>
  <c r="U717" i="4"/>
  <c r="X717" i="4" s="1"/>
  <c r="U669" i="4"/>
  <c r="X669" i="4" s="1"/>
  <c r="U791" i="4"/>
  <c r="X791" i="4" s="1"/>
  <c r="U621" i="4"/>
  <c r="U721" i="4"/>
  <c r="U554" i="4"/>
  <c r="X554" i="4" s="1"/>
  <c r="U671" i="4"/>
  <c r="U665" i="4"/>
  <c r="X665" i="4" s="1"/>
  <c r="U658" i="4"/>
  <c r="X658" i="4" s="1"/>
  <c r="U472" i="4"/>
  <c r="U609" i="4"/>
  <c r="X609" i="4" s="1"/>
  <c r="U689" i="4"/>
  <c r="U637" i="4"/>
  <c r="X637" i="4" s="1"/>
  <c r="U795" i="4"/>
  <c r="X795" i="4" s="1"/>
  <c r="U872" i="4"/>
  <c r="X872" i="4" s="1"/>
  <c r="U779" i="4"/>
  <c r="X779" i="4" s="1"/>
  <c r="U1065" i="4"/>
  <c r="X1065" i="4" s="1"/>
  <c r="U836" i="4"/>
  <c r="X836" i="4" s="1"/>
  <c r="U904" i="4"/>
  <c r="X904" i="4" s="1"/>
  <c r="U715" i="4"/>
  <c r="X715" i="4" s="1"/>
  <c r="U847" i="4"/>
  <c r="X847" i="4" s="1"/>
  <c r="U974" i="4"/>
  <c r="X974" i="4" s="1"/>
  <c r="U807" i="4"/>
  <c r="X807" i="4" s="1"/>
  <c r="U680" i="4"/>
  <c r="U744" i="4"/>
  <c r="U834" i="4"/>
  <c r="X834" i="4" s="1"/>
  <c r="U1089" i="4"/>
  <c r="X1089" i="4" s="1"/>
  <c r="U1073" i="4"/>
  <c r="X1073" i="4" s="1"/>
  <c r="U990" i="4"/>
  <c r="X990" i="4" s="1"/>
  <c r="U1007" i="4"/>
  <c r="X1007" i="4" s="1"/>
  <c r="U956" i="4"/>
  <c r="U1024" i="4"/>
  <c r="X1024" i="4" s="1"/>
  <c r="U1035" i="4"/>
  <c r="X1035" i="4" s="1"/>
  <c r="U885" i="4"/>
  <c r="X885" i="4" s="1"/>
  <c r="U949" i="4"/>
  <c r="X949" i="4" s="1"/>
  <c r="U1014" i="4"/>
  <c r="X1014" i="4" s="1"/>
  <c r="U1197" i="4"/>
  <c r="U1261" i="4"/>
  <c r="U1090" i="4"/>
  <c r="U1154" i="4"/>
  <c r="U1218" i="4"/>
  <c r="U1282" i="4"/>
  <c r="U1099" i="4"/>
  <c r="X1099" i="4" s="1"/>
  <c r="U1163" i="4"/>
  <c r="X1163" i="4" s="1"/>
  <c r="U1227" i="4"/>
  <c r="X1227" i="4" s="1"/>
  <c r="U1291" i="4"/>
  <c r="X1291" i="4" s="1"/>
  <c r="U1084" i="4"/>
  <c r="X1084" i="4" s="1"/>
  <c r="U1148" i="4"/>
  <c r="U1212" i="4"/>
  <c r="X1212" i="4" s="1"/>
  <c r="U1276" i="4"/>
  <c r="X1276" i="4" s="1"/>
  <c r="U59" i="4"/>
  <c r="X59" i="4" s="1"/>
  <c r="U130" i="4"/>
  <c r="U136" i="4"/>
  <c r="U178" i="4"/>
  <c r="U135" i="4"/>
  <c r="X135" i="4" s="1"/>
  <c r="U445" i="4"/>
  <c r="X445" i="4" s="1"/>
  <c r="U387" i="4"/>
  <c r="X387" i="4" s="1"/>
  <c r="U406" i="4"/>
  <c r="X406" i="4" s="1"/>
  <c r="U536" i="4"/>
  <c r="X536" i="4" s="1"/>
  <c r="U270" i="4"/>
  <c r="X270" i="4" s="1"/>
  <c r="U334" i="4"/>
  <c r="X334" i="4" s="1"/>
  <c r="U539" i="4"/>
  <c r="X539" i="4" s="1"/>
  <c r="U442" i="4"/>
  <c r="X442" i="4" s="1"/>
  <c r="U247" i="4"/>
  <c r="X247" i="4" s="1"/>
  <c r="U311" i="4"/>
  <c r="X311" i="4" s="1"/>
  <c r="U403" i="4"/>
  <c r="X403" i="4" s="1"/>
  <c r="U399" i="4"/>
  <c r="X399" i="4" s="1"/>
  <c r="U726" i="4"/>
  <c r="X726" i="4" s="1"/>
  <c r="U188" i="4"/>
  <c r="X188" i="4" s="1"/>
  <c r="U252" i="4"/>
  <c r="X252" i="4" s="1"/>
  <c r="U316" i="4"/>
  <c r="X316" i="4" s="1"/>
  <c r="U409" i="4"/>
  <c r="X409" i="4" s="1"/>
  <c r="U749" i="4"/>
  <c r="X749" i="4" s="1"/>
  <c r="U709" i="4"/>
  <c r="U616" i="4"/>
  <c r="U630" i="4"/>
  <c r="X630" i="4" s="1"/>
  <c r="U753" i="4"/>
  <c r="U571" i="4"/>
  <c r="X571" i="4" s="1"/>
  <c r="U678" i="4"/>
  <c r="X678" i="4" s="1"/>
  <c r="U679" i="4"/>
  <c r="X679" i="4" s="1"/>
  <c r="U745" i="4"/>
  <c r="U476" i="4"/>
  <c r="X476" i="4" s="1"/>
  <c r="U618" i="4"/>
  <c r="U697" i="4"/>
  <c r="U659" i="4"/>
  <c r="X659" i="4" s="1"/>
  <c r="U812" i="4"/>
  <c r="X812" i="4" s="1"/>
  <c r="U886" i="4"/>
  <c r="X886" i="4" s="1"/>
  <c r="U796" i="4"/>
  <c r="U788" i="4"/>
  <c r="X788" i="4" s="1"/>
  <c r="U851" i="4"/>
  <c r="X851" i="4" s="1"/>
  <c r="U922" i="4"/>
  <c r="X922" i="4" s="1"/>
  <c r="U719" i="4"/>
  <c r="X719" i="4" s="1"/>
  <c r="U852" i="4"/>
  <c r="X852" i="4" s="1"/>
  <c r="U1117" i="4"/>
  <c r="X1117" i="4" s="1"/>
  <c r="U824" i="4"/>
  <c r="X824" i="4" s="1"/>
  <c r="U684" i="4"/>
  <c r="U748" i="4"/>
  <c r="U854" i="4"/>
  <c r="X854" i="4" s="1"/>
  <c r="U1081" i="4"/>
  <c r="X1081" i="4" s="1"/>
  <c r="U1109" i="4"/>
  <c r="U996" i="4"/>
  <c r="U1023" i="4"/>
  <c r="U960" i="4"/>
  <c r="U1029" i="4"/>
  <c r="X1029" i="4" s="1"/>
  <c r="U1145" i="4"/>
  <c r="X1145" i="4" s="1"/>
  <c r="U889" i="4"/>
  <c r="X889" i="4" s="1"/>
  <c r="U953" i="4"/>
  <c r="X953" i="4" s="1"/>
  <c r="U1020" i="4"/>
  <c r="X1020" i="4" s="1"/>
  <c r="U1201" i="4"/>
  <c r="X1201" i="4" s="1"/>
  <c r="U1265" i="4"/>
  <c r="X1265" i="4" s="1"/>
  <c r="U1094" i="4"/>
  <c r="U1158" i="4"/>
  <c r="U1222" i="4"/>
  <c r="U1286" i="4"/>
  <c r="U1103" i="4"/>
  <c r="X1103" i="4" s="1"/>
  <c r="U1167" i="4"/>
  <c r="X1167" i="4" s="1"/>
  <c r="U1231" i="4"/>
  <c r="X1231" i="4" s="1"/>
  <c r="U1295" i="4"/>
  <c r="X1295" i="4" s="1"/>
  <c r="U1088" i="4"/>
  <c r="X1088" i="4" s="1"/>
  <c r="U1152" i="4"/>
  <c r="U1216" i="4"/>
  <c r="X1216" i="4" s="1"/>
  <c r="U1280" i="4"/>
  <c r="X1280" i="4" s="1"/>
  <c r="U163" i="4"/>
  <c r="X163" i="4" s="1"/>
  <c r="U47" i="4"/>
  <c r="X47" i="4" s="1"/>
  <c r="U100" i="4"/>
  <c r="U269" i="4"/>
  <c r="U473" i="4"/>
  <c r="X473" i="4" s="1"/>
  <c r="U450" i="4"/>
  <c r="X450" i="4" s="1"/>
  <c r="U396" i="4"/>
  <c r="X396" i="4" s="1"/>
  <c r="U415" i="4"/>
  <c r="X415" i="4" s="1"/>
  <c r="U565" i="4"/>
  <c r="X565" i="4" s="1"/>
  <c r="U274" i="4"/>
  <c r="X274" i="4" s="1"/>
  <c r="U338" i="4"/>
  <c r="U552" i="4"/>
  <c r="U447" i="4"/>
  <c r="X447" i="4" s="1"/>
  <c r="U251" i="4"/>
  <c r="X251" i="4" s="1"/>
  <c r="U315" i="4"/>
  <c r="X315" i="4" s="1"/>
  <c r="U412" i="4"/>
  <c r="X412" i="4" s="1"/>
  <c r="U408" i="4"/>
  <c r="U364" i="4"/>
  <c r="X364" i="4" s="1"/>
  <c r="U192" i="4"/>
  <c r="X192" i="4" s="1"/>
  <c r="U256" i="4"/>
  <c r="X256" i="4" s="1"/>
  <c r="U320" i="4"/>
  <c r="X320" i="4" s="1"/>
  <c r="U418" i="4"/>
  <c r="X418" i="4" s="1"/>
  <c r="U761" i="4"/>
  <c r="X761" i="4" s="1"/>
  <c r="U729" i="4"/>
  <c r="U662" i="4"/>
  <c r="X662" i="4" s="1"/>
  <c r="U639" i="4"/>
  <c r="X639" i="4" s="1"/>
  <c r="U463" i="4"/>
  <c r="U585" i="4"/>
  <c r="X585" i="4" s="1"/>
  <c r="U686" i="4"/>
  <c r="U687" i="4"/>
  <c r="X687" i="4" s="1"/>
  <c r="U770" i="4"/>
  <c r="X770" i="4" s="1"/>
  <c r="U480" i="4"/>
  <c r="X480" i="4" s="1"/>
  <c r="U627" i="4"/>
  <c r="X627" i="4" s="1"/>
  <c r="U725" i="4"/>
  <c r="X725" i="4" s="1"/>
  <c r="U666" i="4"/>
  <c r="X666" i="4" s="1"/>
  <c r="U839" i="4"/>
  <c r="U927" i="4"/>
  <c r="X927" i="4" s="1"/>
  <c r="U813" i="4"/>
  <c r="X813" i="4" s="1"/>
  <c r="U805" i="4"/>
  <c r="X805" i="4" s="1"/>
  <c r="U862" i="4"/>
  <c r="X862" i="4" s="1"/>
  <c r="U931" i="4"/>
  <c r="U723" i="4"/>
  <c r="X723" i="4" s="1"/>
  <c r="U875" i="4"/>
  <c r="U764" i="4"/>
  <c r="X764" i="4" s="1"/>
  <c r="U843" i="4"/>
  <c r="X843" i="4" s="1"/>
  <c r="U688" i="4"/>
  <c r="X688" i="4" s="1"/>
  <c r="U752" i="4"/>
  <c r="X752" i="4" s="1"/>
  <c r="U859" i="4"/>
  <c r="X859" i="4" s="1"/>
  <c r="U1149" i="4"/>
  <c r="X1149" i="4" s="1"/>
  <c r="U1054" i="4"/>
  <c r="X1054" i="4" s="1"/>
  <c r="U1001" i="4"/>
  <c r="U1039" i="4"/>
  <c r="X1039" i="4" s="1"/>
  <c r="U964" i="4"/>
  <c r="X964" i="4" s="1"/>
  <c r="U1034" i="4"/>
  <c r="U829" i="4"/>
  <c r="X829" i="4" s="1"/>
  <c r="U893" i="4"/>
  <c r="X893" i="4" s="1"/>
  <c r="U957" i="4"/>
  <c r="X957" i="4" s="1"/>
  <c r="U1025" i="4"/>
  <c r="X1025" i="4" s="1"/>
  <c r="U1205" i="4"/>
  <c r="X1205" i="4" s="1"/>
  <c r="U1269" i="4"/>
  <c r="X1269" i="4" s="1"/>
  <c r="U1098" i="4"/>
  <c r="U1162" i="4"/>
  <c r="U1226" i="4"/>
  <c r="U1290" i="4"/>
  <c r="U1107" i="4"/>
  <c r="X1107" i="4" s="1"/>
  <c r="U1171" i="4"/>
  <c r="X1171" i="4" s="1"/>
  <c r="U1235" i="4"/>
  <c r="X1235" i="4" s="1"/>
  <c r="U1299" i="4"/>
  <c r="X1299" i="4" s="1"/>
  <c r="U1092" i="4"/>
  <c r="X1092" i="4" s="1"/>
  <c r="U1156" i="4"/>
  <c r="X1156" i="4" s="1"/>
  <c r="U1220" i="4"/>
  <c r="U1284" i="4"/>
  <c r="U378" i="4"/>
  <c r="U121" i="4"/>
  <c r="U96" i="4"/>
  <c r="U309" i="4"/>
  <c r="U126" i="4"/>
  <c r="X126" i="4" s="1"/>
  <c r="U455" i="4"/>
  <c r="X455" i="4" s="1"/>
  <c r="U401" i="4"/>
  <c r="X401" i="4" s="1"/>
  <c r="U425" i="4"/>
  <c r="X425" i="4" s="1"/>
  <c r="U597" i="4"/>
  <c r="X597" i="4" s="1"/>
  <c r="U278" i="4"/>
  <c r="U342" i="4"/>
  <c r="U601" i="4"/>
  <c r="X601" i="4" s="1"/>
  <c r="U453" i="4"/>
  <c r="X453" i="4" s="1"/>
  <c r="U255" i="4"/>
  <c r="U319" i="4"/>
  <c r="U417" i="4"/>
  <c r="X417" i="4" s="1"/>
  <c r="U413" i="4"/>
  <c r="X413" i="4" s="1"/>
  <c r="U377" i="4"/>
  <c r="X377" i="4" s="1"/>
  <c r="U196" i="4"/>
  <c r="X196" i="4" s="1"/>
  <c r="U260" i="4"/>
  <c r="X260" i="4" s="1"/>
  <c r="U324" i="4"/>
  <c r="X324" i="4" s="1"/>
  <c r="U519" i="4"/>
  <c r="U606" i="4"/>
  <c r="U540" i="4"/>
  <c r="X540" i="4" s="1"/>
  <c r="U677" i="4"/>
  <c r="X677" i="4" s="1"/>
  <c r="U730" i="4"/>
  <c r="X730" i="4" s="1"/>
  <c r="U467" i="4"/>
  <c r="U594" i="4"/>
  <c r="X594" i="4" s="1"/>
  <c r="U694" i="4"/>
  <c r="X694" i="4" s="1"/>
  <c r="U695" i="4"/>
  <c r="X695" i="4" s="1"/>
  <c r="U918" i="4"/>
  <c r="X918" i="4" s="1"/>
  <c r="U484" i="4"/>
  <c r="X484" i="4" s="1"/>
  <c r="U673" i="4"/>
  <c r="X673" i="4" s="1"/>
  <c r="U757" i="4"/>
  <c r="X757" i="4" s="1"/>
  <c r="U714" i="4"/>
  <c r="U871" i="4"/>
  <c r="U951" i="4"/>
  <c r="X951" i="4" s="1"/>
  <c r="U826" i="4"/>
  <c r="U818" i="4"/>
  <c r="X818" i="4" s="1"/>
  <c r="U895" i="4"/>
  <c r="X895" i="4" s="1"/>
  <c r="U943" i="4"/>
  <c r="X943" i="4" s="1"/>
  <c r="U727" i="4"/>
  <c r="X727" i="4" s="1"/>
  <c r="U914" i="4"/>
  <c r="X914" i="4" s="1"/>
  <c r="U781" i="4"/>
  <c r="X781" i="4" s="1"/>
  <c r="U883" i="4"/>
  <c r="X883" i="4" s="1"/>
  <c r="U692" i="4"/>
  <c r="X692" i="4" s="1"/>
  <c r="U756" i="4"/>
  <c r="X756" i="4" s="1"/>
  <c r="U884" i="4"/>
  <c r="X884" i="4" s="1"/>
  <c r="U979" i="4"/>
  <c r="X979" i="4" s="1"/>
  <c r="U975" i="4"/>
  <c r="U1006" i="4"/>
  <c r="X1006" i="4" s="1"/>
  <c r="U1050" i="4"/>
  <c r="X1050" i="4" s="1"/>
  <c r="U968" i="4"/>
  <c r="X968" i="4" s="1"/>
  <c r="U1040" i="4"/>
  <c r="X1040" i="4" s="1"/>
  <c r="U833" i="4"/>
  <c r="X833" i="4" s="1"/>
  <c r="U897" i="4"/>
  <c r="X897" i="4" s="1"/>
  <c r="U961" i="4"/>
  <c r="X961" i="4" s="1"/>
  <c r="U1030" i="4"/>
  <c r="U1209" i="4"/>
  <c r="X1209" i="4" s="1"/>
  <c r="U1273" i="4"/>
  <c r="X1273" i="4" s="1"/>
  <c r="U1102" i="4"/>
  <c r="X1102" i="4" s="1"/>
  <c r="U1166" i="4"/>
  <c r="X1166" i="4" s="1"/>
  <c r="U1230" i="4"/>
  <c r="X1230" i="4" s="1"/>
  <c r="U1294" i="4"/>
  <c r="X1294" i="4" s="1"/>
  <c r="U1111" i="4"/>
  <c r="X1111" i="4" s="1"/>
  <c r="U1175" i="4"/>
  <c r="X1175" i="4" s="1"/>
  <c r="U1239" i="4"/>
  <c r="X1239" i="4" s="1"/>
  <c r="U1303" i="4"/>
  <c r="X1303" i="4" s="1"/>
  <c r="U1096" i="4"/>
  <c r="U1160" i="4"/>
  <c r="U1224" i="4"/>
  <c r="U1288" i="4"/>
  <c r="U144" i="4"/>
  <c r="U325" i="4"/>
  <c r="X325" i="4" s="1"/>
  <c r="U97" i="4"/>
  <c r="X97" i="4" s="1"/>
  <c r="U92" i="4"/>
  <c r="U219" i="4"/>
  <c r="X219" i="4" s="1"/>
  <c r="U281" i="4"/>
  <c r="U461" i="4"/>
  <c r="U410" i="4"/>
  <c r="X410" i="4" s="1"/>
  <c r="U430" i="4"/>
  <c r="X430" i="4" s="1"/>
  <c r="U667" i="4"/>
  <c r="X667" i="4" s="1"/>
  <c r="U282" i="4"/>
  <c r="U346" i="4"/>
  <c r="U674" i="4"/>
  <c r="X674" i="4" s="1"/>
  <c r="U458" i="4"/>
  <c r="X458" i="4" s="1"/>
  <c r="U259" i="4"/>
  <c r="X259" i="4" s="1"/>
  <c r="U323" i="4"/>
  <c r="X323" i="4" s="1"/>
  <c r="U470" i="4"/>
  <c r="U422" i="4"/>
  <c r="X422" i="4" s="1"/>
  <c r="U510" i="4"/>
  <c r="X510" i="4" s="1"/>
  <c r="U200" i="4"/>
  <c r="U264" i="4"/>
  <c r="U328" i="4"/>
  <c r="U544" i="4"/>
  <c r="X544" i="4" s="1"/>
  <c r="U615" i="4"/>
  <c r="X615" i="4" s="1"/>
  <c r="U553" i="4"/>
  <c r="X553" i="4" s="1"/>
  <c r="U685" i="4"/>
  <c r="X685" i="4" s="1"/>
  <c r="U511" i="4"/>
  <c r="X511" i="4" s="1"/>
  <c r="U471" i="4"/>
  <c r="X471" i="4" s="1"/>
  <c r="U603" i="4"/>
  <c r="U702" i="4"/>
  <c r="X702" i="4" s="1"/>
  <c r="U713" i="4"/>
  <c r="X713" i="4" s="1"/>
  <c r="U424" i="4"/>
  <c r="X424" i="4" s="1"/>
  <c r="U488" i="4"/>
  <c r="X488" i="4" s="1"/>
  <c r="U705" i="4"/>
  <c r="X705" i="4" s="1"/>
  <c r="U774" i="4"/>
  <c r="X774" i="4" s="1"/>
  <c r="U746" i="4"/>
  <c r="U878" i="4"/>
  <c r="U766" i="4"/>
  <c r="U840" i="4"/>
  <c r="U831" i="4"/>
  <c r="X831" i="4" s="1"/>
  <c r="U903" i="4"/>
  <c r="X903" i="4" s="1"/>
  <c r="U971" i="4"/>
  <c r="X971" i="4" s="1"/>
  <c r="U731" i="4"/>
  <c r="U958" i="4"/>
  <c r="X958" i="4" s="1"/>
  <c r="U794" i="4"/>
  <c r="X794" i="4" s="1"/>
  <c r="U947" i="4"/>
  <c r="X947" i="4" s="1"/>
  <c r="U696" i="4"/>
  <c r="X696" i="4" s="1"/>
  <c r="U773" i="4"/>
  <c r="X773" i="4" s="1"/>
  <c r="U891" i="4"/>
  <c r="X891" i="4" s="1"/>
  <c r="U984" i="4"/>
  <c r="X984" i="4" s="1"/>
  <c r="U995" i="4"/>
  <c r="X995" i="4" s="1"/>
  <c r="U1012" i="4"/>
  <c r="U1085" i="4"/>
  <c r="X1085" i="4" s="1"/>
  <c r="U972" i="4"/>
  <c r="X972" i="4" s="1"/>
  <c r="U1051" i="4"/>
  <c r="U837" i="4"/>
  <c r="X837" i="4" s="1"/>
  <c r="U901" i="4"/>
  <c r="X901" i="4" s="1"/>
  <c r="U965" i="4"/>
  <c r="X965" i="4" s="1"/>
  <c r="U1036" i="4"/>
  <c r="U1213" i="4"/>
  <c r="X1213" i="4" s="1"/>
  <c r="U1277" i="4"/>
  <c r="X1277" i="4" s="1"/>
  <c r="U1106" i="4"/>
  <c r="X1106" i="4" s="1"/>
  <c r="U1170" i="4"/>
  <c r="X1170" i="4" s="1"/>
  <c r="U1234" i="4"/>
  <c r="X1234" i="4" s="1"/>
  <c r="U1298" i="4"/>
  <c r="X1298" i="4" s="1"/>
  <c r="U1115" i="4"/>
  <c r="X1115" i="4" s="1"/>
  <c r="U1179" i="4"/>
  <c r="U1243" i="4"/>
  <c r="U1307" i="4"/>
  <c r="U1100" i="4"/>
  <c r="X1100" i="4" s="1"/>
  <c r="U1164" i="4"/>
  <c r="U1228" i="4"/>
  <c r="X1228" i="4" s="1"/>
  <c r="U1292" i="4"/>
  <c r="U112" i="4"/>
  <c r="X112" i="4" s="1"/>
  <c r="U107" i="4"/>
  <c r="U117" i="4"/>
  <c r="X117" i="4" s="1"/>
  <c r="U478" i="4"/>
  <c r="X478" i="4" s="1"/>
  <c r="U419" i="4"/>
  <c r="X419" i="4" s="1"/>
  <c r="U435" i="4"/>
  <c r="U222" i="4"/>
  <c r="X222" i="4" s="1"/>
  <c r="U286" i="4"/>
  <c r="X286" i="4" s="1"/>
  <c r="U350" i="4"/>
  <c r="X350" i="4" s="1"/>
  <c r="U371" i="4"/>
  <c r="U501" i="4"/>
  <c r="U263" i="4"/>
  <c r="X263" i="4" s="1"/>
  <c r="U327" i="4"/>
  <c r="X327" i="4" s="1"/>
  <c r="U494" i="4"/>
  <c r="X494" i="4" s="1"/>
  <c r="U427" i="4"/>
  <c r="X427" i="4" s="1"/>
  <c r="U531" i="4"/>
  <c r="X531" i="4" s="1"/>
  <c r="U204" i="4"/>
  <c r="U268" i="4"/>
  <c r="U332" i="4"/>
  <c r="U369" i="4"/>
  <c r="X369" i="4" s="1"/>
  <c r="U629" i="4"/>
  <c r="X629" i="4" s="1"/>
  <c r="U570" i="4"/>
  <c r="U693" i="4"/>
  <c r="X693" i="4" s="1"/>
  <c r="U528" i="4"/>
  <c r="X528" i="4" s="1"/>
  <c r="U475" i="4"/>
  <c r="U617" i="4"/>
  <c r="X617" i="4" s="1"/>
  <c r="U733" i="4"/>
  <c r="U722" i="4"/>
  <c r="X722" i="4" s="1"/>
  <c r="U428" i="4"/>
  <c r="X428" i="4" s="1"/>
  <c r="U492" i="4"/>
  <c r="X492" i="4" s="1"/>
  <c r="U734" i="4"/>
  <c r="X734" i="4" s="1"/>
  <c r="U938" i="4"/>
  <c r="X938" i="4" s="1"/>
  <c r="U509" i="4"/>
  <c r="X509" i="4" s="1"/>
  <c r="U892" i="4"/>
  <c r="U783" i="4"/>
  <c r="X783" i="4" s="1"/>
  <c r="U879" i="4"/>
  <c r="X879" i="4" s="1"/>
  <c r="U846" i="4"/>
  <c r="X846" i="4" s="1"/>
  <c r="U911" i="4"/>
  <c r="X911" i="4" s="1"/>
  <c r="U759" i="4"/>
  <c r="X759" i="4" s="1"/>
  <c r="U735" i="4"/>
  <c r="U768" i="4"/>
  <c r="X768" i="4" s="1"/>
  <c r="U811" i="4"/>
  <c r="X811" i="4" s="1"/>
  <c r="U1137" i="4"/>
  <c r="X1137" i="4" s="1"/>
  <c r="U700" i="4"/>
  <c r="X700" i="4" s="1"/>
  <c r="U786" i="4"/>
  <c r="X786" i="4" s="1"/>
  <c r="U899" i="4"/>
  <c r="U989" i="4"/>
  <c r="X989" i="4" s="1"/>
  <c r="U1011" i="4"/>
  <c r="X1011" i="4" s="1"/>
  <c r="U1017" i="4"/>
  <c r="X1017" i="4" s="1"/>
  <c r="U912" i="4"/>
  <c r="X912" i="4" s="1"/>
  <c r="U981" i="4"/>
  <c r="X981" i="4" s="1"/>
  <c r="U1057" i="4"/>
  <c r="U841" i="4"/>
  <c r="X841" i="4" s="1"/>
  <c r="U905" i="4"/>
  <c r="X905" i="4" s="1"/>
  <c r="U969" i="4"/>
  <c r="X969" i="4" s="1"/>
  <c r="U1041" i="4"/>
  <c r="U1217" i="4"/>
  <c r="X1217" i="4" s="1"/>
  <c r="U1281" i="4"/>
  <c r="X1281" i="4" s="1"/>
  <c r="U1110" i="4"/>
  <c r="X1110" i="4" s="1"/>
  <c r="U1174" i="4"/>
  <c r="X1174" i="4" s="1"/>
  <c r="U1238" i="4"/>
  <c r="X1238" i="4" s="1"/>
  <c r="U1302" i="4"/>
  <c r="X1302" i="4" s="1"/>
  <c r="U1119" i="4"/>
  <c r="X1119" i="4" s="1"/>
  <c r="U1183" i="4"/>
  <c r="X1183" i="4" s="1"/>
  <c r="U1247" i="4"/>
  <c r="X1247" i="4" s="1"/>
  <c r="U1311" i="4"/>
  <c r="X1311" i="4" s="1"/>
  <c r="U1104" i="4"/>
  <c r="X1104" i="4" s="1"/>
  <c r="U1168" i="4"/>
  <c r="X1168" i="4" s="1"/>
  <c r="U1232" i="4"/>
  <c r="X1232" i="4" s="1"/>
  <c r="U1296" i="4"/>
  <c r="X1296" i="4" s="1"/>
  <c r="U103" i="4"/>
  <c r="X103" i="4" s="1"/>
  <c r="U253" i="4"/>
  <c r="X253" i="4" s="1"/>
  <c r="U265" i="4"/>
  <c r="X265" i="4" s="1"/>
  <c r="U162" i="4"/>
  <c r="U50" i="4"/>
  <c r="X50" i="4" s="1"/>
  <c r="U361" i="4"/>
  <c r="U223" i="4"/>
  <c r="U89" i="4"/>
  <c r="U221" i="4"/>
  <c r="X221" i="4" s="1"/>
  <c r="U12" i="4"/>
  <c r="U51" i="4"/>
  <c r="X51" i="4" s="1"/>
  <c r="U84" i="4"/>
  <c r="U218" i="4"/>
  <c r="U27" i="4"/>
  <c r="X27" i="4" s="1"/>
  <c r="U490" i="4"/>
  <c r="U485" i="4"/>
  <c r="X485" i="4" s="1"/>
  <c r="U441" i="4"/>
  <c r="X441" i="4" s="1"/>
  <c r="U226" i="4"/>
  <c r="X226" i="4" s="1"/>
  <c r="U290" i="4"/>
  <c r="X290" i="4" s="1"/>
  <c r="U354" i="4"/>
  <c r="X354" i="4" s="1"/>
  <c r="U481" i="4"/>
  <c r="U516" i="4"/>
  <c r="U267" i="4"/>
  <c r="X267" i="4" s="1"/>
  <c r="U331" i="4"/>
  <c r="X331" i="4" s="1"/>
  <c r="U518" i="4"/>
  <c r="X518" i="4" s="1"/>
  <c r="U433" i="4"/>
  <c r="X433" i="4" s="1"/>
  <c r="U557" i="4"/>
  <c r="X557" i="4" s="1"/>
  <c r="U208" i="4"/>
  <c r="U272" i="4"/>
  <c r="U336" i="4"/>
  <c r="U466" i="4"/>
  <c r="X466" i="4" s="1"/>
  <c r="U638" i="4"/>
  <c r="X638" i="4" s="1"/>
  <c r="U579" i="4"/>
  <c r="X579" i="4" s="1"/>
  <c r="U701" i="4"/>
  <c r="X701" i="4" s="1"/>
  <c r="U541" i="4"/>
  <c r="X541" i="4" s="1"/>
  <c r="U479" i="4"/>
  <c r="X479" i="4" s="1"/>
  <c r="U626" i="4"/>
  <c r="X626" i="4" s="1"/>
  <c r="U529" i="4"/>
  <c r="U754" i="4"/>
  <c r="U432" i="4"/>
  <c r="X432" i="4" s="1"/>
  <c r="U496" i="4"/>
  <c r="X496" i="4" s="1"/>
  <c r="U771" i="4"/>
  <c r="X771" i="4" s="1"/>
  <c r="U513" i="4"/>
  <c r="X513" i="4" s="1"/>
  <c r="U526" i="4"/>
  <c r="X526" i="4" s="1"/>
  <c r="U900" i="4"/>
  <c r="X900" i="4" s="1"/>
  <c r="U800" i="4"/>
  <c r="U967" i="4"/>
  <c r="X967" i="4" s="1"/>
  <c r="U856" i="4"/>
  <c r="U955" i="4"/>
  <c r="X955" i="4" s="1"/>
  <c r="U776" i="4"/>
  <c r="X776" i="4" s="1"/>
  <c r="U739" i="4"/>
  <c r="U785" i="4"/>
  <c r="U828" i="4"/>
  <c r="X828" i="4" s="1"/>
  <c r="U640" i="4"/>
  <c r="X640" i="4" s="1"/>
  <c r="U704" i="4"/>
  <c r="X704" i="4" s="1"/>
  <c r="U803" i="4"/>
  <c r="X803" i="4" s="1"/>
  <c r="U907" i="4"/>
  <c r="X907" i="4" s="1"/>
  <c r="U994" i="4"/>
  <c r="U1027" i="4"/>
  <c r="U1022" i="4"/>
  <c r="X1022" i="4" s="1"/>
  <c r="U916" i="4"/>
  <c r="X916" i="4" s="1"/>
  <c r="U1045" i="4"/>
  <c r="X1045" i="4" s="1"/>
  <c r="U1069" i="4"/>
  <c r="U845" i="4"/>
  <c r="X845" i="4" s="1"/>
  <c r="U909" i="4"/>
  <c r="X909" i="4" s="1"/>
  <c r="U973" i="4"/>
  <c r="X973" i="4" s="1"/>
  <c r="U1058" i="4"/>
  <c r="X1058" i="4" s="1"/>
  <c r="U1221" i="4"/>
  <c r="X1221" i="4" s="1"/>
  <c r="U1285" i="4"/>
  <c r="X1285" i="4" s="1"/>
  <c r="U1114" i="4"/>
  <c r="X1114" i="4" s="1"/>
  <c r="U1178" i="4"/>
  <c r="X1178" i="4" s="1"/>
  <c r="U1242" i="4"/>
  <c r="X1242" i="4" s="1"/>
  <c r="U1306" i="4"/>
  <c r="X1306" i="4" s="1"/>
  <c r="U1123" i="4"/>
  <c r="X1123" i="4" s="1"/>
  <c r="U1187" i="4"/>
  <c r="X1187" i="4" s="1"/>
  <c r="U1251" i="4"/>
  <c r="X1251" i="4" s="1"/>
  <c r="U1044" i="4"/>
  <c r="X1044" i="4" s="1"/>
  <c r="U1108" i="4"/>
  <c r="X1108" i="4" s="1"/>
  <c r="U1172" i="4"/>
  <c r="X1172" i="4" s="1"/>
  <c r="U1236" i="4"/>
  <c r="X1236" i="4" s="1"/>
  <c r="U1300" i="4"/>
  <c r="X1300" i="4" s="1"/>
  <c r="U99" i="4"/>
  <c r="X99" i="4" s="1"/>
  <c r="U148" i="4"/>
  <c r="X148" i="4" s="1"/>
  <c r="U111" i="4"/>
  <c r="X111" i="4" s="1"/>
  <c r="U46" i="4"/>
  <c r="X46" i="4" s="1"/>
  <c r="U106" i="4"/>
  <c r="X106" i="4" s="1"/>
  <c r="U124" i="4"/>
  <c r="X124" i="4" s="1"/>
  <c r="U13" i="4"/>
  <c r="X13" i="4" s="1"/>
  <c r="U81" i="4"/>
  <c r="U146" i="4"/>
  <c r="X146" i="4" s="1"/>
  <c r="U213" i="4"/>
  <c r="X213" i="4" s="1"/>
  <c r="U60" i="4"/>
  <c r="X60" i="4" s="1"/>
  <c r="U127" i="4"/>
  <c r="X127" i="4" s="1"/>
  <c r="U257" i="4"/>
  <c r="X257" i="4" s="1"/>
  <c r="U80" i="4"/>
  <c r="X80" i="4" s="1"/>
  <c r="U365" i="4"/>
  <c r="X365" i="4" s="1"/>
  <c r="U574" i="4"/>
  <c r="X574" i="4" s="1"/>
  <c r="U535" i="4"/>
  <c r="X535" i="4" s="1"/>
  <c r="U446" i="4"/>
  <c r="X446" i="4" s="1"/>
  <c r="U230" i="4"/>
  <c r="X230" i="4" s="1"/>
  <c r="U294" i="4"/>
  <c r="X294" i="4" s="1"/>
  <c r="U358" i="4"/>
  <c r="X358" i="4" s="1"/>
  <c r="U367" i="4"/>
  <c r="X367" i="4" s="1"/>
  <c r="U527" i="4"/>
  <c r="U271" i="4"/>
  <c r="X271" i="4" s="1"/>
  <c r="U335" i="4"/>
  <c r="X335" i="4" s="1"/>
  <c r="U556" i="4"/>
  <c r="U438" i="4"/>
  <c r="U587" i="4"/>
  <c r="U212" i="4"/>
  <c r="X212" i="4" s="1"/>
  <c r="U276" i="4"/>
  <c r="X276" i="4" s="1"/>
  <c r="U340" i="4"/>
  <c r="X340" i="4" s="1"/>
  <c r="U497" i="4"/>
  <c r="X497" i="4" s="1"/>
  <c r="U675" i="4"/>
  <c r="U593" i="4"/>
  <c r="U741" i="4"/>
  <c r="X741" i="4" s="1"/>
  <c r="U558" i="4"/>
  <c r="X558" i="4" s="1"/>
  <c r="U483" i="4"/>
  <c r="X483" i="4" s="1"/>
  <c r="U635" i="4"/>
  <c r="X635" i="4" s="1"/>
  <c r="U546" i="4"/>
  <c r="U512" i="4"/>
  <c r="X512" i="4" s="1"/>
  <c r="U436" i="4"/>
  <c r="X436" i="4" s="1"/>
  <c r="U500" i="4"/>
  <c r="X500" i="4" s="1"/>
  <c r="U825" i="4"/>
  <c r="X825" i="4" s="1"/>
  <c r="U530" i="4"/>
  <c r="X530" i="4" s="1"/>
  <c r="U543" i="4"/>
  <c r="X543" i="4" s="1"/>
  <c r="U908" i="4"/>
  <c r="X908" i="4" s="1"/>
  <c r="U817" i="4"/>
  <c r="U1059" i="4"/>
  <c r="X1059" i="4" s="1"/>
  <c r="U867" i="4"/>
  <c r="U970" i="4"/>
  <c r="X970" i="4" s="1"/>
  <c r="U793" i="4"/>
  <c r="U743" i="4"/>
  <c r="X743" i="4" s="1"/>
  <c r="U798" i="4"/>
  <c r="U838" i="4"/>
  <c r="X838" i="4" s="1"/>
  <c r="U644" i="4"/>
  <c r="U708" i="4"/>
  <c r="U820" i="4"/>
  <c r="X820" i="4" s="1"/>
  <c r="U926" i="4"/>
  <c r="X926" i="4" s="1"/>
  <c r="U1000" i="4"/>
  <c r="U1043" i="4"/>
  <c r="X1043" i="4" s="1"/>
  <c r="U1028" i="4"/>
  <c r="X1028" i="4" s="1"/>
  <c r="U920" i="4"/>
  <c r="U1062" i="4"/>
  <c r="X1062" i="4" s="1"/>
  <c r="U1077" i="4"/>
  <c r="X1077" i="4" s="1"/>
  <c r="U849" i="4"/>
  <c r="U913" i="4"/>
  <c r="U982" i="4"/>
  <c r="X982" i="4" s="1"/>
  <c r="U1125" i="4"/>
  <c r="X1125" i="4" s="1"/>
  <c r="U1225" i="4"/>
  <c r="X1225" i="4" s="1"/>
  <c r="U1289" i="4"/>
  <c r="X1289" i="4" s="1"/>
  <c r="U1118" i="4"/>
  <c r="X1118" i="4" s="1"/>
  <c r="U1182" i="4"/>
  <c r="X1182" i="4" s="1"/>
  <c r="U1246" i="4"/>
  <c r="X1246" i="4" s="1"/>
  <c r="U1310" i="4"/>
  <c r="X1310" i="4" s="1"/>
  <c r="U1127" i="4"/>
  <c r="X1127" i="4" s="1"/>
  <c r="U1191" i="4"/>
  <c r="X1191" i="4" s="1"/>
  <c r="U1255" i="4"/>
  <c r="X1255" i="4" s="1"/>
  <c r="U1048" i="4"/>
  <c r="X1048" i="4" s="1"/>
  <c r="U1112" i="4"/>
  <c r="X1112" i="4" s="1"/>
  <c r="U1176" i="4"/>
  <c r="X1176" i="4" s="1"/>
  <c r="U1240" i="4"/>
  <c r="X1240" i="4" s="1"/>
  <c r="U1304" i="4"/>
  <c r="X1304" i="4" s="1"/>
  <c r="U95" i="4"/>
  <c r="U217" i="4"/>
  <c r="X217" i="4" s="1"/>
  <c r="I5" i="36" a="1"/>
  <c r="X151" i="4" l="1"/>
  <c r="X26" i="4"/>
  <c r="X32" i="4"/>
  <c r="X129" i="4"/>
  <c r="X170" i="4"/>
  <c r="X44" i="4"/>
  <c r="X175" i="4"/>
  <c r="X313" i="4"/>
  <c r="X191" i="4"/>
  <c r="X147" i="4"/>
  <c r="X17" i="4"/>
  <c r="X177" i="4"/>
  <c r="X207" i="4"/>
  <c r="X233" i="4"/>
  <c r="X43" i="4"/>
  <c r="X309" i="4"/>
  <c r="X16" i="4"/>
  <c r="X73" i="4"/>
  <c r="X114" i="4"/>
  <c r="X104" i="4"/>
  <c r="I5" i="36"/>
  <c r="I6" i="36" s="1"/>
  <c r="X89" i="4"/>
  <c r="X1164" i="4"/>
  <c r="X840" i="4"/>
  <c r="X748" i="4"/>
  <c r="X790" i="4"/>
  <c r="X86" i="4"/>
  <c r="X754" i="4"/>
  <c r="X766" i="4"/>
  <c r="X1034" i="4"/>
  <c r="X684" i="4"/>
  <c r="X481" i="4"/>
  <c r="X1012" i="4"/>
  <c r="X92" i="4"/>
  <c r="X690" i="4"/>
  <c r="X620" i="4"/>
  <c r="X193" i="4"/>
  <c r="X896" i="4"/>
  <c r="X939" i="4"/>
  <c r="X593" i="4"/>
  <c r="X739" i="4"/>
  <c r="X619" i="4"/>
  <c r="X860" i="4"/>
  <c r="X317" i="4"/>
  <c r="X675" i="4"/>
  <c r="X144" i="4"/>
  <c r="X390" i="4"/>
  <c r="X357" i="4"/>
  <c r="X1283" i="4"/>
  <c r="X1072" i="4"/>
  <c r="X793" i="4"/>
  <c r="X1290" i="4"/>
  <c r="X1219" i="4"/>
  <c r="X737" i="4"/>
  <c r="X527" i="4"/>
  <c r="X1226" i="4"/>
  <c r="X1155" i="4"/>
  <c r="X1162" i="4"/>
  <c r="X1091" i="4"/>
  <c r="X336" i="4"/>
  <c r="X1098" i="4"/>
  <c r="X960" i="4"/>
  <c r="X122" i="4"/>
  <c r="X272" i="4"/>
  <c r="X218" i="4"/>
  <c r="X346" i="4"/>
  <c r="X782" i="4"/>
  <c r="X359" i="4"/>
  <c r="X215" i="4"/>
  <c r="X546" i="4"/>
  <c r="X95" i="4"/>
  <c r="X208" i="4"/>
  <c r="X282" i="4"/>
  <c r="X875" i="4"/>
  <c r="X1109" i="4"/>
  <c r="X697" i="4"/>
  <c r="X231" i="4"/>
  <c r="X556" i="4"/>
  <c r="X1027" i="4"/>
  <c r="X1292" i="4"/>
  <c r="X378" i="4"/>
  <c r="X52" i="4"/>
  <c r="X100" i="4"/>
  <c r="X474" i="4"/>
  <c r="X96" i="4"/>
  <c r="X235" i="4"/>
  <c r="X18" i="4"/>
  <c r="X15" i="4"/>
  <c r="X383" i="4"/>
  <c r="X113" i="4"/>
  <c r="X250" i="4"/>
  <c r="X36" i="4"/>
  <c r="X301" i="4"/>
  <c r="X295" i="4"/>
  <c r="X155" i="4"/>
  <c r="X130" i="4"/>
  <c r="X245" i="4"/>
  <c r="X157" i="4"/>
  <c r="X63" i="4"/>
  <c r="X12" i="4"/>
  <c r="X931" i="4"/>
  <c r="X740" i="4"/>
  <c r="X646" i="4"/>
  <c r="X414" i="4"/>
  <c r="X81" i="4"/>
  <c r="X1284" i="4"/>
  <c r="X676" i="4"/>
  <c r="X1220" i="4"/>
  <c r="X1275" i="4"/>
  <c r="X223" i="4"/>
  <c r="X328" i="4"/>
  <c r="X888" i="4"/>
  <c r="X1211" i="4"/>
  <c r="X798" i="4"/>
  <c r="X878" i="4"/>
  <c r="X264" i="4"/>
  <c r="X362" i="4"/>
  <c r="X1147" i="4"/>
  <c r="X1026" i="4"/>
  <c r="X733" i="4"/>
  <c r="X746" i="4"/>
  <c r="X200" i="4"/>
  <c r="X1083" i="4"/>
  <c r="X978" i="4"/>
  <c r="X785" i="4"/>
  <c r="X371" i="4"/>
  <c r="X682" i="4"/>
  <c r="X349" i="4"/>
  <c r="X913" i="4"/>
  <c r="X475" i="4"/>
  <c r="X849" i="4"/>
  <c r="X867" i="4"/>
  <c r="X1019" i="4"/>
  <c r="X179" i="4"/>
  <c r="X709" i="4"/>
  <c r="X1282" i="4"/>
  <c r="X1218" i="4"/>
  <c r="X1080" i="4"/>
  <c r="X952" i="4"/>
  <c r="X502" i="4"/>
  <c r="X796" i="4"/>
  <c r="X1154" i="4"/>
  <c r="X778" i="4"/>
  <c r="X368" i="4"/>
  <c r="X1057" i="4"/>
  <c r="X1090" i="4"/>
  <c r="X681" i="4"/>
  <c r="X1000" i="4"/>
  <c r="X84" i="4"/>
  <c r="X107" i="4"/>
  <c r="X1036" i="4"/>
  <c r="X731" i="4"/>
  <c r="X338" i="4"/>
  <c r="X996" i="4"/>
  <c r="X136" i="4"/>
  <c r="X721" i="4"/>
  <c r="X578" i="4"/>
  <c r="X647" i="4"/>
  <c r="X71" i="4"/>
  <c r="X28" i="4"/>
  <c r="X131" i="4"/>
  <c r="X123" i="4"/>
  <c r="X24" i="4"/>
  <c r="X94" i="4"/>
  <c r="X289" i="4"/>
  <c r="X305" i="4"/>
  <c r="X39" i="4"/>
  <c r="X162" i="4"/>
  <c r="X1179" i="4"/>
  <c r="X467" i="4"/>
  <c r="X945" i="4"/>
  <c r="X429" i="4"/>
  <c r="X987" i="4"/>
  <c r="X470" i="4"/>
  <c r="X408" i="4"/>
  <c r="X472" i="4"/>
  <c r="X48" i="4"/>
  <c r="X1293" i="4"/>
  <c r="X758" i="4"/>
  <c r="X856" i="4"/>
  <c r="X435" i="4"/>
  <c r="X606" i="4"/>
  <c r="X920" i="4"/>
  <c r="X490" i="4"/>
  <c r="X1160" i="4"/>
  <c r="X519" i="4"/>
  <c r="X1152" i="4"/>
  <c r="X1069" i="4"/>
  <c r="X800" i="4"/>
  <c r="X603" i="4"/>
  <c r="X1096" i="4"/>
  <c r="X983" i="4"/>
  <c r="X178" i="4"/>
  <c r="X1261" i="4"/>
  <c r="X817" i="4"/>
  <c r="X438" i="4"/>
  <c r="X714" i="4"/>
  <c r="X1197" i="4"/>
  <c r="X587" i="4"/>
  <c r="X975" i="4"/>
  <c r="X621" i="4"/>
  <c r="X622" i="4"/>
  <c r="X1271" i="4"/>
  <c r="X994" i="4"/>
  <c r="X618" i="4"/>
  <c r="X421" i="4"/>
  <c r="X360" i="4"/>
  <c r="X1207" i="4"/>
  <c r="X1129" i="4"/>
  <c r="X582" i="4"/>
  <c r="X164" i="4"/>
  <c r="X145" i="4"/>
  <c r="X1301" i="4"/>
  <c r="X923" i="4"/>
  <c r="X520" i="4"/>
  <c r="X398" i="4"/>
  <c r="X1120" i="4"/>
  <c r="X986" i="4"/>
  <c r="X850" i="4"/>
  <c r="X348" i="4"/>
  <c r="X391" i="4"/>
  <c r="X375" i="4"/>
  <c r="X296" i="4"/>
  <c r="X1143" i="4"/>
  <c r="X644" i="4"/>
  <c r="X899" i="4"/>
  <c r="X1051" i="4"/>
  <c r="X461" i="4"/>
  <c r="X319" i="4"/>
  <c r="X802" i="4"/>
  <c r="X232" i="4"/>
  <c r="X1079" i="4"/>
  <c r="X1161" i="4"/>
  <c r="X281" i="4"/>
  <c r="X255" i="4"/>
  <c r="X168" i="4"/>
  <c r="X516" i="4"/>
  <c r="X1307" i="4"/>
  <c r="X1198" i="4"/>
  <c r="X874" i="4"/>
  <c r="X708" i="4"/>
  <c r="X1243" i="4"/>
  <c r="X121" i="4"/>
  <c r="X1141" i="4"/>
  <c r="X642" i="4"/>
  <c r="X228" i="4"/>
  <c r="X174" i="4"/>
  <c r="X1130" i="4"/>
  <c r="X656" i="4"/>
  <c r="X590" i="4"/>
  <c r="X380" i="4"/>
  <c r="X1184" i="4"/>
  <c r="X977" i="4"/>
  <c r="X775" i="4"/>
  <c r="X633" i="4"/>
  <c r="X333" i="4"/>
  <c r="X487" i="4"/>
  <c r="X853" i="4"/>
  <c r="X1133" i="4"/>
  <c r="X382" i="4"/>
  <c r="X729" i="4"/>
  <c r="X1286" i="4"/>
  <c r="X105" i="4"/>
  <c r="X1021" i="4"/>
  <c r="X568" i="4"/>
  <c r="X459" i="4"/>
  <c r="X56" i="4"/>
  <c r="X1237" i="4"/>
  <c r="X863" i="4"/>
  <c r="X495" i="4"/>
  <c r="X393" i="4"/>
  <c r="X1056" i="4"/>
  <c r="X928" i="4"/>
  <c r="X963" i="4"/>
  <c r="X284" i="4"/>
  <c r="X190" i="4"/>
  <c r="X870" i="4"/>
  <c r="X76" i="4"/>
  <c r="X683" i="4"/>
  <c r="X522" i="4"/>
  <c r="X1195" i="4"/>
  <c r="X1222" i="4"/>
  <c r="X745" i="4"/>
  <c r="X169" i="4"/>
  <c r="X538" i="4"/>
  <c r="X372" i="4"/>
  <c r="X205" i="4"/>
  <c r="X1173" i="4"/>
  <c r="X755" i="4"/>
  <c r="X645" i="4"/>
  <c r="X306" i="4"/>
  <c r="X1263" i="4"/>
  <c r="X1038" i="4"/>
  <c r="X596" i="4"/>
  <c r="X220" i="4"/>
  <c r="X159" i="4"/>
  <c r="X742" i="4"/>
  <c r="X1308" i="4"/>
  <c r="X548" i="4"/>
  <c r="X329" i="4"/>
  <c r="X1049" i="4"/>
  <c r="X361" i="4"/>
  <c r="X1158" i="4"/>
  <c r="X1148" i="4"/>
  <c r="X750" i="4"/>
  <c r="X379" i="4"/>
  <c r="X1262" i="4"/>
  <c r="X935" i="4"/>
  <c r="X452" i="4"/>
  <c r="X351" i="4"/>
  <c r="X195" i="4"/>
  <c r="X1097" i="4"/>
  <c r="X842" i="4"/>
  <c r="X545" i="4"/>
  <c r="X242" i="4"/>
  <c r="X1199" i="4"/>
  <c r="X1066" i="4"/>
  <c r="X564" i="4"/>
  <c r="X156" i="4"/>
  <c r="X72" i="4"/>
  <c r="X384" i="4"/>
  <c r="X917" i="4"/>
  <c r="X197" i="4"/>
  <c r="X547" i="4"/>
  <c r="X1250" i="4"/>
  <c r="X1094" i="4"/>
  <c r="X956" i="4"/>
  <c r="X724" i="4"/>
  <c r="X572" i="4"/>
  <c r="X287" i="4"/>
  <c r="X83" i="4"/>
  <c r="X925" i="4"/>
  <c r="X797" i="4"/>
  <c r="X625" i="4"/>
  <c r="X462" i="4"/>
  <c r="X1135" i="4"/>
  <c r="X1010" i="4"/>
  <c r="X534" i="4"/>
  <c r="X449" i="4"/>
  <c r="X1122" i="4"/>
  <c r="X1046" i="4"/>
  <c r="X763" i="4"/>
  <c r="X152" i="4"/>
  <c r="X848" i="4"/>
  <c r="X839" i="4"/>
  <c r="X269" i="4"/>
  <c r="X353" i="4"/>
  <c r="X366" i="4"/>
  <c r="X1134" i="4"/>
  <c r="X660" i="4"/>
  <c r="X599" i="4"/>
  <c r="X569" i="4"/>
  <c r="X1252" i="4"/>
  <c r="X861" i="4"/>
  <c r="X887" i="4"/>
  <c r="X699" i="4"/>
  <c r="X498" i="4"/>
  <c r="X1071" i="4"/>
  <c r="X980" i="4"/>
  <c r="X508" i="4"/>
  <c r="X610" i="4"/>
  <c r="X648" i="4"/>
  <c r="X806" i="4"/>
  <c r="X602" i="4"/>
  <c r="X1259" i="4"/>
  <c r="X440" i="4"/>
  <c r="X342" i="4"/>
  <c r="X1001" i="4"/>
  <c r="X753" i="4"/>
  <c r="X355" i="4"/>
  <c r="X1305" i="4"/>
  <c r="X959" i="4"/>
  <c r="X533" i="4"/>
  <c r="X407" i="4"/>
  <c r="X1188" i="4"/>
  <c r="X1063" i="4"/>
  <c r="X792" i="4"/>
  <c r="X624" i="4"/>
  <c r="X337" i="4"/>
  <c r="X1254" i="4"/>
  <c r="X864" i="4"/>
  <c r="X444" i="4"/>
  <c r="X343" i="4"/>
  <c r="X563" i="4"/>
  <c r="X515" i="4"/>
  <c r="X451" i="4"/>
  <c r="X1033" i="4"/>
  <c r="X91" i="4"/>
  <c r="X339" i="4"/>
  <c r="X1041" i="4"/>
  <c r="X735" i="4"/>
  <c r="X1030" i="4"/>
  <c r="X278" i="4"/>
  <c r="X689" i="4"/>
  <c r="X140" i="4"/>
  <c r="X291" i="4"/>
  <c r="X1241" i="4"/>
  <c r="X890" i="4"/>
  <c r="X499" i="4"/>
  <c r="X402" i="4"/>
  <c r="X1124" i="4"/>
  <c r="X992" i="4"/>
  <c r="X855" i="4"/>
  <c r="X352" i="4"/>
  <c r="X400" i="4"/>
  <c r="X1190" i="4"/>
  <c r="X716" i="4"/>
  <c r="X542" i="4"/>
  <c r="X279" i="4"/>
  <c r="X566" i="4"/>
  <c r="X234" i="4"/>
  <c r="X560" i="4"/>
  <c r="X1067" i="4"/>
  <c r="X616" i="4"/>
  <c r="X830" i="4"/>
  <c r="X227" i="4"/>
  <c r="X1177" i="4"/>
  <c r="X772" i="4"/>
  <c r="X650" i="4"/>
  <c r="X310" i="4"/>
  <c r="X1060" i="4"/>
  <c r="X932" i="4"/>
  <c r="X787" i="4"/>
  <c r="X288" i="4"/>
  <c r="X229" i="4"/>
  <c r="X1126" i="4"/>
  <c r="X652" i="4"/>
  <c r="X581" i="4"/>
  <c r="X363" i="4"/>
  <c r="X211" i="4"/>
  <c r="X1165" i="4"/>
  <c r="X216" i="4"/>
  <c r="X962" i="4"/>
  <c r="X529" i="4"/>
  <c r="X501" i="4"/>
  <c r="X570" i="4"/>
  <c r="X1288" i="4"/>
  <c r="X1279" i="4"/>
  <c r="X154" i="4"/>
  <c r="X79" i="4"/>
  <c r="X988" i="4"/>
  <c r="X882" i="4"/>
  <c r="X562" i="4"/>
  <c r="X246" i="4"/>
  <c r="X1267" i="4"/>
  <c r="X1093" i="4"/>
  <c r="X628" i="4"/>
  <c r="X224" i="4"/>
  <c r="X185" i="4"/>
  <c r="X1297" i="4"/>
  <c r="X876" i="4"/>
  <c r="X808" i="4"/>
  <c r="X389" i="4"/>
  <c r="X747" i="4"/>
  <c r="X504" i="4"/>
  <c r="X1224" i="4"/>
  <c r="X744" i="4"/>
  <c r="X1215" i="4"/>
  <c r="X241" i="4"/>
  <c r="X929" i="4"/>
  <c r="X810" i="4"/>
  <c r="X634" i="4"/>
  <c r="X514" i="4"/>
  <c r="X1203" i="4"/>
  <c r="X1101" i="4"/>
  <c r="X573" i="4"/>
  <c r="X160" i="4"/>
  <c r="X68" i="4"/>
  <c r="X1233" i="4"/>
  <c r="X858" i="4"/>
  <c r="X491" i="4"/>
  <c r="X388" i="4"/>
  <c r="X580" i="4"/>
  <c r="X1052" i="4"/>
  <c r="X1131" i="4"/>
  <c r="X583" i="4"/>
  <c r="X826" i="4"/>
  <c r="X680" i="4"/>
  <c r="X1151" i="4"/>
  <c r="X789" i="4"/>
  <c r="X1256" i="4"/>
  <c r="X865" i="4"/>
  <c r="X942" i="4"/>
  <c r="X738" i="4"/>
  <c r="X523" i="4"/>
  <c r="X1139" i="4"/>
  <c r="X1016" i="4"/>
  <c r="X551" i="4"/>
  <c r="X454" i="4"/>
  <c r="X202" i="4"/>
  <c r="X1169" i="4"/>
  <c r="X751" i="4"/>
  <c r="X612" i="4"/>
  <c r="X302" i="4"/>
  <c r="X298" i="4"/>
  <c r="X1116" i="4"/>
  <c r="X924" i="4"/>
  <c r="X1005" i="4"/>
  <c r="X332" i="4"/>
  <c r="X686" i="4"/>
  <c r="X671" i="4"/>
  <c r="X1087" i="4"/>
  <c r="X158" i="4"/>
  <c r="X1192" i="4"/>
  <c r="X1105" i="4"/>
  <c r="X809" i="4"/>
  <c r="X654" i="4"/>
  <c r="X341" i="4"/>
  <c r="X1075" i="4"/>
  <c r="X1031" i="4"/>
  <c r="X521" i="4"/>
  <c r="X706" i="4"/>
  <c r="X87" i="4"/>
  <c r="X1070" i="4"/>
  <c r="X823" i="4"/>
  <c r="X532" i="4"/>
  <c r="X238" i="4"/>
  <c r="X88" i="4"/>
  <c r="X1113" i="4"/>
  <c r="X950" i="4"/>
  <c r="X517" i="4"/>
  <c r="X892" i="4"/>
  <c r="X268" i="4"/>
  <c r="X871" i="4"/>
  <c r="X552" i="4"/>
  <c r="X1023" i="4"/>
  <c r="X1128" i="4"/>
  <c r="X997" i="4"/>
  <c r="X894" i="4"/>
  <c r="X356" i="4"/>
  <c r="X405" i="4"/>
  <c r="X1258" i="4"/>
  <c r="X915" i="4"/>
  <c r="X448" i="4"/>
  <c r="X347" i="4"/>
  <c r="X1312" i="4"/>
  <c r="X921" i="4"/>
  <c r="X780" i="4"/>
  <c r="X611" i="4"/>
  <c r="X457" i="4"/>
  <c r="X1229" i="4"/>
  <c r="X835" i="4"/>
  <c r="X280" i="4"/>
  <c r="X443" i="4"/>
  <c r="X204" i="4"/>
  <c r="X463" i="4"/>
  <c r="X381" i="4"/>
  <c r="X1064" i="4"/>
  <c r="X936" i="4"/>
  <c r="X804" i="4"/>
  <c r="X292" i="4"/>
  <c r="X210" i="4"/>
  <c r="X1194" i="4"/>
  <c r="X720" i="4"/>
  <c r="X559" i="4"/>
  <c r="X283" i="4"/>
  <c r="X1248" i="4"/>
  <c r="X857" i="4"/>
  <c r="X880" i="4"/>
  <c r="X691" i="4"/>
  <c r="X370" i="4"/>
  <c r="X815" i="4"/>
  <c r="X1244" i="4"/>
  <c r="X1180" i="4"/>
  <c r="X344" i="4"/>
  <c r="Y41" i="4"/>
  <c r="Y17" i="4"/>
  <c r="Y86" i="4"/>
  <c r="Y1195" i="4"/>
  <c r="Y1190" i="4"/>
  <c r="Y1192" i="4"/>
  <c r="Y1265" i="4"/>
  <c r="Y1009" i="4"/>
  <c r="Y1114" i="4"/>
  <c r="Y1155" i="4"/>
  <c r="Y1260" i="4"/>
  <c r="Y1004" i="4"/>
  <c r="Y1109" i="4"/>
  <c r="Y1223" i="4"/>
  <c r="Y967" i="4"/>
  <c r="Y1081" i="4"/>
  <c r="Y1170" i="4"/>
  <c r="Y1182" i="4"/>
  <c r="Y834" i="4"/>
  <c r="Y1088" i="4"/>
  <c r="Y731" i="4"/>
  <c r="Y804" i="4"/>
  <c r="Y976" i="4"/>
  <c r="Y717" i="4"/>
  <c r="Y902" i="4"/>
  <c r="Y1197" i="4"/>
  <c r="Y815" i="4"/>
  <c r="Y904" i="4"/>
  <c r="Y1215" i="4"/>
  <c r="Y817" i="4"/>
  <c r="Y890" i="4"/>
  <c r="Y1165" i="4"/>
  <c r="Y835" i="4"/>
  <c r="Y940" i="4"/>
  <c r="Y1248" i="4"/>
  <c r="Y905" i="4"/>
  <c r="Y657" i="4"/>
  <c r="Y401" i="4"/>
  <c r="Y650" i="4"/>
  <c r="Y394" i="4"/>
  <c r="Y1108" i="4"/>
  <c r="Y572" i="4"/>
  <c r="Y992" i="4"/>
  <c r="Y501" i="4"/>
  <c r="Y622" i="4"/>
  <c r="Y871" i="4"/>
  <c r="Y471" i="4"/>
  <c r="Y691" i="4"/>
  <c r="Y1133" i="4"/>
  <c r="Y505" i="4"/>
  <c r="Y562" i="4"/>
  <c r="Y273" i="4"/>
  <c r="Y39" i="4"/>
  <c r="Y99" i="4"/>
  <c r="Y408" i="4"/>
  <c r="Y18" i="4"/>
  <c r="Y108" i="4"/>
  <c r="Y51" i="4"/>
  <c r="Y241" i="4"/>
  <c r="Y14" i="4"/>
  <c r="Y28" i="4"/>
  <c r="Y200" i="4"/>
  <c r="Y1062" i="4"/>
  <c r="Y1048" i="4"/>
  <c r="Y1105" i="4"/>
  <c r="Y1194" i="4"/>
  <c r="Y1219" i="4"/>
  <c r="Y1308" i="4"/>
  <c r="Y1036" i="4"/>
  <c r="Y1125" i="4"/>
  <c r="Y1207" i="4"/>
  <c r="Y1305" i="4"/>
  <c r="Y1033" i="4"/>
  <c r="Y1106" i="4"/>
  <c r="Y1003" i="4"/>
  <c r="Y738" i="4"/>
  <c r="Y875" i="4"/>
  <c r="Y932" i="4"/>
  <c r="Y1213" i="4"/>
  <c r="Y813" i="4"/>
  <c r="Y1014" i="4"/>
  <c r="Y710" i="4"/>
  <c r="Y863" i="4"/>
  <c r="Y936" i="4"/>
  <c r="Y1268" i="4"/>
  <c r="Y801" i="4"/>
  <c r="Y858" i="4"/>
  <c r="Y1071" i="4"/>
  <c r="Y771" i="4"/>
  <c r="Y860" i="4"/>
  <c r="Y1151" i="4"/>
  <c r="Y793" i="4"/>
  <c r="Y529" i="4"/>
  <c r="Y798" i="4"/>
  <c r="Y490" i="4"/>
  <c r="Y627" i="4"/>
  <c r="Y636" i="4"/>
  <c r="Y1277" i="4"/>
  <c r="Y533" i="4"/>
  <c r="Y638" i="4"/>
  <c r="Y807" i="4"/>
  <c r="Y439" i="4"/>
  <c r="Y640" i="4"/>
  <c r="Y686" i="4"/>
  <c r="Y894" i="4"/>
  <c r="Y466" i="4"/>
  <c r="Y571" i="4"/>
  <c r="Y853" i="4"/>
  <c r="Y516" i="4"/>
  <c r="Y616" i="4"/>
  <c r="Y438" i="4"/>
  <c r="Y165" i="4"/>
  <c r="Y302" i="4"/>
  <c r="Y1083" i="4"/>
  <c r="Y263" i="4"/>
  <c r="Y477" i="4"/>
  <c r="Y192" i="4"/>
  <c r="Y415" i="4"/>
  <c r="Y153" i="4"/>
  <c r="Y242" i="4"/>
  <c r="Y582" i="4"/>
  <c r="Y299" i="4"/>
  <c r="Y434" i="4"/>
  <c r="Y132" i="4"/>
  <c r="Y301" i="4"/>
  <c r="Y431" i="4"/>
  <c r="Y166" i="4"/>
  <c r="Y255" i="4"/>
  <c r="Y598" i="4"/>
  <c r="Y186" i="4"/>
  <c r="Y399" i="4"/>
  <c r="Y156" i="4"/>
  <c r="Y257" i="4"/>
  <c r="Y124" i="4"/>
  <c r="Y36" i="4"/>
  <c r="Y356" i="4"/>
  <c r="Y26" i="4"/>
  <c r="Y163" i="4"/>
  <c r="Y345" i="4"/>
  <c r="Y122" i="4"/>
  <c r="Y52" i="4"/>
  <c r="Y47" i="4"/>
  <c r="Y526" i="4"/>
  <c r="Y933" i="4"/>
  <c r="Y69" i="4"/>
  <c r="Y467" i="4"/>
  <c r="Y352" i="4"/>
  <c r="Y839" i="4"/>
  <c r="Y203" i="4"/>
  <c r="Y205" i="4"/>
  <c r="Y159" i="4"/>
  <c r="Y323" i="4"/>
  <c r="Y775" i="4"/>
  <c r="Y360" i="4"/>
  <c r="Y30" i="4"/>
  <c r="Y21" i="4"/>
  <c r="Y44" i="4"/>
  <c r="Y337" i="4"/>
  <c r="Y1304" i="4"/>
  <c r="Y1032" i="4"/>
  <c r="Y1089" i="4"/>
  <c r="Y1178" i="4"/>
  <c r="Y1203" i="4"/>
  <c r="Y1292" i="4"/>
  <c r="Y1020" i="4"/>
  <c r="Y1093" i="4"/>
  <c r="Y1191" i="4"/>
  <c r="Y1289" i="4"/>
  <c r="Y1017" i="4"/>
  <c r="Y1090" i="4"/>
  <c r="Y971" i="4"/>
  <c r="Y722" i="4"/>
  <c r="Y859" i="4"/>
  <c r="Y916" i="4"/>
  <c r="Y1200" i="4"/>
  <c r="Y797" i="4"/>
  <c r="Y982" i="4"/>
  <c r="Y1312" i="4"/>
  <c r="Y847" i="4"/>
  <c r="Y920" i="4"/>
  <c r="Y1181" i="4"/>
  <c r="Y785" i="4"/>
  <c r="Y842" i="4"/>
  <c r="Y1028" i="4"/>
  <c r="Y755" i="4"/>
  <c r="Y844" i="4"/>
  <c r="Y1117" i="4"/>
  <c r="Y777" i="4"/>
  <c r="Y513" i="4"/>
  <c r="Y745" i="4"/>
  <c r="Y474" i="4"/>
  <c r="Y611" i="4"/>
  <c r="Y620" i="4"/>
  <c r="Y1167" i="4"/>
  <c r="Y517" i="4"/>
  <c r="Y606" i="4"/>
  <c r="Y757" i="4"/>
  <c r="Y423" i="4"/>
  <c r="Y624" i="4"/>
  <c r="Y681" i="4"/>
  <c r="Y830" i="4"/>
  <c r="Y1264" i="4"/>
  <c r="Y555" i="4"/>
  <c r="Y816" i="4"/>
  <c r="Y500" i="4"/>
  <c r="Y600" i="4"/>
  <c r="Y435" i="4"/>
  <c r="Y149" i="4"/>
  <c r="Y286" i="4"/>
  <c r="Y653" i="4"/>
  <c r="Y247" i="4"/>
  <c r="Y450" i="4"/>
  <c r="Y176" i="4"/>
  <c r="Y409" i="4"/>
  <c r="Y137" i="4"/>
  <c r="Y226" i="4"/>
  <c r="Y575" i="4"/>
  <c r="Y283" i="4"/>
  <c r="Y372" i="4"/>
  <c r="Y116" i="4"/>
  <c r="Y285" i="4"/>
  <c r="Y425" i="4"/>
  <c r="Y150" i="4"/>
  <c r="Y239" i="4"/>
  <c r="Y591" i="4"/>
  <c r="Y170" i="4"/>
  <c r="Y393" i="4"/>
  <c r="Y140" i="4"/>
  <c r="Y355" i="4"/>
  <c r="Y131" i="4"/>
  <c r="Y53" i="4"/>
  <c r="Y121" i="4"/>
  <c r="Y154" i="4"/>
  <c r="Y152" i="4"/>
  <c r="Y89" i="4"/>
  <c r="Y358" i="4"/>
  <c r="Y191" i="4"/>
  <c r="Y378" i="4"/>
  <c r="Y348" i="4"/>
  <c r="Y31" i="4"/>
  <c r="Y700" i="4"/>
  <c r="Y321" i="4"/>
  <c r="Y221" i="4"/>
  <c r="Y623" i="4"/>
  <c r="Y216" i="4"/>
  <c r="Y49" i="4"/>
  <c r="Y1302" i="4"/>
  <c r="Y1288" i="4"/>
  <c r="Y1016" i="4"/>
  <c r="Y1073" i="4"/>
  <c r="Y1162" i="4"/>
  <c r="Y1187" i="4"/>
  <c r="Y1276" i="4"/>
  <c r="Y988" i="4"/>
  <c r="Y1077" i="4"/>
  <c r="Y1175" i="4"/>
  <c r="Y1273" i="4"/>
  <c r="Y1001" i="4"/>
  <c r="Y1074" i="4"/>
  <c r="Y957" i="4"/>
  <c r="Y706" i="4"/>
  <c r="Y843" i="4"/>
  <c r="Y900" i="4"/>
  <c r="Y1172" i="4"/>
  <c r="Y781" i="4"/>
  <c r="Y959" i="4"/>
  <c r="Y1284" i="4"/>
  <c r="Y831" i="4"/>
  <c r="Y888" i="4"/>
  <c r="Y1168" i="4"/>
  <c r="Y769" i="4"/>
  <c r="Y826" i="4"/>
  <c r="Y1022" i="4"/>
  <c r="Y739" i="4"/>
  <c r="Y828" i="4"/>
  <c r="Y1104" i="4"/>
  <c r="Y1183" i="4"/>
  <c r="Y497" i="4"/>
  <c r="Y716" i="4"/>
  <c r="Y458" i="4"/>
  <c r="Y595" i="4"/>
  <c r="Y604" i="4"/>
  <c r="Y1055" i="4"/>
  <c r="Y485" i="4"/>
  <c r="Y590" i="4"/>
  <c r="Y679" i="4"/>
  <c r="Y407" i="4"/>
  <c r="Y608" i="4"/>
  <c r="Y665" i="4"/>
  <c r="Y750" i="4"/>
  <c r="Y1211" i="4"/>
  <c r="Y539" i="4"/>
  <c r="Y789" i="4"/>
  <c r="Y484" i="4"/>
  <c r="Y584" i="4"/>
  <c r="Y424" i="4"/>
  <c r="Y133" i="4"/>
  <c r="Y270" i="4"/>
  <c r="Y646" i="4"/>
  <c r="Y231" i="4"/>
  <c r="Y447" i="4"/>
  <c r="Y160" i="4"/>
  <c r="Y377" i="4"/>
  <c r="Y210" i="4"/>
  <c r="Y547" i="4"/>
  <c r="Y267" i="4"/>
  <c r="Y100" i="4"/>
  <c r="Y269" i="4"/>
  <c r="Y397" i="4"/>
  <c r="Y134" i="4"/>
  <c r="Y223" i="4"/>
  <c r="Y416" i="4"/>
  <c r="Y380" i="4"/>
  <c r="Y376" i="4"/>
  <c r="Y483" i="4"/>
  <c r="Y362" i="4"/>
  <c r="Y544" i="4"/>
  <c r="Y29" i="4"/>
  <c r="Y1221" i="4"/>
  <c r="Y34" i="4"/>
  <c r="Y422" i="4"/>
  <c r="Y65" i="4"/>
  <c r="Y1286" i="4"/>
  <c r="Y1272" i="4"/>
  <c r="Y1000" i="4"/>
  <c r="Y1057" i="4"/>
  <c r="Y1146" i="4"/>
  <c r="Y1171" i="4"/>
  <c r="Y1244" i="4"/>
  <c r="Y972" i="4"/>
  <c r="Y1061" i="4"/>
  <c r="Y1159" i="4"/>
  <c r="Y1257" i="4"/>
  <c r="Y985" i="4"/>
  <c r="Y1058" i="4"/>
  <c r="Y954" i="4"/>
  <c r="Y690" i="4"/>
  <c r="Y827" i="4"/>
  <c r="Y884" i="4"/>
  <c r="Y1119" i="4"/>
  <c r="Y765" i="4"/>
  <c r="Y934" i="4"/>
  <c r="Y1231" i="4"/>
  <c r="Y799" i="4"/>
  <c r="Y872" i="4"/>
  <c r="Y1140" i="4"/>
  <c r="Y753" i="4"/>
  <c r="Y810" i="4"/>
  <c r="Y1019" i="4"/>
  <c r="Y723" i="4"/>
  <c r="Y812" i="4"/>
  <c r="Y1076" i="4"/>
  <c r="Y986" i="4"/>
  <c r="Y481" i="4"/>
  <c r="Y697" i="4"/>
  <c r="Y442" i="4"/>
  <c r="Y579" i="4"/>
  <c r="Y588" i="4"/>
  <c r="Y725" i="4"/>
  <c r="Y469" i="4"/>
  <c r="Y574" i="4"/>
  <c r="Y663" i="4"/>
  <c r="Y391" i="4"/>
  <c r="Y592" i="4"/>
  <c r="Y649" i="4"/>
  <c r="Y709" i="4"/>
  <c r="Y1024" i="4"/>
  <c r="Y523" i="4"/>
  <c r="Y727" i="4"/>
  <c r="Y468" i="4"/>
  <c r="Y568" i="4"/>
  <c r="Y373" i="4"/>
  <c r="Y117" i="4"/>
  <c r="Y254" i="4"/>
  <c r="Y639" i="4"/>
  <c r="Y215" i="4"/>
  <c r="Y429" i="4"/>
  <c r="Y144" i="4"/>
  <c r="Y361" i="4"/>
  <c r="Y105" i="4"/>
  <c r="Y194" i="4"/>
  <c r="Y527" i="4"/>
  <c r="Y251" i="4"/>
  <c r="Y340" i="4"/>
  <c r="Y84" i="4"/>
  <c r="Y253" i="4"/>
  <c r="Y374" i="4"/>
  <c r="Y118" i="4"/>
  <c r="Y207" i="4"/>
  <c r="Y402" i="4"/>
  <c r="Y138" i="4"/>
  <c r="Y364" i="4"/>
  <c r="Y42" i="4"/>
  <c r="Y15" i="4"/>
  <c r="Y289" i="4"/>
  <c r="Y184" i="4"/>
  <c r="Y452" i="4"/>
  <c r="Y237" i="4"/>
  <c r="Y342" i="4"/>
  <c r="Y225" i="4"/>
  <c r="Y13" i="4"/>
  <c r="Y630" i="4"/>
  <c r="Y421" i="4"/>
  <c r="Y520" i="4"/>
  <c r="Y206" i="4"/>
  <c r="Y167" i="4"/>
  <c r="Y96" i="4"/>
  <c r="Y146" i="4"/>
  <c r="Y440" i="4"/>
  <c r="Y292" i="4"/>
  <c r="Y557" i="4"/>
  <c r="Y326" i="4"/>
  <c r="Y346" i="4"/>
  <c r="Y316" i="4"/>
  <c r="Y81" i="4"/>
  <c r="Y115" i="4"/>
  <c r="Y353" i="4"/>
  <c r="Y74" i="4"/>
  <c r="Y1270" i="4"/>
  <c r="Y1256" i="4"/>
  <c r="Y984" i="4"/>
  <c r="Y1041" i="4"/>
  <c r="Y1130" i="4"/>
  <c r="Y1139" i="4"/>
  <c r="Y1228" i="4"/>
  <c r="Y956" i="4"/>
  <c r="Y1045" i="4"/>
  <c r="Y1143" i="4"/>
  <c r="Y1241" i="4"/>
  <c r="Y969" i="4"/>
  <c r="Y1042" i="4"/>
  <c r="Y946" i="4"/>
  <c r="Y1263" i="4"/>
  <c r="Y811" i="4"/>
  <c r="Y868" i="4"/>
  <c r="Y1085" i="4"/>
  <c r="Y749" i="4"/>
  <c r="Y918" i="4"/>
  <c r="Y1184" i="4"/>
  <c r="Y783" i="4"/>
  <c r="Y856" i="4"/>
  <c r="Y1087" i="4"/>
  <c r="Y737" i="4"/>
  <c r="Y794" i="4"/>
  <c r="Y958" i="4"/>
  <c r="Y1230" i="4"/>
  <c r="Y796" i="4"/>
  <c r="Y1039" i="4"/>
  <c r="Y768" i="4"/>
  <c r="Y465" i="4"/>
  <c r="Y687" i="4"/>
  <c r="Y426" i="4"/>
  <c r="Y563" i="4"/>
  <c r="Y556" i="4"/>
  <c r="Y694" i="4"/>
  <c r="Y453" i="4"/>
  <c r="Y558" i="4"/>
  <c r="Y647" i="4"/>
  <c r="Y1092" i="4"/>
  <c r="Y576" i="4"/>
  <c r="Y633" i="4"/>
  <c r="Y674" i="4"/>
  <c r="Y998" i="4"/>
  <c r="Y507" i="4"/>
  <c r="Y693" i="4"/>
  <c r="Y552" i="4"/>
  <c r="Y357" i="4"/>
  <c r="Y101" i="4"/>
  <c r="Y238" i="4"/>
  <c r="Y531" i="4"/>
  <c r="Y199" i="4"/>
  <c r="Y384" i="4"/>
  <c r="Y128" i="4"/>
  <c r="Y178" i="4"/>
  <c r="Y235" i="4"/>
  <c r="Y324" i="4"/>
  <c r="Y68" i="4"/>
  <c r="Y102" i="4"/>
  <c r="Y93" i="4"/>
  <c r="Y332" i="4"/>
  <c r="Y601" i="4"/>
  <c r="Y90" i="4"/>
  <c r="Y1290" i="4"/>
  <c r="Y339" i="4"/>
  <c r="Y903" i="4"/>
  <c r="Y32" i="4"/>
  <c r="Y193" i="4"/>
  <c r="Y1254" i="4"/>
  <c r="Y1240" i="4"/>
  <c r="Y1297" i="4"/>
  <c r="Y1025" i="4"/>
  <c r="Y1098" i="4"/>
  <c r="Y1123" i="4"/>
  <c r="Y1212" i="4"/>
  <c r="Y1301" i="4"/>
  <c r="Y1029" i="4"/>
  <c r="Y1127" i="4"/>
  <c r="Y1225" i="4"/>
  <c r="Y1298" i="4"/>
  <c r="Y1026" i="4"/>
  <c r="Y930" i="4"/>
  <c r="Y1229" i="4"/>
  <c r="Y795" i="4"/>
  <c r="Y852" i="4"/>
  <c r="Y1072" i="4"/>
  <c r="Y733" i="4"/>
  <c r="Y886" i="4"/>
  <c r="Y1156" i="4"/>
  <c r="Y767" i="4"/>
  <c r="Y840" i="4"/>
  <c r="Y1053" i="4"/>
  <c r="Y721" i="4"/>
  <c r="Y778" i="4"/>
  <c r="Y950" i="4"/>
  <c r="Y1227" i="4"/>
  <c r="Y780" i="4"/>
  <c r="Y1030" i="4"/>
  <c r="Y729" i="4"/>
  <c r="Y449" i="4"/>
  <c r="Y682" i="4"/>
  <c r="Y410" i="4"/>
  <c r="Y989" i="4"/>
  <c r="Y540" i="4"/>
  <c r="Y689" i="4"/>
  <c r="Y437" i="4"/>
  <c r="Y542" i="4"/>
  <c r="Y631" i="4"/>
  <c r="Y952" i="4"/>
  <c r="Y560" i="4"/>
  <c r="Y617" i="4"/>
  <c r="Y658" i="4"/>
  <c r="Y887" i="4"/>
  <c r="Y491" i="4"/>
  <c r="Y688" i="4"/>
  <c r="Y1120" i="4"/>
  <c r="Y536" i="4"/>
  <c r="Y341" i="4"/>
  <c r="Y85" i="4"/>
  <c r="Y222" i="4"/>
  <c r="Y511" i="4"/>
  <c r="Y183" i="4"/>
  <c r="Y368" i="4"/>
  <c r="Y112" i="4"/>
  <c r="Y329" i="4"/>
  <c r="Y73" i="4"/>
  <c r="Y162" i="4"/>
  <c r="Y463" i="4"/>
  <c r="Y219" i="4"/>
  <c r="Y308" i="4"/>
  <c r="Y543" i="4"/>
  <c r="Y175" i="4"/>
  <c r="Y106" i="4"/>
  <c r="Y642" i="4"/>
  <c r="Y499" i="4"/>
  <c r="Y1158" i="4"/>
  <c r="Y56" i="4"/>
  <c r="Y16" i="4"/>
  <c r="Y70" i="4"/>
  <c r="Y291" i="4"/>
  <c r="Y1238" i="4"/>
  <c r="Y1224" i="4"/>
  <c r="Y1281" i="4"/>
  <c r="Y993" i="4"/>
  <c r="Y1082" i="4"/>
  <c r="Y1107" i="4"/>
  <c r="Y1196" i="4"/>
  <c r="Y1285" i="4"/>
  <c r="Y1013" i="4"/>
  <c r="Y1111" i="4"/>
  <c r="Y1209" i="4"/>
  <c r="Y1282" i="4"/>
  <c r="Y1010" i="4"/>
  <c r="Y914" i="4"/>
  <c r="Y1216" i="4"/>
  <c r="Y779" i="4"/>
  <c r="Y836" i="4"/>
  <c r="Y1008" i="4"/>
  <c r="Y701" i="4"/>
  <c r="Y870" i="4"/>
  <c r="Y1103" i="4"/>
  <c r="Y751" i="4"/>
  <c r="Y824" i="4"/>
  <c r="Y990" i="4"/>
  <c r="Y1246" i="4"/>
  <c r="Y762" i="4"/>
  <c r="Y947" i="4"/>
  <c r="Y1102" i="4"/>
  <c r="Y764" i="4"/>
  <c r="Y1006" i="4"/>
  <c r="Y705" i="4"/>
  <c r="Y433" i="4"/>
  <c r="Y666" i="4"/>
  <c r="Y1067" i="4"/>
  <c r="Y960" i="4"/>
  <c r="Y524" i="4"/>
  <c r="Y684" i="4"/>
  <c r="Y928" i="4"/>
  <c r="Y823" i="4"/>
  <c r="Y475" i="4"/>
  <c r="Y676" i="4"/>
  <c r="Y325" i="4"/>
  <c r="Y313" i="4"/>
  <c r="Y495" i="4"/>
  <c r="Y23" i="4"/>
  <c r="Y92" i="4"/>
  <c r="Y312" i="4"/>
  <c r="Y1222" i="4"/>
  <c r="Y1208" i="4"/>
  <c r="Y1249" i="4"/>
  <c r="Y977" i="4"/>
  <c r="Y1066" i="4"/>
  <c r="Y1091" i="4"/>
  <c r="Y1180" i="4"/>
  <c r="Y1269" i="4"/>
  <c r="Y997" i="4"/>
  <c r="Y1095" i="4"/>
  <c r="Y1193" i="4"/>
  <c r="Y1266" i="4"/>
  <c r="Y994" i="4"/>
  <c r="Y898" i="4"/>
  <c r="Y1188" i="4"/>
  <c r="Y763" i="4"/>
  <c r="Y820" i="4"/>
  <c r="Y948" i="4"/>
  <c r="Y685" i="4"/>
  <c r="Y854" i="4"/>
  <c r="Y1069" i="4"/>
  <c r="Y735" i="4"/>
  <c r="Y808" i="4"/>
  <c r="Y964" i="4"/>
  <c r="Y1243" i="4"/>
  <c r="Y746" i="4"/>
  <c r="Y931" i="4"/>
  <c r="Y1099" i="4"/>
  <c r="Y748" i="4"/>
  <c r="Y974" i="4"/>
  <c r="Y692" i="4"/>
  <c r="Y417" i="4"/>
  <c r="Y634" i="4"/>
  <c r="Y919" i="4"/>
  <c r="Y912" i="4"/>
  <c r="Y508" i="4"/>
  <c r="Y677" i="4"/>
  <c r="Y405" i="4"/>
  <c r="Y510" i="4"/>
  <c r="Y599" i="4"/>
  <c r="Y901" i="4"/>
  <c r="Y528" i="4"/>
  <c r="Y585" i="4"/>
  <c r="Y626" i="4"/>
  <c r="Y766" i="4"/>
  <c r="Y459" i="4"/>
  <c r="Y660" i="4"/>
  <c r="Y896" i="4"/>
  <c r="Y504" i="4"/>
  <c r="Y309" i="4"/>
  <c r="Y759" i="4"/>
  <c r="Y190" i="4"/>
  <c r="Y432" i="4"/>
  <c r="Y151" i="4"/>
  <c r="Y336" i="4"/>
  <c r="Y80" i="4"/>
  <c r="Y297" i="4"/>
  <c r="Y695" i="4"/>
  <c r="Y130" i="4"/>
  <c r="Y420" i="4"/>
  <c r="Y187" i="4"/>
  <c r="Y276" i="4"/>
  <c r="Y550" i="4"/>
  <c r="Y189" i="4"/>
  <c r="Y310" i="4"/>
  <c r="Y479" i="4"/>
  <c r="Y143" i="4"/>
  <c r="Y330" i="4"/>
  <c r="Y1214" i="4"/>
  <c r="Y300" i="4"/>
  <c r="Y344" i="4"/>
  <c r="Y97" i="4"/>
  <c r="Y45" i="4"/>
  <c r="Y27" i="4"/>
  <c r="Y1310" i="4"/>
  <c r="Y970" i="4"/>
  <c r="Y1293" i="4"/>
  <c r="Y889" i="4"/>
  <c r="Y821" i="4"/>
  <c r="Y551" i="4"/>
  <c r="Y480" i="4"/>
  <c r="Y280" i="4"/>
  <c r="Y76" i="4"/>
  <c r="Y129" i="4"/>
  <c r="Y419" i="4"/>
  <c r="Y1206" i="4"/>
  <c r="Y1176" i="4"/>
  <c r="Y1233" i="4"/>
  <c r="Y961" i="4"/>
  <c r="Y1050" i="4"/>
  <c r="Y1075" i="4"/>
  <c r="Y1164" i="4"/>
  <c r="Y1253" i="4"/>
  <c r="Y981" i="4"/>
  <c r="Y1079" i="4"/>
  <c r="Y1177" i="4"/>
  <c r="Y1250" i="4"/>
  <c r="Y978" i="4"/>
  <c r="Y882" i="4"/>
  <c r="Y1135" i="4"/>
  <c r="Y747" i="4"/>
  <c r="Y788" i="4"/>
  <c r="Y941" i="4"/>
  <c r="Y1278" i="4"/>
  <c r="Y838" i="4"/>
  <c r="Y1056" i="4"/>
  <c r="Y1262" i="4"/>
  <c r="Y792" i="4"/>
  <c r="Y945" i="4"/>
  <c r="Y1118" i="4"/>
  <c r="Y730" i="4"/>
  <c r="Y915" i="4"/>
  <c r="Y1046" i="4"/>
  <c r="Y732" i="4"/>
  <c r="Y937" i="4"/>
  <c r="Y673" i="4"/>
  <c r="Y385" i="4"/>
  <c r="Y618" i="4"/>
  <c r="Y855" i="4"/>
  <c r="Y885" i="4"/>
  <c r="Y492" i="4"/>
  <c r="Y661" i="4"/>
  <c r="Y389" i="4"/>
  <c r="Y494" i="4"/>
  <c r="Y583" i="4"/>
  <c r="Y864" i="4"/>
  <c r="Y512" i="4"/>
  <c r="Y569" i="4"/>
  <c r="Y610" i="4"/>
  <c r="Y698" i="4"/>
  <c r="Y443" i="4"/>
  <c r="Y644" i="4"/>
  <c r="Y869" i="4"/>
  <c r="Y488" i="4"/>
  <c r="Y293" i="4"/>
  <c r="Y404" i="4"/>
  <c r="Y174" i="4"/>
  <c r="Y418" i="4"/>
  <c r="Y135" i="4"/>
  <c r="Y320" i="4"/>
  <c r="Y64" i="4"/>
  <c r="Y281" i="4"/>
  <c r="Y370" i="4"/>
  <c r="Y114" i="4"/>
  <c r="Y406" i="4"/>
  <c r="Y171" i="4"/>
  <c r="Y260" i="4"/>
  <c r="Y486" i="4"/>
  <c r="Y173" i="4"/>
  <c r="Y294" i="4"/>
  <c r="Y383" i="4"/>
  <c r="Y127" i="4"/>
  <c r="Y314" i="4"/>
  <c r="Y782" i="4"/>
  <c r="Y284" i="4"/>
  <c r="Y33" i="4"/>
  <c r="Y145" i="4"/>
  <c r="Y104" i="4"/>
  <c r="Y43" i="4"/>
  <c r="Y278" i="4"/>
  <c r="Y243" i="4"/>
  <c r="Y88" i="4"/>
  <c r="Y25" i="4"/>
  <c r="Y195" i="4"/>
  <c r="Y227" i="4"/>
  <c r="Y515" i="4"/>
  <c r="Y1174" i="4"/>
  <c r="Y1160" i="4"/>
  <c r="Y1217" i="4"/>
  <c r="Y1306" i="4"/>
  <c r="Y1034" i="4"/>
  <c r="Y1059" i="4"/>
  <c r="Y1148" i="4"/>
  <c r="Y1237" i="4"/>
  <c r="Y965" i="4"/>
  <c r="Y1063" i="4"/>
  <c r="Y1161" i="4"/>
  <c r="Y1234" i="4"/>
  <c r="Y962" i="4"/>
  <c r="Y866" i="4"/>
  <c r="Y1101" i="4"/>
  <c r="Y715" i="4"/>
  <c r="Y772" i="4"/>
  <c r="Y925" i="4"/>
  <c r="Y1275" i="4"/>
  <c r="Y822" i="4"/>
  <c r="Y1002" i="4"/>
  <c r="Y1259" i="4"/>
  <c r="Y776" i="4"/>
  <c r="Y929" i="4"/>
  <c r="Y1115" i="4"/>
  <c r="Y714" i="4"/>
  <c r="Y899" i="4"/>
  <c r="Y1007" i="4"/>
  <c r="Y1295" i="4"/>
  <c r="Y921" i="4"/>
  <c r="Y641" i="4"/>
  <c r="Y1236" i="4"/>
  <c r="Y602" i="4"/>
  <c r="Y791" i="4"/>
  <c r="Y848" i="4"/>
  <c r="Y476" i="4"/>
  <c r="Y645" i="4"/>
  <c r="Y1070" i="4"/>
  <c r="Y478" i="4"/>
  <c r="Y567" i="4"/>
  <c r="Y837" i="4"/>
  <c r="Y496" i="4"/>
  <c r="Y553" i="4"/>
  <c r="Y594" i="4"/>
  <c r="Y683" i="4"/>
  <c r="Y427" i="4"/>
  <c r="Y628" i="4"/>
  <c r="Y832" i="4"/>
  <c r="Y472" i="4"/>
  <c r="Y277" i="4"/>
  <c r="Y390" i="4"/>
  <c r="Y158" i="4"/>
  <c r="Y375" i="4"/>
  <c r="Y119" i="4"/>
  <c r="Y304" i="4"/>
  <c r="Y48" i="4"/>
  <c r="Y265" i="4"/>
  <c r="Y354" i="4"/>
  <c r="Y98" i="4"/>
  <c r="Y403" i="4"/>
  <c r="Y155" i="4"/>
  <c r="Y244" i="4"/>
  <c r="Y400" i="4"/>
  <c r="Y157" i="4"/>
  <c r="Y367" i="4"/>
  <c r="Y111" i="4"/>
  <c r="Y298" i="4"/>
  <c r="Y703" i="4"/>
  <c r="Y268" i="4"/>
  <c r="Y60" i="4"/>
  <c r="Y177" i="4"/>
  <c r="Y46" i="4"/>
  <c r="Y248" i="4"/>
  <c r="Y19" i="4"/>
  <c r="Y1144" i="4"/>
  <c r="Y1201" i="4"/>
  <c r="Y1018" i="4"/>
  <c r="Y1043" i="4"/>
  <c r="Y1132" i="4"/>
  <c r="Y949" i="4"/>
  <c r="Y1047" i="4"/>
  <c r="Y1145" i="4"/>
  <c r="Y1218" i="4"/>
  <c r="Y850" i="4"/>
  <c r="Y1060" i="4"/>
  <c r="Y699" i="4"/>
  <c r="Y756" i="4"/>
  <c r="Y909" i="4"/>
  <c r="Y1150" i="4"/>
  <c r="Y806" i="4"/>
  <c r="Y1134" i="4"/>
  <c r="Y760" i="4"/>
  <c r="Y913" i="4"/>
  <c r="Y1040" i="4"/>
  <c r="Y883" i="4"/>
  <c r="Y975" i="4"/>
  <c r="Y1261" i="4"/>
  <c r="Y625" i="4"/>
  <c r="Y761" i="4"/>
  <c r="Y460" i="4"/>
  <c r="Y800" i="4"/>
  <c r="Y537" i="4"/>
  <c r="Y161" i="4"/>
  <c r="Y61" i="4"/>
  <c r="Y83" i="4"/>
  <c r="Y35" i="4"/>
  <c r="Y1142" i="4"/>
  <c r="Y1128" i="4"/>
  <c r="Y1185" i="4"/>
  <c r="Y1274" i="4"/>
  <c r="Y1299" i="4"/>
  <c r="Y1027" i="4"/>
  <c r="Y1116" i="4"/>
  <c r="Y1205" i="4"/>
  <c r="Y1303" i="4"/>
  <c r="Y1031" i="4"/>
  <c r="Y1129" i="4"/>
  <c r="Y1202" i="4"/>
  <c r="Y1307" i="4"/>
  <c r="Y818" i="4"/>
  <c r="Y968" i="4"/>
  <c r="Y1294" i="4"/>
  <c r="Y740" i="4"/>
  <c r="Y893" i="4"/>
  <c r="Y1147" i="4"/>
  <c r="Y790" i="4"/>
  <c r="Y943" i="4"/>
  <c r="Y1131" i="4"/>
  <c r="Y744" i="4"/>
  <c r="Y897" i="4"/>
  <c r="Y987" i="4"/>
  <c r="Y1280" i="4"/>
  <c r="Y867" i="4"/>
  <c r="Y955" i="4"/>
  <c r="Y1220" i="4"/>
  <c r="Y873" i="4"/>
  <c r="Y609" i="4"/>
  <c r="Y1149" i="4"/>
  <c r="Y570" i="4"/>
  <c r="Y719" i="4"/>
  <c r="Y784" i="4"/>
  <c r="Y444" i="4"/>
  <c r="Y613" i="4"/>
  <c r="Y878" i="4"/>
  <c r="Y446" i="4"/>
  <c r="Y535" i="4"/>
  <c r="Y773" i="4"/>
  <c r="Y464" i="4"/>
  <c r="Y521" i="4"/>
  <c r="Y546" i="4"/>
  <c r="Y651" i="4"/>
  <c r="Y395" i="4"/>
  <c r="Y596" i="4"/>
  <c r="Y752" i="4"/>
  <c r="Y1012" i="4"/>
  <c r="Y245" i="4"/>
  <c r="Y382" i="4"/>
  <c r="Y126" i="4"/>
  <c r="Y343" i="4"/>
  <c r="Y87" i="4"/>
  <c r="Y272" i="4"/>
  <c r="Y621" i="4"/>
  <c r="Y233" i="4"/>
  <c r="Y322" i="4"/>
  <c r="Y66" i="4"/>
  <c r="Y379" i="4"/>
  <c r="Y123" i="4"/>
  <c r="Y212" i="4"/>
  <c r="Y381" i="4"/>
  <c r="Y125" i="4"/>
  <c r="Y246" i="4"/>
  <c r="Y335" i="4"/>
  <c r="Y79" i="4"/>
  <c r="Y266" i="4"/>
  <c r="Y566" i="4"/>
  <c r="Y236" i="4"/>
  <c r="Y211" i="4"/>
  <c r="Y637" i="4"/>
  <c r="Y296" i="4"/>
  <c r="Y307" i="4"/>
  <c r="Y363" i="4"/>
  <c r="Y220" i="4"/>
  <c r="Y413" i="4"/>
  <c r="Y910" i="4"/>
  <c r="Y38" i="4"/>
  <c r="Y59" i="4"/>
  <c r="Y54" i="4"/>
  <c r="Y147" i="4"/>
  <c r="Y57" i="4"/>
  <c r="Y1126" i="4"/>
  <c r="Y1112" i="4"/>
  <c r="Y1169" i="4"/>
  <c r="Y1258" i="4"/>
  <c r="Y1283" i="4"/>
  <c r="Y1011" i="4"/>
  <c r="Y1100" i="4"/>
  <c r="Y1189" i="4"/>
  <c r="Y1287" i="4"/>
  <c r="Y1015" i="4"/>
  <c r="Y1113" i="4"/>
  <c r="Y1186" i="4"/>
  <c r="Y1179" i="4"/>
  <c r="Y802" i="4"/>
  <c r="Y939" i="4"/>
  <c r="Y1291" i="4"/>
  <c r="Y724" i="4"/>
  <c r="Y877" i="4"/>
  <c r="Y1044" i="4"/>
  <c r="Y774" i="4"/>
  <c r="Y927" i="4"/>
  <c r="Y1005" i="4"/>
  <c r="Y728" i="4"/>
  <c r="Y881" i="4"/>
  <c r="Y938" i="4"/>
  <c r="Y1252" i="4"/>
  <c r="Y851" i="4"/>
  <c r="Y924" i="4"/>
  <c r="Y1279" i="4"/>
  <c r="Y857" i="4"/>
  <c r="Y593" i="4"/>
  <c r="Y1086" i="4"/>
  <c r="Y554" i="4"/>
  <c r="Y713" i="4"/>
  <c r="Y707" i="4"/>
  <c r="Y428" i="4"/>
  <c r="Y597" i="4"/>
  <c r="Y814" i="4"/>
  <c r="Y430" i="4"/>
  <c r="Y519" i="4"/>
  <c r="Y704" i="4"/>
  <c r="Y448" i="4"/>
  <c r="Y489" i="4"/>
  <c r="Y530" i="4"/>
  <c r="Y635" i="4"/>
  <c r="Y980" i="4"/>
  <c r="Y580" i="4"/>
  <c r="Y680" i="4"/>
  <c r="Y678" i="4"/>
  <c r="Y229" i="4"/>
  <c r="Y366" i="4"/>
  <c r="Y110" i="4"/>
  <c r="Y327" i="4"/>
  <c r="Y71" i="4"/>
  <c r="Y256" i="4"/>
  <c r="Y614" i="4"/>
  <c r="Y217" i="4"/>
  <c r="Y306" i="4"/>
  <c r="Y50" i="4"/>
  <c r="Y107" i="4"/>
  <c r="Y196" i="4"/>
  <c r="Y365" i="4"/>
  <c r="Y109" i="4"/>
  <c r="Y230" i="4"/>
  <c r="Y319" i="4"/>
  <c r="Y63" i="4"/>
  <c r="Y250" i="4"/>
  <c r="Y559" i="4"/>
  <c r="Y232" i="4"/>
  <c r="Y22" i="4"/>
  <c r="Y328" i="4"/>
  <c r="Y525" i="4"/>
  <c r="Y388" i="4"/>
  <c r="Y371" i="4"/>
  <c r="Y136" i="4"/>
  <c r="Y168" i="4"/>
  <c r="Y77" i="4"/>
  <c r="Y1110" i="4"/>
  <c r="Y1096" i="4"/>
  <c r="Y1153" i="4"/>
  <c r="Y1242" i="4"/>
  <c r="Y1267" i="4"/>
  <c r="Y995" i="4"/>
  <c r="Y1084" i="4"/>
  <c r="Y1173" i="4"/>
  <c r="Y1271" i="4"/>
  <c r="Y999" i="4"/>
  <c r="Y1097" i="4"/>
  <c r="Y1154" i="4"/>
  <c r="Y1054" i="4"/>
  <c r="Y786" i="4"/>
  <c r="Y923" i="4"/>
  <c r="Y1166" i="4"/>
  <c r="Y708" i="4"/>
  <c r="Y861" i="4"/>
  <c r="Y1038" i="4"/>
  <c r="Y758" i="4"/>
  <c r="Y911" i="4"/>
  <c r="Y996" i="4"/>
  <c r="Y712" i="4"/>
  <c r="Y865" i="4"/>
  <c r="Y922" i="4"/>
  <c r="Y1199" i="4"/>
  <c r="Y819" i="4"/>
  <c r="Y908" i="4"/>
  <c r="Y1245" i="4"/>
  <c r="Y841" i="4"/>
  <c r="Y577" i="4"/>
  <c r="Y1037" i="4"/>
  <c r="Y538" i="4"/>
  <c r="Y675" i="4"/>
  <c r="Y702" i="4"/>
  <c r="Y412" i="4"/>
  <c r="Y581" i="4"/>
  <c r="Y741" i="4"/>
  <c r="Y414" i="4"/>
  <c r="Y503" i="4"/>
  <c r="Y696" i="4"/>
  <c r="Y966" i="4"/>
  <c r="Y473" i="4"/>
  <c r="Y514" i="4"/>
  <c r="Y619" i="4"/>
  <c r="Y944" i="4"/>
  <c r="Y564" i="4"/>
  <c r="Y664" i="4"/>
  <c r="Y671" i="4"/>
  <c r="Y213" i="4"/>
  <c r="Y350" i="4"/>
  <c r="Y94" i="4"/>
  <c r="Y311" i="4"/>
  <c r="Y55" i="4"/>
  <c r="Y240" i="4"/>
  <c r="Y607" i="4"/>
  <c r="Y201" i="4"/>
  <c r="Y290" i="4"/>
  <c r="Y846" i="4"/>
  <c r="Y347" i="4"/>
  <c r="Y91" i="4"/>
  <c r="Y180" i="4"/>
  <c r="Y349" i="4"/>
  <c r="Y669" i="4"/>
  <c r="Y214" i="4"/>
  <c r="Y303" i="4"/>
  <c r="Y234" i="4"/>
  <c r="Y204" i="4"/>
  <c r="Y369" i="4"/>
  <c r="Y451" i="4"/>
  <c r="Y37" i="4"/>
  <c r="Y445" i="4"/>
  <c r="Y305" i="4"/>
  <c r="Y113" i="4"/>
  <c r="Y1094" i="4"/>
  <c r="Y1080" i="4"/>
  <c r="Y1137" i="4"/>
  <c r="Y1226" i="4"/>
  <c r="Y1251" i="4"/>
  <c r="Y979" i="4"/>
  <c r="Y1068" i="4"/>
  <c r="Y1157" i="4"/>
  <c r="Y1255" i="4"/>
  <c r="Y983" i="4"/>
  <c r="Y1065" i="4"/>
  <c r="Y1138" i="4"/>
  <c r="Y1051" i="4"/>
  <c r="Y770" i="4"/>
  <c r="Y907" i="4"/>
  <c r="Y1163" i="4"/>
  <c r="Y1300" i="4"/>
  <c r="Y845" i="4"/>
  <c r="Y1035" i="4"/>
  <c r="Y742" i="4"/>
  <c r="Y895" i="4"/>
  <c r="Y973" i="4"/>
  <c r="Y1309" i="4"/>
  <c r="Y849" i="4"/>
  <c r="Y906" i="4"/>
  <c r="Y1152" i="4"/>
  <c r="Y803" i="4"/>
  <c r="Y892" i="4"/>
  <c r="Y1232" i="4"/>
  <c r="Y825" i="4"/>
  <c r="Y561" i="4"/>
  <c r="Y926" i="4"/>
  <c r="Y522" i="4"/>
  <c r="Y659" i="4"/>
  <c r="Y668" i="4"/>
  <c r="Y396" i="4"/>
  <c r="Y565" i="4"/>
  <c r="Y670" i="4"/>
  <c r="Y398" i="4"/>
  <c r="Y487" i="4"/>
  <c r="Y672" i="4"/>
  <c r="Y734" i="4"/>
  <c r="Y457" i="4"/>
  <c r="Y498" i="4"/>
  <c r="Y603" i="4"/>
  <c r="Y917" i="4"/>
  <c r="Y548" i="4"/>
  <c r="Y648" i="4"/>
  <c r="Y518" i="4"/>
  <c r="Y197" i="4"/>
  <c r="Y334" i="4"/>
  <c r="Y78" i="4"/>
  <c r="Y295" i="4"/>
  <c r="Y736" i="4"/>
  <c r="Y224" i="4"/>
  <c r="Y534" i="4"/>
  <c r="Y185" i="4"/>
  <c r="Y274" i="4"/>
  <c r="Y720" i="4"/>
  <c r="Y331" i="4"/>
  <c r="Y75" i="4"/>
  <c r="Y164" i="4"/>
  <c r="Y333" i="4"/>
  <c r="Y662" i="4"/>
  <c r="Y198" i="4"/>
  <c r="Y287" i="4"/>
  <c r="Y711" i="4"/>
  <c r="Y218" i="4"/>
  <c r="Y461" i="4"/>
  <c r="Y188" i="4"/>
  <c r="Y24" i="4"/>
  <c r="Y58" i="4"/>
  <c r="Y509" i="4"/>
  <c r="Y436" i="4"/>
  <c r="Y1141" i="4"/>
  <c r="Y833" i="4"/>
  <c r="Y549" i="4"/>
  <c r="Y612" i="4"/>
  <c r="Y288" i="4"/>
  <c r="Y386" i="4"/>
  <c r="Y120" i="4"/>
  <c r="Y208" i="4"/>
  <c r="Y743" i="4"/>
  <c r="Y455" i="4"/>
  <c r="Y1239" i="4"/>
  <c r="Y874" i="4"/>
  <c r="Y942" i="4"/>
  <c r="Y532" i="4"/>
  <c r="Y317" i="4"/>
  <c r="Y40" i="4"/>
  <c r="Y141" i="4"/>
  <c r="Y20" i="4"/>
  <c r="Y261" i="4"/>
  <c r="Y1311" i="4"/>
  <c r="Y951" i="4"/>
  <c r="Y1124" i="4"/>
  <c r="Y654" i="4"/>
  <c r="Y805" i="4"/>
  <c r="Y264" i="4"/>
  <c r="Y1049" i="4"/>
  <c r="Y787" i="4"/>
  <c r="Y462" i="4"/>
  <c r="Y632" i="4"/>
  <c r="Y470" i="4"/>
  <c r="Y655" i="4"/>
  <c r="Y72" i="4"/>
  <c r="Y1122" i="4"/>
  <c r="Y249" i="4"/>
  <c r="Y275" i="4"/>
  <c r="Y169" i="4"/>
  <c r="Y338" i="4"/>
  <c r="Y252" i="4"/>
  <c r="Y876" i="4"/>
  <c r="Y935" i="4"/>
  <c r="Y456" i="4"/>
  <c r="Y262" i="4"/>
  <c r="Y809" i="4"/>
  <c r="Y67" i="4"/>
  <c r="Y1021" i="4"/>
  <c r="Y1204" i="4"/>
  <c r="Y615" i="4"/>
  <c r="Y454" i="4"/>
  <c r="Y182" i="4"/>
  <c r="Y209" i="4"/>
  <c r="Y963" i="4"/>
  <c r="Y259" i="4"/>
  <c r="Y754" i="4"/>
  <c r="Y351" i="4"/>
  <c r="Y12" i="4"/>
  <c r="Y891" i="4"/>
  <c r="Y545" i="4"/>
  <c r="Y656" i="4"/>
  <c r="Y181" i="4"/>
  <c r="Y258" i="4"/>
  <c r="Y271" i="4"/>
  <c r="Y502" i="4"/>
  <c r="Y991" i="4"/>
  <c r="Y1198" i="4"/>
  <c r="Y387" i="4"/>
  <c r="Y82" i="4"/>
  <c r="Y95" i="4"/>
  <c r="Y179" i="4"/>
  <c r="Y718" i="4"/>
  <c r="Y953" i="4"/>
  <c r="Y1078" i="4"/>
  <c r="Y1247" i="4"/>
  <c r="Y862" i="4"/>
  <c r="Y1136" i="4"/>
  <c r="Y318" i="4"/>
  <c r="Y589" i="4"/>
  <c r="Y605" i="4"/>
  <c r="Y1235" i="4"/>
  <c r="Y1064" i="4"/>
  <c r="Y829" i="4"/>
  <c r="Y586" i="4"/>
  <c r="Y578" i="4"/>
  <c r="Y142" i="4"/>
  <c r="Y392" i="4"/>
  <c r="Y282" i="4"/>
  <c r="Y411" i="4"/>
  <c r="Y1121" i="4"/>
  <c r="Y1023" i="4"/>
  <c r="Y506" i="4"/>
  <c r="Y482" i="4"/>
  <c r="Y62" i="4"/>
  <c r="Y315" i="4"/>
  <c r="Y202" i="4"/>
  <c r="Y493" i="4"/>
  <c r="Y103" i="4"/>
  <c r="Y1210" i="4"/>
  <c r="Y726" i="4"/>
  <c r="Y643" i="4"/>
  <c r="Y667" i="4"/>
  <c r="Y359" i="4"/>
  <c r="Y139" i="4"/>
  <c r="Y573" i="4"/>
  <c r="Y879" i="4"/>
  <c r="Y652" i="4"/>
  <c r="Y587" i="4"/>
  <c r="Y441" i="4"/>
  <c r="Y228" i="4"/>
  <c r="Y1052" i="4"/>
  <c r="Y1296" i="4"/>
  <c r="Y629" i="4"/>
  <c r="Y880" i="4"/>
  <c r="Y541" i="4"/>
  <c r="Y148" i="4"/>
  <c r="Y172" i="4"/>
  <c r="Y279" i="4"/>
  <c r="J4" i="4" l="1"/>
  <c r="W8" i="36" a="1"/>
  <c r="W8" i="36" l="1"/>
  <c r="AA314" i="4"/>
  <c r="Z314" i="4"/>
  <c r="AA266" i="4"/>
  <c r="Z266" i="4"/>
  <c r="AA489" i="4"/>
  <c r="Z489" i="4"/>
  <c r="AA290" i="4"/>
  <c r="Z290" i="4"/>
  <c r="AA201" i="4"/>
  <c r="Z201" i="4"/>
  <c r="AA558" i="4"/>
  <c r="Z558" i="4"/>
  <c r="AA1236" i="4"/>
  <c r="Z1236" i="4"/>
  <c r="AA56" i="4"/>
  <c r="Z56" i="4"/>
  <c r="AA633" i="4"/>
  <c r="Z633" i="4"/>
  <c r="AA413" i="4"/>
  <c r="Z413" i="4"/>
  <c r="AA674" i="4"/>
  <c r="Z674" i="4"/>
  <c r="AA1020" i="4"/>
  <c r="Z1020" i="4"/>
  <c r="AA472" i="4"/>
  <c r="Z472" i="4"/>
  <c r="AA1121" i="4"/>
  <c r="Z1121" i="4"/>
  <c r="AA267" i="4"/>
  <c r="Z267" i="4"/>
  <c r="AA761" i="4"/>
  <c r="Z761" i="4"/>
  <c r="AA13" i="4"/>
  <c r="Z13" i="4"/>
  <c r="AA242" i="4"/>
  <c r="Z242" i="4"/>
  <c r="AA654" i="4"/>
  <c r="Z654" i="4"/>
  <c r="AA148" i="4"/>
  <c r="Z148" i="4"/>
  <c r="AA1221" i="4"/>
  <c r="Z1221" i="4"/>
  <c r="AA1098" i="4"/>
  <c r="Z1098" i="4"/>
  <c r="AA797" i="4"/>
  <c r="Z797" i="4"/>
  <c r="AA722" i="4"/>
  <c r="Z722" i="4"/>
  <c r="AA1137" i="4"/>
  <c r="Z1137" i="4"/>
  <c r="AA382" i="4"/>
  <c r="Z382" i="4"/>
  <c r="AA491" i="4"/>
  <c r="Z491" i="4"/>
  <c r="AA918" i="4"/>
  <c r="Z918" i="4"/>
  <c r="AA850" i="4"/>
  <c r="Z850" i="4"/>
  <c r="AA909" i="4"/>
  <c r="Z909" i="4"/>
  <c r="AA1216" i="4"/>
  <c r="Z1216" i="4"/>
  <c r="AA497" i="4"/>
  <c r="Z497" i="4"/>
  <c r="AA230" i="4"/>
  <c r="Z230" i="4"/>
  <c r="AA93" i="4"/>
  <c r="Z93" i="4"/>
  <c r="AA536" i="4"/>
  <c r="Z536" i="4"/>
  <c r="AA504" i="4"/>
  <c r="Z504" i="4"/>
  <c r="AA163" i="4"/>
  <c r="Z163" i="4"/>
  <c r="AA1250" i="4"/>
  <c r="Z1250" i="4"/>
  <c r="AA1110" i="4"/>
  <c r="Z1110" i="4"/>
  <c r="AA426" i="4"/>
  <c r="Z426" i="4"/>
  <c r="AA46" i="4"/>
  <c r="Z46" i="4"/>
  <c r="AA505" i="4"/>
  <c r="Z505" i="4"/>
  <c r="AA1052" i="4"/>
  <c r="Z1052" i="4"/>
  <c r="AA771" i="4"/>
  <c r="Z771" i="4"/>
  <c r="AA44" i="4"/>
  <c r="Z44" i="4"/>
  <c r="AA594" i="4"/>
  <c r="Z594" i="4"/>
  <c r="AA831" i="4"/>
  <c r="Z831" i="4"/>
  <c r="AA961" i="4"/>
  <c r="Z961" i="4"/>
  <c r="AA375" i="4"/>
  <c r="Z375" i="4"/>
  <c r="AA310" i="4"/>
  <c r="Z310" i="4"/>
  <c r="AA338" i="4"/>
  <c r="Z338" i="4"/>
  <c r="AA988" i="4"/>
  <c r="Z988" i="4"/>
  <c r="AA396" i="4"/>
  <c r="Z396" i="4"/>
  <c r="AA1000" i="4"/>
  <c r="Z1000" i="4"/>
  <c r="AA746" i="4"/>
  <c r="Z746" i="4"/>
  <c r="AA1201" i="4"/>
  <c r="Z1201" i="4"/>
  <c r="AA843" i="4"/>
  <c r="Z843" i="4"/>
  <c r="AA890" i="4"/>
  <c r="Z890" i="4"/>
  <c r="AA807" i="4"/>
  <c r="Z807" i="4"/>
  <c r="AA219" i="4"/>
  <c r="Z219" i="4"/>
  <c r="AA210" i="4"/>
  <c r="Z210" i="4"/>
  <c r="AA139" i="4"/>
  <c r="Z139" i="4"/>
  <c r="AA915" i="4"/>
  <c r="Z915" i="4"/>
  <c r="AA1292" i="4"/>
  <c r="Z1292" i="4"/>
  <c r="AA128" i="4"/>
  <c r="Z128" i="4"/>
  <c r="AA993" i="4"/>
  <c r="Z993" i="4"/>
  <c r="AA378" i="4"/>
  <c r="Z378" i="4"/>
  <c r="AA610" i="4"/>
  <c r="Z610" i="4"/>
  <c r="AA259" i="4"/>
  <c r="Z259" i="4"/>
  <c r="AA206" i="4"/>
  <c r="Z206" i="4"/>
  <c r="AA663" i="4"/>
  <c r="Z663" i="4"/>
  <c r="AA217" i="4"/>
  <c r="Z217" i="4"/>
  <c r="AA224" i="4"/>
  <c r="Z224" i="4"/>
  <c r="AA1186" i="4"/>
  <c r="Z1186" i="4"/>
  <c r="AA951" i="4"/>
  <c r="Z951" i="4"/>
  <c r="AA969" i="4"/>
  <c r="Z969" i="4"/>
  <c r="AA873" i="4"/>
  <c r="Z873" i="4"/>
  <c r="AA312" i="4"/>
  <c r="Z312" i="4"/>
  <c r="AA343" i="4"/>
  <c r="Z343" i="4"/>
  <c r="AA900" i="4"/>
  <c r="Z900" i="4"/>
  <c r="AA449" i="4"/>
  <c r="Z449" i="4"/>
  <c r="AA428" i="4"/>
  <c r="Z428" i="4"/>
  <c r="AA175" i="4"/>
  <c r="Z175" i="4"/>
  <c r="AA77" i="4"/>
  <c r="Z77" i="4"/>
  <c r="AA460" i="4"/>
  <c r="Z460" i="4"/>
  <c r="AA256" i="4"/>
  <c r="Z256" i="4"/>
  <c r="AA1045" i="4"/>
  <c r="Z1045" i="4"/>
  <c r="AA818" i="4"/>
  <c r="Z818" i="4"/>
  <c r="AA1281" i="4"/>
  <c r="Z1281" i="4"/>
  <c r="AA444" i="4"/>
  <c r="Z444" i="4"/>
  <c r="AA955" i="4"/>
  <c r="Z955" i="4"/>
  <c r="AA660" i="4"/>
  <c r="Z660" i="4"/>
  <c r="AA747" i="4"/>
  <c r="Z747" i="4"/>
  <c r="AA454" i="4"/>
  <c r="Z454" i="4"/>
  <c r="AA606" i="4"/>
  <c r="Z606" i="4"/>
  <c r="AA22" i="4"/>
  <c r="Z22" i="4"/>
  <c r="AA1019" i="4"/>
  <c r="Z1019" i="4"/>
  <c r="AA311" i="4"/>
  <c r="Z311" i="4"/>
  <c r="AA950" i="4"/>
  <c r="Z950" i="4"/>
  <c r="AA213" i="4"/>
  <c r="Z213" i="4"/>
  <c r="AA470" i="4"/>
  <c r="Z470" i="4"/>
  <c r="AA434" i="4"/>
  <c r="Z434" i="4"/>
  <c r="AA72" i="4"/>
  <c r="Z72" i="4"/>
  <c r="AA985" i="4"/>
  <c r="Z985" i="4"/>
  <c r="AA436" i="4"/>
  <c r="Z436" i="4"/>
  <c r="AA86" i="4"/>
  <c r="Z86" i="4"/>
  <c r="AA349" i="4"/>
  <c r="Z349" i="4"/>
  <c r="AA1247" i="4"/>
  <c r="Z1247" i="4"/>
  <c r="AA1047" i="4"/>
  <c r="Z1047" i="4"/>
  <c r="AA981" i="4"/>
  <c r="Z981" i="4"/>
  <c r="AA567" i="4"/>
  <c r="Z567" i="4"/>
  <c r="AA858" i="4"/>
  <c r="Z858" i="4"/>
  <c r="AA853" i="4"/>
  <c r="Z853" i="4"/>
  <c r="AA681" i="4"/>
  <c r="Z681" i="4"/>
  <c r="AA956" i="4"/>
  <c r="Z956" i="4"/>
  <c r="AA1260" i="4"/>
  <c r="Z1260" i="4"/>
  <c r="AA743" i="4"/>
  <c r="Z743" i="4"/>
  <c r="AA132" i="4"/>
  <c r="Z132" i="4"/>
  <c r="AA1015" i="4"/>
  <c r="Z1015" i="4"/>
  <c r="AA973" i="4"/>
  <c r="Z973" i="4"/>
  <c r="AA1107" i="4"/>
  <c r="Z1107" i="4"/>
  <c r="AA141" i="4"/>
  <c r="Z141" i="4"/>
  <c r="AA1243" i="4"/>
  <c r="Z1243" i="4"/>
  <c r="AA1061" i="4"/>
  <c r="Z1061" i="4"/>
  <c r="AA474" i="4"/>
  <c r="Z474" i="4"/>
  <c r="AA253" i="4"/>
  <c r="Z253" i="4"/>
  <c r="AA706" i="4"/>
  <c r="Z706" i="4"/>
  <c r="AA825" i="4"/>
  <c r="Z825" i="4"/>
  <c r="AA926" i="4"/>
  <c r="Z926" i="4"/>
  <c r="AA666" i="4"/>
  <c r="Z666" i="4"/>
  <c r="AA191" i="4"/>
  <c r="Z191" i="4"/>
  <c r="AA69" i="4"/>
  <c r="Z69" i="4"/>
  <c r="AA221" i="4"/>
  <c r="Z221" i="4"/>
  <c r="AA70" i="4"/>
  <c r="Z70" i="4"/>
  <c r="AA1109" i="4"/>
  <c r="Z1109" i="4"/>
  <c r="AA887" i="4"/>
  <c r="Z887" i="4"/>
  <c r="AA1291" i="4"/>
  <c r="Z1291" i="4"/>
  <c r="AA1014" i="4"/>
  <c r="Z1014" i="4"/>
  <c r="AA63" i="4"/>
  <c r="Z63" i="4"/>
  <c r="AA1202" i="4"/>
  <c r="Z1202" i="4"/>
  <c r="AA199" i="4"/>
  <c r="Z199" i="4"/>
  <c r="AA1003" i="4"/>
  <c r="Z1003" i="4"/>
  <c r="AA193" i="4"/>
  <c r="Z193" i="4"/>
  <c r="AA1068" i="4"/>
  <c r="Z1068" i="4"/>
  <c r="AA702" i="4"/>
  <c r="Z702" i="4"/>
  <c r="AA342" i="4"/>
  <c r="Z342" i="4"/>
  <c r="AA611" i="4"/>
  <c r="Z611" i="4"/>
  <c r="AA991" i="4"/>
  <c r="Z991" i="4"/>
  <c r="AA638" i="4"/>
  <c r="Z638" i="4"/>
  <c r="AA980" i="4"/>
  <c r="Z980" i="4"/>
  <c r="AA533" i="4"/>
  <c r="Z533" i="4"/>
  <c r="AA1184" i="4"/>
  <c r="Z1184" i="4"/>
  <c r="AA32" i="4"/>
  <c r="Z32" i="4"/>
  <c r="AA612" i="4"/>
  <c r="Z612" i="4"/>
  <c r="AA462" i="4"/>
  <c r="Z462" i="4"/>
  <c r="AA650" i="4"/>
  <c r="Z650" i="4"/>
  <c r="AA620" i="4"/>
  <c r="Z620" i="4"/>
  <c r="AA1173" i="4"/>
  <c r="Z1173" i="4"/>
  <c r="AA804" i="4"/>
  <c r="Z804" i="4"/>
  <c r="AA907" i="4"/>
  <c r="Z907" i="4"/>
  <c r="AA608" i="4"/>
  <c r="Z608" i="4"/>
  <c r="AA588" i="4"/>
  <c r="Z588" i="4"/>
  <c r="AA499" i="4"/>
  <c r="Z499" i="4"/>
  <c r="AA970" i="4"/>
  <c r="Z970" i="4"/>
  <c r="AA211" i="4"/>
  <c r="Z211" i="4"/>
  <c r="AA233" i="4"/>
  <c r="Z233" i="4"/>
  <c r="AA78" i="4"/>
  <c r="Z78" i="4"/>
  <c r="AA271" i="4"/>
  <c r="Z271" i="4"/>
  <c r="AA812" i="4"/>
  <c r="Z812" i="4"/>
  <c r="AA1198" i="4"/>
  <c r="Z1198" i="4"/>
  <c r="AA585" i="4"/>
  <c r="Z585" i="4"/>
  <c r="AA966" i="4"/>
  <c r="Z966" i="4"/>
  <c r="AA1299" i="4"/>
  <c r="Z1299" i="4"/>
  <c r="AA941" i="4"/>
  <c r="Z941" i="4"/>
  <c r="AA861" i="4"/>
  <c r="Z861" i="4"/>
  <c r="AA911" i="4"/>
  <c r="Z911" i="4"/>
  <c r="AA849" i="4"/>
  <c r="Z849" i="4"/>
  <c r="AA332" i="4"/>
  <c r="Z332" i="4"/>
  <c r="AA429" i="4"/>
  <c r="Z429" i="4"/>
  <c r="AA883" i="4"/>
  <c r="Z883" i="4"/>
  <c r="AA755" i="4"/>
  <c r="Z755" i="4"/>
  <c r="AA803" i="4"/>
  <c r="Z803" i="4"/>
  <c r="AA99" i="4"/>
  <c r="Z99" i="4"/>
  <c r="AA466" i="4"/>
  <c r="Z466" i="4"/>
  <c r="AA730" i="4"/>
  <c r="Z730" i="4"/>
  <c r="AA450" i="4"/>
  <c r="Z450" i="4"/>
  <c r="AA316" i="4"/>
  <c r="Z316" i="4"/>
  <c r="AA592" i="4"/>
  <c r="Z592" i="4"/>
  <c r="AA683" i="4"/>
  <c r="Z683" i="4"/>
  <c r="AA95" i="4"/>
  <c r="Z95" i="4"/>
  <c r="AA1287" i="4"/>
  <c r="Z1287" i="4"/>
  <c r="AA232" i="4"/>
  <c r="Z232" i="4"/>
  <c r="AA1129" i="4"/>
  <c r="Z1129" i="4"/>
  <c r="AA864" i="4"/>
  <c r="Z864" i="4"/>
  <c r="AA821" i="4"/>
  <c r="Z821" i="4"/>
  <c r="AA327" i="4"/>
  <c r="Z327" i="4"/>
  <c r="AA572" i="4"/>
  <c r="Z572" i="4"/>
  <c r="AA345" i="4"/>
  <c r="Z345" i="4"/>
  <c r="AA1225" i="4"/>
  <c r="Z1225" i="4"/>
  <c r="AA661" i="4"/>
  <c r="Z661" i="4"/>
  <c r="AA1055" i="4"/>
  <c r="Z1055" i="4"/>
  <c r="AA361" i="4"/>
  <c r="Z361" i="4"/>
  <c r="AA422" i="4"/>
  <c r="Z422" i="4"/>
  <c r="AA1244" i="4"/>
  <c r="Z1244" i="4"/>
  <c r="AA1132" i="4"/>
  <c r="Z1132" i="4"/>
  <c r="AA1051" i="4"/>
  <c r="Z1051" i="4"/>
  <c r="AA675" i="4"/>
  <c r="Z675" i="4"/>
  <c r="AA1123" i="4"/>
  <c r="Z1123" i="4"/>
  <c r="AA307" i="4"/>
  <c r="Z307" i="4"/>
  <c r="AA98" i="4"/>
  <c r="Z98" i="4"/>
  <c r="AA514" i="4"/>
  <c r="Z514" i="4"/>
  <c r="AA539" i="4"/>
  <c r="Z539" i="4"/>
  <c r="AA362" i="4"/>
  <c r="Z362" i="4"/>
  <c r="AA631" i="4"/>
  <c r="Z631" i="4"/>
  <c r="AA1249" i="4"/>
  <c r="Z1249" i="4"/>
  <c r="AA1177" i="4"/>
  <c r="Z1177" i="4"/>
  <c r="AA1056" i="4"/>
  <c r="Z1056" i="4"/>
  <c r="AA700" i="4"/>
  <c r="Z700" i="4"/>
  <c r="AA994" i="4"/>
  <c r="Z994" i="4"/>
  <c r="AA240" i="4"/>
  <c r="Z240" i="4"/>
  <c r="AA826" i="4"/>
  <c r="Z826" i="4"/>
  <c r="AA1004" i="4"/>
  <c r="Z1004" i="4"/>
  <c r="AA1114" i="4"/>
  <c r="Z1114" i="4"/>
  <c r="AA295" i="4"/>
  <c r="Z295" i="4"/>
  <c r="AA806" i="4"/>
  <c r="Z806" i="4"/>
  <c r="AA19" i="4"/>
  <c r="Z19" i="4"/>
  <c r="AA100" i="4"/>
  <c r="Z100" i="4"/>
  <c r="AA757" i="4"/>
  <c r="Z757" i="4"/>
  <c r="AA591" i="4"/>
  <c r="Z591" i="4"/>
  <c r="AA563" i="4"/>
  <c r="Z563" i="4"/>
  <c r="AA962" i="4"/>
  <c r="Z962" i="4"/>
  <c r="AA691" i="4"/>
  <c r="Z691" i="4"/>
  <c r="AA268" i="4"/>
  <c r="Z268" i="4"/>
  <c r="AA750" i="4"/>
  <c r="Z750" i="4"/>
  <c r="AA400" i="4"/>
  <c r="Z400" i="4"/>
  <c r="AA269" i="4"/>
  <c r="Z269" i="4"/>
  <c r="AA1144" i="4"/>
  <c r="Z1144" i="4"/>
  <c r="AA768" i="4"/>
  <c r="Z768" i="4"/>
  <c r="AA1259" i="4"/>
  <c r="Z1259" i="4"/>
  <c r="AA456" i="4"/>
  <c r="Z456" i="4"/>
  <c r="AA552" i="4"/>
  <c r="Z552" i="4"/>
  <c r="AA1226" i="4"/>
  <c r="Z1226" i="4"/>
  <c r="AA947" i="4"/>
  <c r="Z947" i="4"/>
  <c r="AA1018" i="4"/>
  <c r="Z1018" i="4"/>
  <c r="AA1251" i="4"/>
  <c r="Z1251" i="4"/>
  <c r="AA151" i="4"/>
  <c r="Z151" i="4"/>
  <c r="AA960" i="4"/>
  <c r="Z960" i="4"/>
  <c r="AA1152" i="4"/>
  <c r="Z1152" i="4"/>
  <c r="AA369" i="4"/>
  <c r="Z369" i="4"/>
  <c r="AA84" i="4"/>
  <c r="Z84" i="4"/>
  <c r="AA754" i="4"/>
  <c r="Z754" i="4"/>
  <c r="AA749" i="4"/>
  <c r="Z749" i="4"/>
  <c r="AA643" i="4"/>
  <c r="Z643" i="4"/>
  <c r="AA51" i="4"/>
  <c r="Z51" i="4"/>
  <c r="AA805" i="4"/>
  <c r="Z805" i="4"/>
  <c r="AA1282" i="4"/>
  <c r="Z1282" i="4"/>
  <c r="AA692" i="4"/>
  <c r="Z692" i="4"/>
  <c r="AA728" i="4"/>
  <c r="Z728" i="4"/>
  <c r="AA986" i="4"/>
  <c r="Z986" i="4"/>
  <c r="AA1171" i="4"/>
  <c r="Z1171" i="4"/>
  <c r="AA707" i="4"/>
  <c r="Z707" i="4"/>
  <c r="AA579" i="4"/>
  <c r="Z579" i="4"/>
  <c r="AA622" i="4"/>
  <c r="Z622" i="4"/>
  <c r="AA1172" i="4"/>
  <c r="Z1172" i="4"/>
  <c r="AA614" i="4"/>
  <c r="Z614" i="4"/>
  <c r="AA149" i="4"/>
  <c r="Z149" i="4"/>
  <c r="AA995" i="4"/>
  <c r="Z995" i="4"/>
  <c r="AA799" i="4"/>
  <c r="Z799" i="4"/>
  <c r="AA903" i="4"/>
  <c r="Z903" i="4"/>
  <c r="AA145" i="4"/>
  <c r="Z145" i="4"/>
  <c r="AA720" i="4"/>
  <c r="Z720" i="4"/>
  <c r="AA823" i="4"/>
  <c r="Z823" i="4"/>
  <c r="AA481" i="4"/>
  <c r="Z481" i="4"/>
  <c r="AA1242" i="4"/>
  <c r="Z1242" i="4"/>
  <c r="AA1147" i="4"/>
  <c r="Z1147" i="4"/>
  <c r="AA792" i="4"/>
  <c r="Z792" i="4"/>
  <c r="AA929" i="4"/>
  <c r="Z929" i="4"/>
  <c r="AA234" i="4"/>
  <c r="Z234" i="4"/>
  <c r="AA1128" i="4"/>
  <c r="Z1128" i="4"/>
  <c r="AA686" i="4"/>
  <c r="Z686" i="4"/>
  <c r="AA1194" i="4"/>
  <c r="Z1194" i="4"/>
  <c r="AA753" i="4"/>
  <c r="Z753" i="4"/>
  <c r="AA1294" i="4"/>
  <c r="Z1294" i="4"/>
  <c r="AA767" i="4"/>
  <c r="Z767" i="4"/>
  <c r="AA1218" i="4"/>
  <c r="Z1218" i="4"/>
  <c r="AA293" i="4"/>
  <c r="Z293" i="4"/>
  <c r="AA662" i="4"/>
  <c r="Z662" i="4"/>
  <c r="AA712" i="4"/>
  <c r="Z712" i="4"/>
  <c r="AA85" i="4"/>
  <c r="Z85" i="4"/>
  <c r="AA458" i="4"/>
  <c r="Z458" i="4"/>
  <c r="AA1231" i="4"/>
  <c r="Z1231" i="4"/>
  <c r="AA475" i="4"/>
  <c r="Z475" i="4"/>
  <c r="AA889" i="4"/>
  <c r="Z889" i="4"/>
  <c r="AA546" i="4"/>
  <c r="Z546" i="4"/>
  <c r="AA205" i="4"/>
  <c r="Z205" i="4"/>
  <c r="AA1219" i="4"/>
  <c r="Z1219" i="4"/>
  <c r="AA124" i="4"/>
  <c r="Z124" i="4"/>
  <c r="AA1006" i="4"/>
  <c r="Z1006" i="4"/>
  <c r="AA104" i="4"/>
  <c r="Z104" i="4"/>
  <c r="AA1165" i="4"/>
  <c r="Z1165" i="4"/>
  <c r="AA18" i="4"/>
  <c r="Z18" i="4"/>
  <c r="AA1166" i="4"/>
  <c r="Z1166" i="4"/>
  <c r="AA1253" i="4"/>
  <c r="Z1253" i="4"/>
  <c r="AA1257" i="4"/>
  <c r="Z1257" i="4"/>
  <c r="AA1164" i="4"/>
  <c r="Z1164" i="4"/>
  <c r="AA261" i="4"/>
  <c r="Z261" i="4"/>
  <c r="AA286" i="4"/>
  <c r="Z286" i="4"/>
  <c r="AA255" i="4"/>
  <c r="Z255" i="4"/>
  <c r="AA329" i="4"/>
  <c r="Z329" i="4"/>
  <c r="AA1057" i="4"/>
  <c r="Z1057" i="4"/>
  <c r="AA717" i="4"/>
  <c r="Z717" i="4"/>
  <c r="AA334" i="4"/>
  <c r="Z334" i="4"/>
  <c r="AA1159" i="4"/>
  <c r="Z1159" i="4"/>
  <c r="AA542" i="4"/>
  <c r="Z542" i="4"/>
  <c r="AA778" i="4"/>
  <c r="Z778" i="4"/>
  <c r="AA1145" i="4"/>
  <c r="Z1145" i="4"/>
  <c r="AA1058" i="4"/>
  <c r="Z1058" i="4"/>
  <c r="AA280" i="4"/>
  <c r="Z280" i="4"/>
  <c r="AA165" i="4"/>
  <c r="Z165" i="4"/>
  <c r="AA198" i="4"/>
  <c r="Z198" i="4"/>
  <c r="AA417" i="4"/>
  <c r="Z417" i="4"/>
  <c r="AA1030" i="4"/>
  <c r="Z1030" i="4"/>
  <c r="AA1101" i="4"/>
  <c r="Z1101" i="4"/>
  <c r="AA320" i="4"/>
  <c r="Z320" i="4"/>
  <c r="AA212" i="4"/>
  <c r="Z212" i="4"/>
  <c r="AA313" i="4"/>
  <c r="Z313" i="4"/>
  <c r="AA669" i="4"/>
  <c r="Z669" i="4"/>
  <c r="AA1111" i="4"/>
  <c r="Z1111" i="4"/>
  <c r="AA665" i="4"/>
  <c r="Z665" i="4"/>
  <c r="AA1306" i="4"/>
  <c r="Z1306" i="4"/>
  <c r="AA138" i="4"/>
  <c r="Z138" i="4"/>
  <c r="AA658" i="4"/>
  <c r="Z658" i="4"/>
  <c r="AA1238" i="4"/>
  <c r="Z1238" i="4"/>
  <c r="AA668" i="4"/>
  <c r="Z668" i="4"/>
  <c r="AA896" i="4"/>
  <c r="Z896" i="4"/>
  <c r="AA1189" i="4"/>
  <c r="Z1189" i="4"/>
  <c r="AA376" i="4"/>
  <c r="Z376" i="4"/>
  <c r="AA144" i="4"/>
  <c r="Z144" i="4"/>
  <c r="AA166" i="4"/>
  <c r="Z166" i="4"/>
  <c r="AA1304" i="4"/>
  <c r="Z1304" i="4"/>
  <c r="AA685" i="4"/>
  <c r="Z685" i="4"/>
  <c r="AA1267" i="4"/>
  <c r="Z1267" i="4"/>
  <c r="AA975" i="4"/>
  <c r="Z975" i="4"/>
  <c r="AA1024" i="4"/>
  <c r="Z1024" i="4"/>
  <c r="AA684" i="4"/>
  <c r="Z684" i="4"/>
  <c r="AA914" i="4"/>
  <c r="Z914" i="4"/>
  <c r="AA394" i="4"/>
  <c r="Z394" i="4"/>
  <c r="AA830" i="4"/>
  <c r="Z830" i="4"/>
  <c r="AA1264" i="4"/>
  <c r="Z1264" i="4"/>
  <c r="AA61" i="4"/>
  <c r="Z61" i="4"/>
  <c r="AA1270" i="4"/>
  <c r="Z1270" i="4"/>
  <c r="AA740" i="4"/>
  <c r="Z740" i="4"/>
  <c r="AA1060" i="4"/>
  <c r="Z1060" i="4"/>
  <c r="AA115" i="4"/>
  <c r="Z115" i="4"/>
  <c r="AA1258" i="4"/>
  <c r="Z1258" i="4"/>
  <c r="AA1017" i="4"/>
  <c r="Z1017" i="4"/>
  <c r="AA742" i="4"/>
  <c r="Z742" i="4"/>
  <c r="AA540" i="4"/>
  <c r="Z540" i="4"/>
  <c r="AA17" i="4"/>
  <c r="Z17" i="4"/>
  <c r="AA353" i="4"/>
  <c r="Z353" i="4"/>
  <c r="AA1248" i="4"/>
  <c r="Z1248" i="4"/>
  <c r="AA1212" i="4"/>
  <c r="Z1212" i="4"/>
  <c r="AA577" i="4"/>
  <c r="Z577" i="4"/>
  <c r="AA534" i="4"/>
  <c r="Z534" i="4"/>
  <c r="AA1156" i="4"/>
  <c r="Z1156" i="4"/>
  <c r="AA770" i="4"/>
  <c r="Z770" i="4"/>
  <c r="AA810" i="4"/>
  <c r="Z810" i="4"/>
  <c r="AA478" i="4"/>
  <c r="Z478" i="4"/>
  <c r="AA1021" i="4"/>
  <c r="Z1021" i="4"/>
  <c r="AA195" i="4"/>
  <c r="Z195" i="4"/>
  <c r="AA888" i="4"/>
  <c r="Z888" i="4"/>
  <c r="AA719" i="4"/>
  <c r="Z719" i="4"/>
  <c r="AA279" i="4"/>
  <c r="Z279" i="4"/>
  <c r="AA479" i="4"/>
  <c r="Z479" i="4"/>
  <c r="AA519" i="4"/>
  <c r="Z519" i="4"/>
  <c r="AA60" i="4"/>
  <c r="Z60" i="4"/>
  <c r="AA877" i="4"/>
  <c r="Z877" i="4"/>
  <c r="AA96" i="4"/>
  <c r="Z96" i="4"/>
  <c r="AA602" i="4"/>
  <c r="Z602" i="4"/>
  <c r="AA628" i="4"/>
  <c r="Z628" i="4"/>
  <c r="AA937" i="4"/>
  <c r="Z937" i="4"/>
  <c r="AA79" i="4"/>
  <c r="Z79" i="4"/>
  <c r="AA1044" i="4"/>
  <c r="Z1044" i="4"/>
  <c r="AA1075" i="4"/>
  <c r="Z1075" i="4"/>
  <c r="AA170" i="4"/>
  <c r="Z170" i="4"/>
  <c r="AA732" i="4"/>
  <c r="Z732" i="4"/>
  <c r="AA891" i="4"/>
  <c r="Z891" i="4"/>
  <c r="AA285" i="4"/>
  <c r="Z285" i="4"/>
  <c r="AA965" i="4"/>
  <c r="Z965" i="4"/>
  <c r="AA794" i="4"/>
  <c r="Z794" i="4"/>
  <c r="AA871" i="4"/>
  <c r="Z871" i="4"/>
  <c r="AA214" i="4"/>
  <c r="Z214" i="4"/>
  <c r="AA1261" i="4"/>
  <c r="Z1261" i="4"/>
  <c r="AA916" i="4"/>
  <c r="Z916" i="4"/>
  <c r="AA589" i="4"/>
  <c r="Z589" i="4"/>
  <c r="AA596" i="4"/>
  <c r="Z596" i="4"/>
  <c r="AA223" i="4"/>
  <c r="Z223" i="4"/>
  <c r="AA578" i="4"/>
  <c r="Z578" i="4"/>
  <c r="AA1180" i="4"/>
  <c r="Z1180" i="4"/>
  <c r="AA984" i="4"/>
  <c r="Z984" i="4"/>
  <c r="AA367" i="4"/>
  <c r="Z367" i="4"/>
  <c r="AA330" i="4"/>
  <c r="Z330" i="4"/>
  <c r="AA1106" i="4"/>
  <c r="Z1106" i="4"/>
  <c r="AA1283" i="4"/>
  <c r="Z1283" i="4"/>
  <c r="AA524" i="4"/>
  <c r="Z524" i="4"/>
  <c r="AA457" i="4"/>
  <c r="Z457" i="4"/>
  <c r="AA726" i="4"/>
  <c r="Z726" i="4"/>
  <c r="AA403" i="4"/>
  <c r="Z403" i="4"/>
  <c r="AA586" i="4"/>
  <c r="Z586" i="4"/>
  <c r="AA1296" i="4"/>
  <c r="Z1296" i="4"/>
  <c r="AA468" i="4"/>
  <c r="Z468" i="4"/>
  <c r="AA657" i="4"/>
  <c r="Z657" i="4"/>
  <c r="AA1041" i="4"/>
  <c r="Z1041" i="4"/>
  <c r="AA208" i="4"/>
  <c r="Z208" i="4"/>
  <c r="AA904" i="4"/>
  <c r="Z904" i="4"/>
  <c r="AA337" i="4"/>
  <c r="Z337" i="4"/>
  <c r="AA898" i="4"/>
  <c r="Z898" i="4"/>
  <c r="AA652" i="4"/>
  <c r="Z652" i="4"/>
  <c r="AA1031" i="4"/>
  <c r="Z1031" i="4"/>
  <c r="AA421" i="4"/>
  <c r="Z421" i="4"/>
  <c r="AA412" i="4"/>
  <c r="Z412" i="4"/>
  <c r="AA832" i="4"/>
  <c r="Z832" i="4"/>
  <c r="AA1206" i="4"/>
  <c r="Z1206" i="4"/>
  <c r="AA619" i="4"/>
  <c r="Z619" i="4"/>
  <c r="AA185" i="4"/>
  <c r="Z185" i="4"/>
  <c r="AA416" i="4"/>
  <c r="Z416" i="4"/>
  <c r="AA763" i="4"/>
  <c r="Z763" i="4"/>
  <c r="AA1310" i="4"/>
  <c r="Z1310" i="4"/>
  <c r="AA10" i="4"/>
  <c r="AA624" i="4"/>
  <c r="Z624" i="4"/>
  <c r="AA968" i="4"/>
  <c r="Z968" i="4"/>
  <c r="AA1234" i="4"/>
  <c r="Z1234" i="4"/>
  <c r="AA488" i="4"/>
  <c r="Z488" i="4"/>
  <c r="AA1143" i="4"/>
  <c r="Z1143" i="4"/>
  <c r="AA136" i="4"/>
  <c r="Z136" i="4"/>
  <c r="AA813" i="4"/>
  <c r="Z813" i="4"/>
  <c r="AA395" i="4"/>
  <c r="Z395" i="4"/>
  <c r="AA1307" i="4"/>
  <c r="Z1307" i="4"/>
  <c r="AA43" i="4"/>
  <c r="Z43" i="4"/>
  <c r="AA162" i="4"/>
  <c r="Z162" i="4"/>
  <c r="AA618" i="4"/>
  <c r="Z618" i="4"/>
  <c r="AA190" i="4"/>
  <c r="Z190" i="4"/>
  <c r="AA220" i="4"/>
  <c r="Z220" i="4"/>
  <c r="AA237" i="4"/>
  <c r="Z237" i="4"/>
  <c r="AA340" i="4"/>
  <c r="Z340" i="4"/>
  <c r="AA581" i="4"/>
  <c r="Z581" i="4"/>
  <c r="AA335" i="4"/>
  <c r="Z335" i="4"/>
  <c r="AA1138" i="4"/>
  <c r="Z1138" i="4"/>
  <c r="AA791" i="4"/>
  <c r="Z791" i="4"/>
  <c r="AA694" i="4"/>
  <c r="Z694" i="4"/>
  <c r="AA795" i="4"/>
  <c r="Z795" i="4"/>
  <c r="AA733" i="4"/>
  <c r="Z733" i="4"/>
  <c r="AA1240" i="4"/>
  <c r="Z1240" i="4"/>
  <c r="AA828" i="4"/>
  <c r="Z828" i="4"/>
  <c r="AA438" i="4"/>
  <c r="Z438" i="4"/>
  <c r="AA1214" i="4"/>
  <c r="Z1214" i="4"/>
  <c r="AA648" i="4"/>
  <c r="Z648" i="4"/>
  <c r="AA399" i="4"/>
  <c r="Z399" i="4"/>
  <c r="AA301" i="4"/>
  <c r="Z301" i="4"/>
  <c r="AA953" i="4"/>
  <c r="Z953" i="4"/>
  <c r="AA386" i="4"/>
  <c r="Z386" i="4"/>
  <c r="AA71" i="4"/>
  <c r="Z71" i="4"/>
  <c r="AA992" i="4"/>
  <c r="Z992" i="4"/>
  <c r="AA270" i="4"/>
  <c r="Z270" i="4"/>
  <c r="AA775" i="4"/>
  <c r="Z775" i="4"/>
  <c r="AA415" i="4"/>
  <c r="Z415" i="4"/>
  <c r="AA28" i="4"/>
  <c r="Z28" i="4"/>
  <c r="AA116" i="4"/>
  <c r="Z116" i="4"/>
  <c r="AA543" i="4"/>
  <c r="Z543" i="4"/>
  <c r="AA357" i="4"/>
  <c r="Z357" i="4"/>
  <c r="AA584" i="4"/>
  <c r="Z584" i="4"/>
  <c r="AA373" i="4"/>
  <c r="Z373" i="4"/>
  <c r="AA881" i="4"/>
  <c r="Z881" i="4"/>
  <c r="AA164" i="4"/>
  <c r="Z164" i="4"/>
  <c r="AA1082" i="4"/>
  <c r="Z1082" i="4"/>
  <c r="AA62" i="4"/>
  <c r="Z62" i="4"/>
  <c r="AA1050" i="4"/>
  <c r="Z1050" i="4"/>
  <c r="AA1023" i="4"/>
  <c r="Z1023" i="4"/>
  <c r="AA351" i="4"/>
  <c r="Z351" i="4"/>
  <c r="AA202" i="4"/>
  <c r="Z202" i="4"/>
  <c r="AA1290" i="4"/>
  <c r="Z1290" i="4"/>
  <c r="AA709" i="4"/>
  <c r="Z709" i="4"/>
  <c r="AA1293" i="4"/>
  <c r="Z1293" i="4"/>
  <c r="AA354" i="4"/>
  <c r="Z354" i="4"/>
  <c r="AA897" i="4"/>
  <c r="Z897" i="4"/>
  <c r="AA535" i="4"/>
  <c r="Z535" i="4"/>
  <c r="AA1228" i="4"/>
  <c r="Z1228" i="4"/>
  <c r="AA839" i="4"/>
  <c r="Z839" i="4"/>
  <c r="AA452" i="4"/>
  <c r="Z452" i="4"/>
  <c r="AA758" i="4"/>
  <c r="Z758" i="4"/>
  <c r="AA153" i="4"/>
  <c r="Z153" i="4"/>
  <c r="AA942" i="4"/>
  <c r="Z942" i="4"/>
  <c r="AA989" i="4"/>
  <c r="Z989" i="4"/>
  <c r="AA759" i="4"/>
  <c r="Z759" i="4"/>
  <c r="AA225" i="4"/>
  <c r="Z225" i="4"/>
  <c r="AA1161" i="4"/>
  <c r="Z1161" i="4"/>
  <c r="AA383" i="4"/>
  <c r="Z383" i="4"/>
  <c r="AA814" i="4"/>
  <c r="Z814" i="4"/>
  <c r="AA615" i="4"/>
  <c r="Z615" i="4"/>
  <c r="AA284" i="4"/>
  <c r="Z284" i="4"/>
  <c r="AA958" i="4"/>
  <c r="Z958" i="4"/>
  <c r="AA1157" i="4"/>
  <c r="Z1157" i="4"/>
  <c r="AA598" i="4"/>
  <c r="Z598" i="4"/>
  <c r="AA731" i="4"/>
  <c r="Z731" i="4"/>
  <c r="AA905" i="4"/>
  <c r="Z905" i="4"/>
  <c r="AA1112" i="4"/>
  <c r="Z1112" i="4"/>
  <c r="AA943" i="4"/>
  <c r="Z943" i="4"/>
  <c r="AA530" i="4"/>
  <c r="Z530" i="4"/>
  <c r="AA209" i="4"/>
  <c r="Z209" i="4"/>
  <c r="AA913" i="4"/>
  <c r="Z913" i="4"/>
  <c r="AA1119" i="4"/>
  <c r="Z1119" i="4"/>
  <c r="AA507" i="4"/>
  <c r="Z507" i="4"/>
  <c r="AA471" i="4"/>
  <c r="Z471" i="4"/>
  <c r="AA405" i="4"/>
  <c r="Z405" i="4"/>
  <c r="AA495" i="4"/>
  <c r="Z495" i="4"/>
  <c r="AA228" i="4"/>
  <c r="Z228" i="4"/>
  <c r="AA967" i="4"/>
  <c r="Z967" i="4"/>
  <c r="AA1179" i="4"/>
  <c r="Z1179" i="4"/>
  <c r="AA1195" i="4"/>
  <c r="Z1195" i="4"/>
  <c r="AA1071" i="4"/>
  <c r="Z1071" i="4"/>
  <c r="AA129" i="4"/>
  <c r="Z129" i="4"/>
  <c r="AA152" i="4"/>
  <c r="Z152" i="4"/>
  <c r="AA922" i="4"/>
  <c r="Z922" i="4"/>
  <c r="AA862" i="4"/>
  <c r="Z862" i="4"/>
  <c r="AA1196" i="4"/>
  <c r="Z1196" i="4"/>
  <c r="AA1178" i="4"/>
  <c r="Z1178" i="4"/>
  <c r="AA379" i="4"/>
  <c r="Z379" i="4"/>
  <c r="AA568" i="4"/>
  <c r="Z568" i="4"/>
  <c r="AA372" i="4"/>
  <c r="Z372" i="4"/>
  <c r="AA40" i="4"/>
  <c r="Z40" i="4"/>
  <c r="AA1011" i="4"/>
  <c r="Z1011" i="4"/>
  <c r="AA473" i="4"/>
  <c r="Z473" i="4"/>
  <c r="AA73" i="4"/>
  <c r="Z73" i="4"/>
  <c r="AA59" i="4"/>
  <c r="Z59" i="4"/>
  <c r="AA1142" i="4"/>
  <c r="Z1142" i="4"/>
  <c r="AA548" i="4"/>
  <c r="Z548" i="4"/>
  <c r="AA809" i="4"/>
  <c r="Z809" i="4"/>
  <c r="AA477" i="4"/>
  <c r="Z477" i="4"/>
  <c r="AA1013" i="4"/>
  <c r="Z1013" i="4"/>
  <c r="AA272" i="4"/>
  <c r="Z272" i="4"/>
  <c r="AA954" i="4"/>
  <c r="Z954" i="4"/>
  <c r="AA1302" i="4"/>
  <c r="Z1302" i="4"/>
  <c r="AA305" i="4"/>
  <c r="Z305" i="4"/>
  <c r="AA119" i="4"/>
  <c r="Z119" i="4"/>
  <c r="AA134" i="4"/>
  <c r="Z134" i="4"/>
  <c r="AA283" i="4"/>
  <c r="Z283" i="4"/>
  <c r="AA782" i="4"/>
  <c r="Z782" i="4"/>
  <c r="AA508" i="4"/>
  <c r="Z508" i="4"/>
  <c r="AA595" i="4"/>
  <c r="Z595" i="4"/>
  <c r="AA976" i="4"/>
  <c r="Z976" i="4"/>
  <c r="AA463" i="4"/>
  <c r="Z463" i="4"/>
  <c r="AA1029" i="4"/>
  <c r="Z1029" i="4"/>
  <c r="AA331" i="4"/>
  <c r="Z331" i="4"/>
  <c r="AA189" i="4"/>
  <c r="Z189" i="4"/>
  <c r="AA1224" i="4"/>
  <c r="Z1224" i="4"/>
  <c r="AA1063" i="4"/>
  <c r="Z1063" i="4"/>
  <c r="AA1012" i="4"/>
  <c r="Z1012" i="4"/>
  <c r="AA551" i="4"/>
  <c r="Z551" i="4"/>
  <c r="AA959" i="4"/>
  <c r="Z959" i="4"/>
  <c r="AA609" i="4"/>
  <c r="Z609" i="4"/>
  <c r="AA745" i="4"/>
  <c r="Z745" i="4"/>
  <c r="AA617" i="4"/>
  <c r="Z617" i="4"/>
  <c r="AA181" i="4"/>
  <c r="Z181" i="4"/>
  <c r="AA122" i="4"/>
  <c r="Z122" i="4"/>
  <c r="AA1027" i="4"/>
  <c r="Z1027" i="4"/>
  <c r="AA793" i="4"/>
  <c r="Z793" i="4"/>
  <c r="AA1246" i="4"/>
  <c r="Z1246" i="4"/>
  <c r="AA227" i="4"/>
  <c r="Z227" i="4"/>
  <c r="AA1227" i="4"/>
  <c r="Z1227" i="4"/>
  <c r="AA512" i="4"/>
  <c r="Z512" i="4"/>
  <c r="AA808" i="4"/>
  <c r="Z808" i="4"/>
  <c r="AA621" i="4"/>
  <c r="Z621" i="4"/>
  <c r="AA133" i="4"/>
  <c r="Z133" i="4"/>
  <c r="AA1262" i="4"/>
  <c r="Z1262" i="4"/>
  <c r="AA1086" i="4"/>
  <c r="Z1086" i="4"/>
  <c r="AA297" i="4"/>
  <c r="Z297" i="4"/>
  <c r="AA291" i="4"/>
  <c r="Z291" i="4"/>
  <c r="AA878" i="4"/>
  <c r="Z878" i="4"/>
  <c r="AA431" i="4"/>
  <c r="Z431" i="4"/>
  <c r="AA371" i="4"/>
  <c r="Z371" i="4"/>
  <c r="AA302" i="4"/>
  <c r="Z302" i="4"/>
  <c r="AA130" i="4"/>
  <c r="Z130" i="4"/>
  <c r="AA583" i="4"/>
  <c r="Z583" i="4"/>
  <c r="AA167" i="4"/>
  <c r="Z167" i="4"/>
  <c r="AA146" i="4"/>
  <c r="Z146" i="4"/>
  <c r="AA756" i="4"/>
  <c r="Z756" i="4"/>
  <c r="AA346" i="4"/>
  <c r="Z346" i="4"/>
  <c r="AA76" i="4"/>
  <c r="Z76" i="4"/>
  <c r="AA1207" i="4"/>
  <c r="Z1207" i="4"/>
  <c r="AA876" i="4"/>
  <c r="Z876" i="4"/>
  <c r="AA802" i="4"/>
  <c r="Z802" i="4"/>
  <c r="AA1010" i="4"/>
  <c r="Z1010" i="4"/>
  <c r="AA998" i="4"/>
  <c r="Z998" i="4"/>
  <c r="AA174" i="4"/>
  <c r="Z174" i="4"/>
  <c r="AA393" i="4"/>
  <c r="Z393" i="4"/>
  <c r="AA1083" i="4"/>
  <c r="Z1083" i="4"/>
  <c r="AA811" i="4"/>
  <c r="Z811" i="4"/>
  <c r="AA713" i="4"/>
  <c r="Z713" i="4"/>
  <c r="AA91" i="4"/>
  <c r="Z91" i="4"/>
  <c r="AA323" i="4"/>
  <c r="Z323" i="4"/>
  <c r="AA511" i="4"/>
  <c r="Z511" i="4"/>
  <c r="AA935" i="4"/>
  <c r="Z935" i="4"/>
  <c r="AA326" i="4"/>
  <c r="Z326" i="4"/>
  <c r="AA53" i="4"/>
  <c r="Z53" i="4"/>
  <c r="AA1182" i="4"/>
  <c r="Z1182" i="4"/>
  <c r="AA827" i="4"/>
  <c r="Z827" i="4"/>
  <c r="AA140" i="4"/>
  <c r="Z140" i="4"/>
  <c r="AA582" i="4"/>
  <c r="Z582" i="4"/>
  <c r="AA1220" i="4"/>
  <c r="Z1220" i="4"/>
  <c r="AA525" i="4"/>
  <c r="Z525" i="4"/>
  <c r="AA1079" i="4"/>
  <c r="Z1079" i="4"/>
  <c r="AA885" i="4"/>
  <c r="Z885" i="4"/>
  <c r="AA912" i="4"/>
  <c r="Z912" i="4"/>
  <c r="AA168" i="4"/>
  <c r="Z168" i="4"/>
  <c r="AA26" i="4"/>
  <c r="Z26" i="4"/>
  <c r="AA243" i="4"/>
  <c r="Z243" i="4"/>
  <c r="AA244" i="4"/>
  <c r="Z244" i="4"/>
  <c r="AA931" i="4"/>
  <c r="Z931" i="4"/>
  <c r="AA773" i="4"/>
  <c r="Z773" i="4"/>
  <c r="AA632" i="4"/>
  <c r="Z632" i="4"/>
  <c r="AA751" i="4"/>
  <c r="Z751" i="4"/>
  <c r="AA423" i="4"/>
  <c r="Z423" i="4"/>
  <c r="AA356" i="4"/>
  <c r="Z356" i="4"/>
  <c r="AA80" i="4"/>
  <c r="Z80" i="4"/>
  <c r="AA1053" i="4"/>
  <c r="Z1053" i="4"/>
  <c r="AA1200" i="4"/>
  <c r="Z1200" i="4"/>
  <c r="AA296" i="4"/>
  <c r="Z296" i="4"/>
  <c r="AA570" i="4"/>
  <c r="Z570" i="4"/>
  <c r="AA1078" i="4"/>
  <c r="Z1078" i="4"/>
  <c r="AA1108" i="4"/>
  <c r="Z1108" i="4"/>
  <c r="AA1279" i="4"/>
  <c r="Z1279" i="4"/>
  <c r="AA1146" i="4"/>
  <c r="Z1146" i="4"/>
  <c r="AA656" i="4"/>
  <c r="Z656" i="4"/>
  <c r="AA1301" i="4"/>
  <c r="Z1301" i="4"/>
  <c r="AA837" i="4"/>
  <c r="Z837" i="4"/>
  <c r="AA482" i="4"/>
  <c r="Z482" i="4"/>
  <c r="AA711" i="4"/>
  <c r="Z711" i="4"/>
  <c r="AA275" i="4"/>
  <c r="Z275" i="4"/>
  <c r="AA1036" i="4"/>
  <c r="Z1036" i="4"/>
  <c r="AA440" i="4"/>
  <c r="Z440" i="4"/>
  <c r="AA518" i="4"/>
  <c r="Z518" i="4"/>
  <c r="AA646" i="4"/>
  <c r="Z646" i="4"/>
  <c r="AA492" i="4"/>
  <c r="Z492" i="4"/>
  <c r="AA884" i="4"/>
  <c r="Z884" i="4"/>
  <c r="AA676" i="4"/>
  <c r="Z676" i="4"/>
  <c r="AA945" i="4"/>
  <c r="Z945" i="4"/>
  <c r="AA322" i="4"/>
  <c r="Z322" i="4"/>
  <c r="AA569" i="4"/>
  <c r="Z569" i="4"/>
  <c r="AA1046" i="4"/>
  <c r="Z1046" i="4"/>
  <c r="AA1115" i="4"/>
  <c r="Z1115" i="4"/>
  <c r="AA248" i="4"/>
  <c r="Z248" i="4"/>
  <c r="AA1191" i="4"/>
  <c r="Z1191" i="4"/>
  <c r="AA1092" i="4"/>
  <c r="Z1092" i="4"/>
  <c r="AA1126" i="4"/>
  <c r="Z1126" i="4"/>
  <c r="AA868" i="4"/>
  <c r="Z868" i="4"/>
  <c r="AA222" i="4"/>
  <c r="Z222" i="4"/>
  <c r="AA651" i="4"/>
  <c r="Z651" i="4"/>
  <c r="AA1133" i="4"/>
  <c r="Z1133" i="4"/>
  <c r="AA529" i="4"/>
  <c r="Z529" i="4"/>
  <c r="AA1308" i="4"/>
  <c r="Z1308" i="4"/>
  <c r="AA389" i="4"/>
  <c r="Z389" i="4"/>
  <c r="AA218" i="4"/>
  <c r="Z218" i="4"/>
  <c r="AA503" i="4"/>
  <c r="Z503" i="4"/>
  <c r="AA1154" i="4"/>
  <c r="Z1154" i="4"/>
  <c r="AA1094" i="4"/>
  <c r="Z1094" i="4"/>
  <c r="AA790" i="4"/>
  <c r="Z790" i="4"/>
  <c r="AA964" i="4"/>
  <c r="Z964" i="4"/>
  <c r="AA352" i="4"/>
  <c r="Z352" i="4"/>
  <c r="AA25" i="4"/>
  <c r="Z25" i="4"/>
  <c r="AA1008" i="4"/>
  <c r="Z1008" i="4"/>
  <c r="AA838" i="4"/>
  <c r="Z838" i="4"/>
  <c r="AA1009" i="4"/>
  <c r="Z1009" i="4"/>
  <c r="AA355" i="4"/>
  <c r="Z355" i="4"/>
  <c r="AA1266" i="4"/>
  <c r="Z1266" i="4"/>
  <c r="AA341" i="4"/>
  <c r="Z341" i="4"/>
  <c r="AA1073" i="4"/>
  <c r="Z1073" i="4"/>
  <c r="AA411" i="4"/>
  <c r="Z411" i="4"/>
  <c r="AA1263" i="4"/>
  <c r="Z1263" i="4"/>
  <c r="AA729" i="4"/>
  <c r="Z729" i="4"/>
  <c r="AA977" i="4"/>
  <c r="Z977" i="4"/>
  <c r="AA465" i="4"/>
  <c r="Z465" i="4"/>
  <c r="AA1122" i="4"/>
  <c r="Z1122" i="4"/>
  <c r="AA544" i="4"/>
  <c r="Z544" i="4"/>
  <c r="AA262" i="4"/>
  <c r="Z262" i="4"/>
  <c r="AA996" i="4"/>
  <c r="Z996" i="4"/>
  <c r="AA979" i="4"/>
  <c r="Z979" i="4"/>
  <c r="AA902" i="4"/>
  <c r="Z902" i="4"/>
  <c r="AA265" i="4"/>
  <c r="Z265" i="4"/>
  <c r="AA27" i="4"/>
  <c r="Z27" i="4"/>
  <c r="AA235" i="4"/>
  <c r="Z235" i="4"/>
  <c r="AA282" i="4"/>
  <c r="Z282" i="4"/>
  <c r="AA857" i="4"/>
  <c r="Z857" i="4"/>
  <c r="AA106" i="4"/>
  <c r="Z106" i="4"/>
  <c r="AA564" i="4"/>
  <c r="Z564" i="4"/>
  <c r="AA772" i="4"/>
  <c r="Z772" i="4"/>
  <c r="AA435" i="4"/>
  <c r="Z435" i="4"/>
  <c r="AA1269" i="4"/>
  <c r="Z1269" i="4"/>
  <c r="AA281" i="4"/>
  <c r="Z281" i="4"/>
  <c r="AA892" i="4"/>
  <c r="Z892" i="4"/>
  <c r="AA1124" i="4"/>
  <c r="Z1124" i="4"/>
  <c r="AA359" i="4"/>
  <c r="Z359" i="4"/>
  <c r="AA245" i="4"/>
  <c r="Z245" i="4"/>
  <c r="AA441" i="4"/>
  <c r="Z441" i="4"/>
  <c r="AA249" i="4"/>
  <c r="Z249" i="4"/>
  <c r="AA328" i="4"/>
  <c r="Z328" i="4"/>
  <c r="AA704" i="4"/>
  <c r="Z704" i="4"/>
  <c r="AA23" i="4"/>
  <c r="Z23" i="4"/>
  <c r="AA114" i="4"/>
  <c r="Z114" i="4"/>
  <c r="AA110" i="4"/>
  <c r="Z110" i="4"/>
  <c r="AA142" i="4"/>
  <c r="Z142" i="4"/>
  <c r="AA260" i="4"/>
  <c r="Z260" i="4"/>
  <c r="AA1300" i="4"/>
  <c r="Z1300" i="4"/>
  <c r="AA31" i="4"/>
  <c r="Z31" i="4"/>
  <c r="AA102" i="4"/>
  <c r="Z102" i="4"/>
  <c r="AA1193" i="4"/>
  <c r="Z1193" i="4"/>
  <c r="AA494" i="4"/>
  <c r="Z494" i="4"/>
  <c r="AA75" i="4"/>
  <c r="Z75" i="4"/>
  <c r="AA276" i="4"/>
  <c r="Z276" i="4"/>
  <c r="AA701" i="4"/>
  <c r="Z701" i="4"/>
  <c r="AA641" i="4"/>
  <c r="Z641" i="4"/>
  <c r="AA1252" i="4"/>
  <c r="Z1252" i="4"/>
  <c r="AA1140" i="4"/>
  <c r="Z1140" i="4"/>
  <c r="AA92" i="4"/>
  <c r="Z92" i="4"/>
  <c r="AA360" i="4"/>
  <c r="Z360" i="4"/>
  <c r="AA1076" i="4"/>
  <c r="Z1076" i="4"/>
  <c r="AA87" i="4"/>
  <c r="Z87" i="4"/>
  <c r="AA437" i="4"/>
  <c r="Z437" i="4"/>
  <c r="AA798" i="4"/>
  <c r="Z798" i="4"/>
  <c r="AA58" i="4"/>
  <c r="Z58" i="4"/>
  <c r="AA496" i="4"/>
  <c r="Z496" i="4"/>
  <c r="AA576" i="4"/>
  <c r="Z576" i="4"/>
  <c r="AA1288" i="4"/>
  <c r="Z1288" i="4"/>
  <c r="AA177" i="4"/>
  <c r="Z177" i="4"/>
  <c r="AA1168" i="4"/>
  <c r="Z1168" i="4"/>
  <c r="AA944" i="4"/>
  <c r="Z944" i="4"/>
  <c r="AA347" i="4"/>
  <c r="Z347" i="4"/>
  <c r="AA430" i="4"/>
  <c r="Z430" i="4"/>
  <c r="AA1223" i="4"/>
  <c r="Z1223" i="4"/>
  <c r="AA835" i="4"/>
  <c r="Z835" i="4"/>
  <c r="AA231" i="4"/>
  <c r="Z231" i="4"/>
  <c r="AA1229" i="4"/>
  <c r="Z1229" i="4"/>
  <c r="AA571" i="4"/>
  <c r="Z571" i="4"/>
  <c r="AA445" i="4"/>
  <c r="Z445" i="4"/>
  <c r="AA1085" i="4"/>
  <c r="Z1085" i="4"/>
  <c r="AA842" i="4"/>
  <c r="Z842" i="4"/>
  <c r="AA910" i="4"/>
  <c r="Z910" i="4"/>
  <c r="AA15" i="4"/>
  <c r="Z15" i="4"/>
  <c r="AA254" i="4"/>
  <c r="Z254" i="4"/>
  <c r="AA1113" i="4"/>
  <c r="Z1113" i="4"/>
  <c r="AA1081" i="4"/>
  <c r="Z1081" i="4"/>
  <c r="AA339" i="4"/>
  <c r="Z339" i="4"/>
  <c r="AA875" i="4"/>
  <c r="Z875" i="4"/>
  <c r="AA848" i="4"/>
  <c r="Z848" i="4"/>
  <c r="AA182" i="4"/>
  <c r="Z182" i="4"/>
  <c r="AA401" i="4"/>
  <c r="Z401" i="4"/>
  <c r="AA688" i="4"/>
  <c r="Z688" i="4"/>
  <c r="AA509" i="4"/>
  <c r="Z509" i="4"/>
  <c r="AA844" i="4"/>
  <c r="Z844" i="4"/>
  <c r="AA304" i="4"/>
  <c r="Z304" i="4"/>
  <c r="AA1305" i="4"/>
  <c r="Z1305" i="4"/>
  <c r="AA278" i="4"/>
  <c r="Z278" i="4"/>
  <c r="AA1059" i="4"/>
  <c r="Z1059" i="4"/>
  <c r="AA1131" i="4"/>
  <c r="Z1131" i="4"/>
  <c r="AA774" i="4"/>
  <c r="Z774" i="4"/>
  <c r="AA515" i="4"/>
  <c r="Z515" i="4"/>
  <c r="AA299" i="4"/>
  <c r="Z299" i="4"/>
  <c r="AA487" i="4"/>
  <c r="Z487" i="4"/>
  <c r="AA147" i="4"/>
  <c r="Z147" i="4"/>
  <c r="AA321" i="4"/>
  <c r="Z321" i="4"/>
  <c r="AA325" i="4"/>
  <c r="Z325" i="4"/>
  <c r="AA866" i="4"/>
  <c r="Z866" i="4"/>
  <c r="AA391" i="4"/>
  <c r="Z391" i="4"/>
  <c r="AA1074" i="4"/>
  <c r="Z1074" i="4"/>
  <c r="AA1235" i="4"/>
  <c r="Z1235" i="4"/>
  <c r="AA880" i="4"/>
  <c r="Z880" i="4"/>
  <c r="AA180" i="4"/>
  <c r="Z180" i="4"/>
  <c r="AA846" i="4"/>
  <c r="Z846" i="4"/>
  <c r="AA553" i="4"/>
  <c r="Z553" i="4"/>
  <c r="AA781" i="4"/>
  <c r="Z781" i="4"/>
  <c r="AA748" i="4"/>
  <c r="Z748" i="4"/>
  <c r="AA963" i="4"/>
  <c r="Z963" i="4"/>
  <c r="AA1268" i="4"/>
  <c r="Z1268" i="4"/>
  <c r="AA125" i="4"/>
  <c r="Z125" i="4"/>
  <c r="AA50" i="4"/>
  <c r="Z50" i="4"/>
  <c r="AA1278" i="4"/>
  <c r="Z1278" i="4"/>
  <c r="AA1091" i="4"/>
  <c r="Z1091" i="4"/>
  <c r="AA680" i="4"/>
  <c r="Z680" i="4"/>
  <c r="AA752" i="4"/>
  <c r="Z752" i="4"/>
  <c r="AA949" i="4"/>
  <c r="Z949" i="4"/>
  <c r="AA517" i="4"/>
  <c r="Z517" i="4"/>
  <c r="AA1038" i="4"/>
  <c r="Z1038" i="4"/>
  <c r="AA506" i="4"/>
  <c r="Z506" i="4"/>
  <c r="AA1210" i="4"/>
  <c r="Z1210" i="4"/>
  <c r="AA1176" i="4"/>
  <c r="Z1176" i="4"/>
  <c r="AA1102" i="4"/>
  <c r="Z1102" i="4"/>
  <c r="AA1090" i="4"/>
  <c r="Z1090" i="4"/>
  <c r="AA723" i="4"/>
  <c r="Z723" i="4"/>
  <c r="AA88" i="4"/>
  <c r="Z88" i="4"/>
  <c r="AA303" i="4"/>
  <c r="Z303" i="4"/>
  <c r="AA257" i="4"/>
  <c r="Z257" i="4"/>
  <c r="AA547" i="4"/>
  <c r="Z547" i="4"/>
  <c r="AA1100" i="4"/>
  <c r="Z1100" i="4"/>
  <c r="AA933" i="4"/>
  <c r="Z933" i="4"/>
  <c r="AA690" i="4"/>
  <c r="Z690" i="4"/>
  <c r="AA1016" i="4"/>
  <c r="Z1016" i="4"/>
  <c r="AA703" i="4"/>
  <c r="Z703" i="4"/>
  <c r="AA554" i="4"/>
  <c r="Z554" i="4"/>
  <c r="AA724" i="4"/>
  <c r="Z724" i="4"/>
  <c r="AA246" i="4"/>
  <c r="Z246" i="4"/>
  <c r="AA178" i="4"/>
  <c r="Z178" i="4"/>
  <c r="AA204" i="4"/>
  <c r="Z204" i="4"/>
  <c r="AA695" i="4"/>
  <c r="Z695" i="4"/>
  <c r="AA630" i="4"/>
  <c r="Z630" i="4"/>
  <c r="AA1089" i="4"/>
  <c r="Z1089" i="4"/>
  <c r="AA834" i="4"/>
  <c r="Z834" i="4"/>
  <c r="AA860" i="4"/>
  <c r="Z860" i="4"/>
  <c r="AA35" i="4"/>
  <c r="Z35" i="4"/>
  <c r="AA1120" i="4"/>
  <c r="Z1120" i="4"/>
  <c r="AA780" i="4"/>
  <c r="Z780" i="4"/>
  <c r="AA156" i="4"/>
  <c r="Z156" i="4"/>
  <c r="AA333" i="4"/>
  <c r="Z333" i="4"/>
  <c r="AA847" i="4"/>
  <c r="Z847" i="4"/>
  <c r="AA522" i="4"/>
  <c r="Z522" i="4"/>
  <c r="AA1084" i="4"/>
  <c r="Z1084" i="4"/>
  <c r="AA1067" i="4"/>
  <c r="Z1067" i="4"/>
  <c r="AA306" i="4"/>
  <c r="Z306" i="4"/>
  <c r="AA287" i="4"/>
  <c r="Z287" i="4"/>
  <c r="AA406" i="4"/>
  <c r="Z406" i="4"/>
  <c r="AA1205" i="4"/>
  <c r="Z1205" i="4"/>
  <c r="AA939" i="4"/>
  <c r="Z939" i="4"/>
  <c r="AA490" i="4"/>
  <c r="Z490" i="4"/>
  <c r="AA216" i="4"/>
  <c r="Z216" i="4"/>
  <c r="AA1181" i="4"/>
  <c r="Z1181" i="4"/>
  <c r="AA1136" i="4"/>
  <c r="Z1136" i="4"/>
  <c r="AA721" i="4"/>
  <c r="Z721" i="4"/>
  <c r="AA250" i="4"/>
  <c r="Z250" i="4"/>
  <c r="AA1001" i="4"/>
  <c r="Z1001" i="4"/>
  <c r="AA1065" i="4"/>
  <c r="Z1065" i="4"/>
  <c r="AA64" i="4"/>
  <c r="Z64" i="4"/>
  <c r="AA179" i="4"/>
  <c r="Z179" i="4"/>
  <c r="AA974" i="4"/>
  <c r="Z974" i="4"/>
  <c r="AA200" i="4"/>
  <c r="Z200" i="4"/>
  <c r="AA673" i="4"/>
  <c r="Z673" i="4"/>
  <c r="AA464" i="4"/>
  <c r="Z464" i="4"/>
  <c r="AA137" i="4"/>
  <c r="Z137" i="4"/>
  <c r="AA388" i="4"/>
  <c r="Z388" i="4"/>
  <c r="AA696" i="4"/>
  <c r="Z696" i="4"/>
  <c r="AA348" i="4"/>
  <c r="Z348" i="4"/>
  <c r="AA906" i="4"/>
  <c r="Z906" i="4"/>
  <c r="AA1309" i="4"/>
  <c r="Z1309" i="4"/>
  <c r="AA708" i="4"/>
  <c r="Z708" i="4"/>
  <c r="AA1117" i="4"/>
  <c r="Z1117" i="4"/>
  <c r="AA599" i="4"/>
  <c r="Z599" i="4"/>
  <c r="AA655" i="4"/>
  <c r="Z655" i="4"/>
  <c r="AA319" i="4"/>
  <c r="Z319" i="4"/>
  <c r="AA419" i="4"/>
  <c r="Z419" i="4"/>
  <c r="AA872" i="4"/>
  <c r="Z872" i="4"/>
  <c r="AA1135" i="4"/>
  <c r="Z1135" i="4"/>
  <c r="AA1103" i="4"/>
  <c r="Z1103" i="4"/>
  <c r="AA1087" i="4"/>
  <c r="Z1087" i="4"/>
  <c r="AA131" i="4"/>
  <c r="Z131" i="4"/>
  <c r="AA109" i="4"/>
  <c r="Z109" i="4"/>
  <c r="AA263" i="4"/>
  <c r="Z263" i="4"/>
  <c r="AA1155" i="4"/>
  <c r="Z1155" i="4"/>
  <c r="AA89" i="4"/>
  <c r="Z89" i="4"/>
  <c r="AA38" i="4"/>
  <c r="Z38" i="4"/>
  <c r="AA639" i="4"/>
  <c r="Z639" i="4"/>
  <c r="AA1188" i="4"/>
  <c r="Z1188" i="4"/>
  <c r="AA1187" i="4"/>
  <c r="Z1187" i="4"/>
  <c r="AA1162" i="4"/>
  <c r="Z1162" i="4"/>
  <c r="AA16" i="4"/>
  <c r="Z16" i="4"/>
  <c r="AA238" i="4"/>
  <c r="Z238" i="4"/>
  <c r="AA1276" i="4"/>
  <c r="Z1276" i="4"/>
  <c r="AA642" i="4"/>
  <c r="Z642" i="4"/>
  <c r="AA66" i="4"/>
  <c r="Z66" i="4"/>
  <c r="AA160" i="4"/>
  <c r="Z160" i="4"/>
  <c r="AA869" i="4"/>
  <c r="Z869" i="4"/>
  <c r="AA469" i="4"/>
  <c r="Z469" i="4"/>
  <c r="AA766" i="4"/>
  <c r="Z766" i="4"/>
  <c r="AA741" i="4"/>
  <c r="Z741" i="4"/>
  <c r="AA236" i="4"/>
  <c r="Z236" i="4"/>
  <c r="AA187" i="4"/>
  <c r="Z187" i="4"/>
  <c r="AA215" i="4"/>
  <c r="Z215" i="4"/>
  <c r="AA1265" i="4"/>
  <c r="Z1265" i="4"/>
  <c r="AA523" i="4"/>
  <c r="Z523" i="4"/>
  <c r="AA715" i="4"/>
  <c r="Z715" i="4"/>
  <c r="AA919" i="4"/>
  <c r="Z919" i="4"/>
  <c r="AA637" i="4"/>
  <c r="Z637" i="4"/>
  <c r="AA1148" i="4"/>
  <c r="Z1148" i="4"/>
  <c r="AA398" i="4"/>
  <c r="Z398" i="4"/>
  <c r="AA1048" i="4"/>
  <c r="Z1048" i="4"/>
  <c r="AA150" i="4"/>
  <c r="Z150" i="4"/>
  <c r="AA159" i="4"/>
  <c r="Z159" i="4"/>
  <c r="AA725" i="4"/>
  <c r="Z725" i="4"/>
  <c r="AA251" i="4"/>
  <c r="Z251" i="4"/>
  <c r="AA176" i="4"/>
  <c r="Z176" i="4"/>
  <c r="AA526" i="4"/>
  <c r="Z526" i="4"/>
  <c r="AA155" i="4"/>
  <c r="Z155" i="4"/>
  <c r="AA420" i="4"/>
  <c r="Z420" i="4"/>
  <c r="AA37" i="4"/>
  <c r="Z37" i="4"/>
  <c r="AA1105" i="4"/>
  <c r="Z1105" i="4"/>
  <c r="AA300" i="4"/>
  <c r="Z300" i="4"/>
  <c r="AA1097" i="4"/>
  <c r="Z1097" i="4"/>
  <c r="AA1032" i="4"/>
  <c r="Z1032" i="4"/>
  <c r="AA1007" i="4"/>
  <c r="Z1007" i="4"/>
  <c r="AA587" i="4"/>
  <c r="Z587" i="4"/>
  <c r="AA736" i="4"/>
  <c r="Z736" i="4"/>
  <c r="AA833" i="4"/>
  <c r="Z833" i="4"/>
  <c r="AA516" i="4"/>
  <c r="Z516" i="4"/>
  <c r="AA1039" i="4"/>
  <c r="Z1039" i="4"/>
  <c r="AA829" i="4"/>
  <c r="Z829" i="4"/>
  <c r="AA538" i="4"/>
  <c r="Z538" i="4"/>
  <c r="AA738" i="4"/>
  <c r="Z738" i="4"/>
  <c r="AA932" i="4"/>
  <c r="Z932" i="4"/>
  <c r="AA451" i="4"/>
  <c r="Z451" i="4"/>
  <c r="AA42" i="4"/>
  <c r="Z42" i="4"/>
  <c r="AA1256" i="4"/>
  <c r="Z1256" i="4"/>
  <c r="AA192" i="4"/>
  <c r="Z192" i="4"/>
  <c r="AA597" i="4"/>
  <c r="Z597" i="4"/>
  <c r="AA363" i="4"/>
  <c r="Z363" i="4"/>
  <c r="AA380" i="4"/>
  <c r="Z380" i="4"/>
  <c r="AA600" i="4"/>
  <c r="Z600" i="4"/>
  <c r="AA1192" i="4"/>
  <c r="Z1192" i="4"/>
  <c r="AA1005" i="4"/>
  <c r="Z1005" i="4"/>
  <c r="AA480" i="4"/>
  <c r="Z480" i="4"/>
  <c r="AA123" i="4"/>
  <c r="Z123" i="4"/>
  <c r="AA560" i="4"/>
  <c r="Z560" i="4"/>
  <c r="AA886" i="4"/>
  <c r="Z886" i="4"/>
  <c r="AA788" i="4"/>
  <c r="Z788" i="4"/>
  <c r="AA1139" i="4"/>
  <c r="Z1139" i="4"/>
  <c r="AA865" i="4"/>
  <c r="Z865" i="4"/>
  <c r="AA647" i="4"/>
  <c r="Z647" i="4"/>
  <c r="AA785" i="4"/>
  <c r="Z785" i="4"/>
  <c r="AA550" i="4"/>
  <c r="Z550" i="4"/>
  <c r="AA629" i="4"/>
  <c r="Z629" i="4"/>
  <c r="AA1312" i="4"/>
  <c r="Z1312" i="4"/>
  <c r="AA948" i="4"/>
  <c r="Z948" i="4"/>
  <c r="AA1035" i="4"/>
  <c r="Z1035" i="4"/>
  <c r="AA1167" i="4"/>
  <c r="Z1167" i="4"/>
  <c r="AA1272" i="4"/>
  <c r="Z1272" i="4"/>
  <c r="AA97" i="4"/>
  <c r="Z97" i="4"/>
  <c r="AA1254" i="4"/>
  <c r="Z1254" i="4"/>
  <c r="AA173" i="4"/>
  <c r="Z173" i="4"/>
  <c r="AA559" i="4"/>
  <c r="Z559" i="4"/>
  <c r="AA1209" i="4"/>
  <c r="Z1209" i="4"/>
  <c r="AA366" i="4"/>
  <c r="Z366" i="4"/>
  <c r="AA566" i="4"/>
  <c r="Z566" i="4"/>
  <c r="AA126" i="4"/>
  <c r="Z126" i="4"/>
  <c r="AA407" i="4"/>
  <c r="Z407" i="4"/>
  <c r="AA1072" i="4"/>
  <c r="Z1072" i="4"/>
  <c r="AA528" i="4"/>
  <c r="Z528" i="4"/>
  <c r="AA241" i="4"/>
  <c r="Z241" i="4"/>
  <c r="AA928" i="4"/>
  <c r="Z928" i="4"/>
  <c r="AA484" i="4"/>
  <c r="Z484" i="4"/>
  <c r="AA197" i="4"/>
  <c r="Z197" i="4"/>
  <c r="AA917" i="4"/>
  <c r="Z917" i="4"/>
  <c r="AA604" i="4"/>
  <c r="Z604" i="4"/>
  <c r="AA605" i="4"/>
  <c r="Z605" i="4"/>
  <c r="AA172" i="4"/>
  <c r="Z172" i="4"/>
  <c r="AA447" i="4"/>
  <c r="Z447" i="4"/>
  <c r="AA1149" i="4"/>
  <c r="Z1149" i="4"/>
  <c r="AA532" i="4"/>
  <c r="Z532" i="4"/>
  <c r="AA705" i="4"/>
  <c r="Z705" i="4"/>
  <c r="AA1255" i="4"/>
  <c r="Z1255" i="4"/>
  <c r="AA486" i="4"/>
  <c r="Z486" i="4"/>
  <c r="AA513" i="4"/>
  <c r="Z513" i="4"/>
  <c r="AA103" i="4"/>
  <c r="Z103" i="4"/>
  <c r="AA390" i="4"/>
  <c r="Z390" i="4"/>
  <c r="AA483" i="4"/>
  <c r="Z483" i="4"/>
  <c r="AA1185" i="4"/>
  <c r="Z1185" i="4"/>
  <c r="AA1183" i="4"/>
  <c r="Z1183" i="4"/>
  <c r="AA184" i="4"/>
  <c r="Z184" i="4"/>
  <c r="AA851" i="4"/>
  <c r="Z851" i="4"/>
  <c r="AA264" i="4"/>
  <c r="Z264" i="4"/>
  <c r="AA55" i="4"/>
  <c r="Z55" i="4"/>
  <c r="AA762" i="4"/>
  <c r="Z762" i="4"/>
  <c r="AA635" i="4"/>
  <c r="Z635" i="4"/>
  <c r="AA274" i="4"/>
  <c r="Z274" i="4"/>
  <c r="AA718" i="4"/>
  <c r="Z718" i="4"/>
  <c r="AA521" i="4"/>
  <c r="Z521" i="4"/>
  <c r="AA121" i="4"/>
  <c r="Z121" i="4"/>
  <c r="AA1080" i="4"/>
  <c r="Z1080" i="4"/>
  <c r="AA82" i="4"/>
  <c r="Z82" i="4"/>
  <c r="AA997" i="4"/>
  <c r="Z997" i="4"/>
  <c r="AA867" i="4"/>
  <c r="Z867" i="4"/>
  <c r="AA816" i="4"/>
  <c r="Z816" i="4"/>
  <c r="AA461" i="4"/>
  <c r="Z461" i="4"/>
  <c r="AA171" i="4"/>
  <c r="Z171" i="4"/>
  <c r="AA1222" i="4"/>
  <c r="Z1222" i="4"/>
  <c r="AA1237" i="4"/>
  <c r="Z1237" i="4"/>
  <c r="AA111" i="4"/>
  <c r="Z111" i="4"/>
  <c r="AA459" i="4"/>
  <c r="Z459" i="4"/>
  <c r="AA52" i="4"/>
  <c r="Z52" i="4"/>
  <c r="AA1170" i="4"/>
  <c r="Z1170" i="4"/>
  <c r="AA188" i="4"/>
  <c r="Z188" i="4"/>
  <c r="AA856" i="4"/>
  <c r="Z856" i="4"/>
  <c r="AA54" i="4"/>
  <c r="Z54" i="4"/>
  <c r="AA987" i="4"/>
  <c r="Z987" i="4"/>
  <c r="AA820" i="4"/>
  <c r="Z820" i="4"/>
  <c r="AA404" i="4"/>
  <c r="Z404" i="4"/>
  <c r="AA1028" i="4"/>
  <c r="Z1028" i="4"/>
  <c r="AA392" i="4"/>
  <c r="Z392" i="4"/>
  <c r="AA982" i="4"/>
  <c r="Z982" i="4"/>
  <c r="AA258" i="4"/>
  <c r="Z258" i="4"/>
  <c r="AA247" i="4"/>
  <c r="Z247" i="4"/>
  <c r="AA520" i="4"/>
  <c r="Z520" i="4"/>
  <c r="AA667" i="4"/>
  <c r="Z667" i="4"/>
  <c r="AA1054" i="4"/>
  <c r="Z1054" i="4"/>
  <c r="AA309" i="4"/>
  <c r="Z309" i="4"/>
  <c r="AA498" i="4"/>
  <c r="Z498" i="4"/>
  <c r="AA186" i="4"/>
  <c r="Z186" i="4"/>
  <c r="AA787" i="4"/>
  <c r="Z787" i="4"/>
  <c r="AA640" i="4"/>
  <c r="Z640" i="4"/>
  <c r="AA446" i="4"/>
  <c r="Z446" i="4"/>
  <c r="AA983" i="4"/>
  <c r="Z983" i="4"/>
  <c r="AA1285" i="4"/>
  <c r="Z1285" i="4"/>
  <c r="AA448" i="4"/>
  <c r="Z448" i="4"/>
  <c r="AA67" i="4"/>
  <c r="Z67" i="4"/>
  <c r="AA30" i="4"/>
  <c r="Z30" i="4"/>
  <c r="AA455" i="4"/>
  <c r="Z455" i="4"/>
  <c r="AA308" i="4"/>
  <c r="Z308" i="4"/>
  <c r="AA764" i="4"/>
  <c r="Z764" i="4"/>
  <c r="AA590" i="4"/>
  <c r="Z590" i="4"/>
  <c r="AA453" i="4"/>
  <c r="Z453" i="4"/>
  <c r="AA1150" i="4"/>
  <c r="Z1150" i="4"/>
  <c r="AA557" i="4"/>
  <c r="Z557" i="4"/>
  <c r="AA1280" i="4"/>
  <c r="Z1280" i="4"/>
  <c r="AA854" i="4"/>
  <c r="Z854" i="4"/>
  <c r="AA377" i="4"/>
  <c r="Z377" i="4"/>
  <c r="AA1034" i="4"/>
  <c r="Z1034" i="4"/>
  <c r="AA344" i="4"/>
  <c r="Z344" i="4"/>
  <c r="AA601" i="4"/>
  <c r="Z601" i="4"/>
  <c r="AA229" i="4"/>
  <c r="Z229" i="4"/>
  <c r="AA1153" i="4"/>
  <c r="Z1153" i="4"/>
  <c r="AA385" i="4"/>
  <c r="Z385" i="4"/>
  <c r="AA408" i="4"/>
  <c r="Z408" i="4"/>
  <c r="AA1303" i="4"/>
  <c r="Z1303" i="4"/>
  <c r="AA863" i="4"/>
  <c r="Z863" i="4"/>
  <c r="AA433" i="4"/>
  <c r="Z433" i="4"/>
  <c r="AA940" i="4"/>
  <c r="Z940" i="4"/>
  <c r="AA425" i="4"/>
  <c r="Z425" i="4"/>
  <c r="AA531" i="4"/>
  <c r="Z531" i="4"/>
  <c r="AA203" i="4"/>
  <c r="Z203" i="4"/>
  <c r="AA1118" i="4"/>
  <c r="Z1118" i="4"/>
  <c r="AA841" i="4"/>
  <c r="Z841" i="4"/>
  <c r="AA822" i="4"/>
  <c r="Z822" i="4"/>
  <c r="AA1297" i="4"/>
  <c r="Z1297" i="4"/>
  <c r="AA315" i="4"/>
  <c r="Z315" i="4"/>
  <c r="AA555" i="4"/>
  <c r="Z555" i="4"/>
  <c r="AA117" i="4"/>
  <c r="Z117" i="4"/>
  <c r="AA1275" i="4"/>
  <c r="Z1275" i="4"/>
  <c r="AA252" i="4"/>
  <c r="Z252" i="4"/>
  <c r="AA957" i="4"/>
  <c r="Z957" i="4"/>
  <c r="AA108" i="4"/>
  <c r="Z108" i="4"/>
  <c r="AA161" i="4"/>
  <c r="Z161" i="4"/>
  <c r="AA1286" i="4"/>
  <c r="Z1286" i="4"/>
  <c r="AA859" i="4"/>
  <c r="Z859" i="4"/>
  <c r="AA500" i="4"/>
  <c r="Z500" i="4"/>
  <c r="AA288" i="4"/>
  <c r="Z288" i="4"/>
  <c r="AA573" i="4"/>
  <c r="Z573" i="4"/>
  <c r="AA698" i="4"/>
  <c r="Z698" i="4"/>
  <c r="AA575" i="4"/>
  <c r="Z575" i="4"/>
  <c r="AA925" i="4"/>
  <c r="Z925" i="4"/>
  <c r="AA1213" i="4"/>
  <c r="Z1213" i="4"/>
  <c r="AA1049" i="4"/>
  <c r="Z1049" i="4"/>
  <c r="AA1002" i="4"/>
  <c r="Z1002" i="4"/>
  <c r="AA845" i="4"/>
  <c r="Z845" i="4"/>
  <c r="AA901" i="4"/>
  <c r="Z901" i="4"/>
  <c r="AA409" i="4"/>
  <c r="Z409" i="4"/>
  <c r="AA169" i="4"/>
  <c r="Z169" i="4"/>
  <c r="AA381" i="4"/>
  <c r="Z381" i="4"/>
  <c r="AA1104" i="4"/>
  <c r="Z1104" i="4"/>
  <c r="AA616" i="4"/>
  <c r="Z616" i="4"/>
  <c r="AA784" i="4"/>
  <c r="Z784" i="4"/>
  <c r="AA336" i="4"/>
  <c r="Z336" i="4"/>
  <c r="AA714" i="4"/>
  <c r="Z714" i="4"/>
  <c r="AA815" i="4"/>
  <c r="Z815" i="4"/>
  <c r="AA1271" i="4"/>
  <c r="Z1271" i="4"/>
  <c r="AA744" i="4"/>
  <c r="Z744" i="4"/>
  <c r="AA1042" i="4"/>
  <c r="Z1042" i="4"/>
  <c r="AA819" i="4"/>
  <c r="Z819" i="4"/>
  <c r="AA737" i="4"/>
  <c r="Z737" i="4"/>
  <c r="AA855" i="4"/>
  <c r="Z855" i="4"/>
  <c r="AA1233" i="4"/>
  <c r="Z1233" i="4"/>
  <c r="AA364" i="4"/>
  <c r="Z364" i="4"/>
  <c r="AA113" i="4"/>
  <c r="Z113" i="4"/>
  <c r="AA580" i="4"/>
  <c r="Z580" i="4"/>
  <c r="AA1311" i="4"/>
  <c r="Z1311" i="4"/>
  <c r="AA556" i="4"/>
  <c r="Z556" i="4"/>
  <c r="AA779" i="4"/>
  <c r="Z779" i="4"/>
  <c r="AA90" i="4"/>
  <c r="Z90" i="4"/>
  <c r="AA882" i="4"/>
  <c r="Z882" i="4"/>
  <c r="AA649" i="4"/>
  <c r="Z649" i="4"/>
  <c r="AA1158" i="4"/>
  <c r="Z1158" i="4"/>
  <c r="AA562" i="4"/>
  <c r="Z562" i="4"/>
  <c r="AA952" i="4"/>
  <c r="Z952" i="4"/>
  <c r="AA196" i="4"/>
  <c r="Z196" i="4"/>
  <c r="AA870" i="4"/>
  <c r="Z870" i="4"/>
  <c r="AA1239" i="4"/>
  <c r="Z1239" i="4"/>
  <c r="AA443" i="4"/>
  <c r="Z443" i="4"/>
  <c r="AA358" i="4"/>
  <c r="Z358" i="4"/>
  <c r="AA118" i="4"/>
  <c r="Z118" i="4"/>
  <c r="AA817" i="4"/>
  <c r="Z817" i="4"/>
  <c r="AA921" i="4"/>
  <c r="Z921" i="4"/>
  <c r="AA1040" i="4"/>
  <c r="Z1040" i="4"/>
  <c r="AA734" i="4"/>
  <c r="Z734" i="4"/>
  <c r="AA45" i="4"/>
  <c r="Z45" i="4"/>
  <c r="AA659" i="4"/>
  <c r="Z659" i="4"/>
  <c r="AA39" i="4"/>
  <c r="Z39" i="4"/>
  <c r="AA135" i="4"/>
  <c r="Z135" i="4"/>
  <c r="AA1077" i="4"/>
  <c r="Z1077" i="4"/>
  <c r="AA923" i="4"/>
  <c r="Z923" i="4"/>
  <c r="AA1130" i="4"/>
  <c r="Z1130" i="4"/>
  <c r="AA1160" i="4"/>
  <c r="Z1160" i="4"/>
  <c r="AA593" i="4"/>
  <c r="Z593" i="4"/>
  <c r="AA895" i="4"/>
  <c r="Z895" i="4"/>
  <c r="AA644" i="4"/>
  <c r="Z644" i="4"/>
  <c r="AA1204" i="4"/>
  <c r="Z1204" i="4"/>
  <c r="AA427" i="4"/>
  <c r="Z427" i="4"/>
  <c r="AA1163" i="4"/>
  <c r="Z1163" i="4"/>
  <c r="AA432" i="4"/>
  <c r="Z432" i="4"/>
  <c r="AA689" i="4"/>
  <c r="Z689" i="4"/>
  <c r="AA21" i="4"/>
  <c r="Z21" i="4"/>
  <c r="AA493" i="4"/>
  <c r="Z493" i="4"/>
  <c r="AA938" i="4"/>
  <c r="Z938" i="4"/>
  <c r="AA68" i="4"/>
  <c r="Z68" i="4"/>
  <c r="AA541" i="4"/>
  <c r="Z541" i="4"/>
  <c r="AA1141" i="4"/>
  <c r="Z1141" i="4"/>
  <c r="AA927" i="4"/>
  <c r="Z927" i="4"/>
  <c r="AA1211" i="4"/>
  <c r="Z1211" i="4"/>
  <c r="AA1174" i="4"/>
  <c r="Z1174" i="4"/>
  <c r="AA672" i="4"/>
  <c r="Z672" i="4"/>
  <c r="AA442" i="4"/>
  <c r="Z442" i="4"/>
  <c r="AA277" i="4"/>
  <c r="Z277" i="4"/>
  <c r="AA289" i="4"/>
  <c r="Z289" i="4"/>
  <c r="AA226" i="4"/>
  <c r="Z226" i="4"/>
  <c r="AA107" i="4"/>
  <c r="Z107" i="4"/>
  <c r="AA370" i="4"/>
  <c r="Z370" i="4"/>
  <c r="AA1022" i="4"/>
  <c r="Z1022" i="4"/>
  <c r="AA273" i="4"/>
  <c r="Z273" i="4"/>
  <c r="AA777" i="4"/>
  <c r="Z777" i="4"/>
  <c r="AA387" i="4"/>
  <c r="Z387" i="4"/>
  <c r="AA1169" i="4"/>
  <c r="Z1169" i="4"/>
  <c r="AA626" i="4"/>
  <c r="Z626" i="4"/>
  <c r="AA1037" i="4"/>
  <c r="Z1037" i="4"/>
  <c r="AA527" i="4"/>
  <c r="Z527" i="4"/>
  <c r="AA157" i="4"/>
  <c r="Z157" i="4"/>
  <c r="AA1043" i="4"/>
  <c r="Z1043" i="4"/>
  <c r="AA561" i="4"/>
  <c r="Z561" i="4"/>
  <c r="AA836" i="4"/>
  <c r="Z836" i="4"/>
  <c r="AA934" i="4"/>
  <c r="Z934" i="4"/>
  <c r="AA1289" i="4"/>
  <c r="Z1289" i="4"/>
  <c r="AA112" i="4"/>
  <c r="Z112" i="4"/>
  <c r="AA1284" i="4"/>
  <c r="Z1284" i="4"/>
  <c r="AA636" i="4"/>
  <c r="Z636" i="4"/>
  <c r="AA24" i="4"/>
  <c r="Z24" i="4"/>
  <c r="AA424" i="4"/>
  <c r="Z424" i="4"/>
  <c r="AA1208" i="4"/>
  <c r="Z1208" i="4"/>
  <c r="AA1277" i="4"/>
  <c r="Z1277" i="4"/>
  <c r="AA1215" i="4"/>
  <c r="Z1215" i="4"/>
  <c r="AA33" i="4"/>
  <c r="Z33" i="4"/>
  <c r="AA502" i="4"/>
  <c r="Z502" i="4"/>
  <c r="AA765" i="4"/>
  <c r="Z765" i="4"/>
  <c r="AA418" i="4"/>
  <c r="Z418" i="4"/>
  <c r="AA83" i="4"/>
  <c r="Z83" i="4"/>
  <c r="AA699" i="4"/>
  <c r="Z699" i="4"/>
  <c r="AA57" i="4"/>
  <c r="Z57" i="4"/>
  <c r="AA789" i="4"/>
  <c r="Z789" i="4"/>
  <c r="AA476" i="4"/>
  <c r="Z476" i="4"/>
  <c r="AA368" i="4"/>
  <c r="Z368" i="4"/>
  <c r="AA294" i="4"/>
  <c r="Z294" i="4"/>
  <c r="AA1273" i="4"/>
  <c r="Z1273" i="4"/>
  <c r="AA924" i="4"/>
  <c r="Z924" i="4"/>
  <c r="AA1127" i="4"/>
  <c r="Z1127" i="4"/>
  <c r="AA840" i="4"/>
  <c r="Z840" i="4"/>
  <c r="AA318" i="4"/>
  <c r="Z318" i="4"/>
  <c r="AA972" i="4"/>
  <c r="Z972" i="4"/>
  <c r="AA565" i="4"/>
  <c r="Z565" i="4"/>
  <c r="AA34" i="4"/>
  <c r="Z34" i="4"/>
  <c r="AA739" i="4"/>
  <c r="Z739" i="4"/>
  <c r="AA893" i="4"/>
  <c r="Z893" i="4"/>
  <c r="AA623" i="4"/>
  <c r="Z623" i="4"/>
  <c r="AA94" i="4"/>
  <c r="Z94" i="4"/>
  <c r="AA625" i="4"/>
  <c r="Z625" i="4"/>
  <c r="AA603" i="4"/>
  <c r="Z603" i="4"/>
  <c r="AA824" i="4"/>
  <c r="Z824" i="4"/>
  <c r="AA801" i="4"/>
  <c r="Z801" i="4"/>
  <c r="AA317" i="4"/>
  <c r="Z317" i="4"/>
  <c r="AA664" i="4"/>
  <c r="Z664" i="4"/>
  <c r="AA678" i="4"/>
  <c r="Z678" i="4"/>
  <c r="AA936" i="4"/>
  <c r="Z936" i="4"/>
  <c r="AA800" i="4"/>
  <c r="Z800" i="4"/>
  <c r="AA1230" i="4"/>
  <c r="Z1230" i="4"/>
  <c r="AA545" i="4"/>
  <c r="Z545" i="4"/>
  <c r="AA74" i="4"/>
  <c r="Z74" i="4"/>
  <c r="AA105" i="4"/>
  <c r="Z105" i="4"/>
  <c r="AA1197" i="4"/>
  <c r="Z1197" i="4"/>
  <c r="AA735" i="4"/>
  <c r="Z735" i="4"/>
  <c r="AA1298" i="4"/>
  <c r="Z1298" i="4"/>
  <c r="AA920" i="4"/>
  <c r="Z920" i="4"/>
  <c r="AA47" i="4"/>
  <c r="Z47" i="4"/>
  <c r="AA971" i="4"/>
  <c r="Z971" i="4"/>
  <c r="AA783" i="4"/>
  <c r="Z783" i="4"/>
  <c r="AA127" i="4"/>
  <c r="Z127" i="4"/>
  <c r="AA697" i="4"/>
  <c r="Z697" i="4"/>
  <c r="AA760" i="4"/>
  <c r="Z760" i="4"/>
  <c r="AA537" i="4"/>
  <c r="Z537" i="4"/>
  <c r="AA41" i="4"/>
  <c r="Z41" i="4"/>
  <c r="AA65" i="4"/>
  <c r="Z65" i="4"/>
  <c r="AA397" i="4"/>
  <c r="Z397" i="4"/>
  <c r="AA710" i="4"/>
  <c r="Z710" i="4"/>
  <c r="AA1064" i="4"/>
  <c r="Z1064" i="4"/>
  <c r="AA908" i="4"/>
  <c r="Z908" i="4"/>
  <c r="AA154" i="4"/>
  <c r="Z154" i="4"/>
  <c r="AA776" i="4"/>
  <c r="Z776" i="4"/>
  <c r="AA999" i="4"/>
  <c r="Z999" i="4"/>
  <c r="Z1025" i="4"/>
  <c r="AA1025" i="4"/>
  <c r="Z852" i="4"/>
  <c r="AA852" i="4"/>
  <c r="Z1241" i="4"/>
  <c r="AA1241" i="4"/>
  <c r="Z1096" i="4"/>
  <c r="AA1096" i="4"/>
  <c r="Z158" i="4"/>
  <c r="AA158" i="4"/>
  <c r="Z374" i="4"/>
  <c r="AA374" i="4"/>
  <c r="Z49" i="4"/>
  <c r="AA49" i="4"/>
  <c r="Z101" i="4"/>
  <c r="AA101" i="4"/>
  <c r="Z1175" i="4"/>
  <c r="AA1175" i="4"/>
  <c r="Z1217" i="4"/>
  <c r="AA1217" i="4"/>
  <c r="Z682" i="4"/>
  <c r="AA682" i="4"/>
  <c r="Z607" i="4"/>
  <c r="AA607" i="4"/>
  <c r="Z645" i="4"/>
  <c r="AA645" i="4"/>
  <c r="Z946" i="4"/>
  <c r="AA946" i="4"/>
  <c r="Z930" i="4"/>
  <c r="AA930" i="4"/>
  <c r="Z670" i="4"/>
  <c r="AA670" i="4"/>
  <c r="Z687" i="4"/>
  <c r="AA687" i="4"/>
  <c r="Z1274" i="4"/>
  <c r="AA1274" i="4"/>
  <c r="Z716" i="4"/>
  <c r="AA716" i="4"/>
  <c r="Z1125" i="4"/>
  <c r="AA1125" i="4"/>
  <c r="Z183" i="4"/>
  <c r="AA183" i="4"/>
  <c r="Z48" i="4"/>
  <c r="AA48" i="4"/>
  <c r="Z677" i="4"/>
  <c r="AA677" i="4"/>
  <c r="Z549" i="4"/>
  <c r="AA549" i="4"/>
  <c r="Z239" i="4"/>
  <c r="AA239" i="4"/>
  <c r="Z727" i="4"/>
  <c r="AA727" i="4"/>
  <c r="Z324" i="4"/>
  <c r="AA324" i="4"/>
  <c r="Z1151" i="4"/>
  <c r="AA1151" i="4"/>
  <c r="Z29" i="4"/>
  <c r="AA29" i="4"/>
  <c r="Z634" i="4"/>
  <c r="AA634" i="4"/>
  <c r="Z990" i="4"/>
  <c r="AA990" i="4"/>
  <c r="Z1134" i="4"/>
  <c r="AA1134" i="4"/>
  <c r="Z1033" i="4"/>
  <c r="AA1033" i="4"/>
  <c r="Z879" i="4"/>
  <c r="AA879" i="4"/>
  <c r="Z510" i="4"/>
  <c r="AA510" i="4"/>
  <c r="Z786" i="4"/>
  <c r="AA786" i="4"/>
  <c r="Z899" i="4"/>
  <c r="AA899" i="4"/>
  <c r="Z20" i="4"/>
  <c r="AA20" i="4"/>
  <c r="Z978" i="4"/>
  <c r="AA978" i="4"/>
  <c r="Z693" i="4"/>
  <c r="AA693" i="4"/>
  <c r="Z292" i="4"/>
  <c r="AA292" i="4"/>
  <c r="Z1190" i="4"/>
  <c r="AA1190" i="4"/>
  <c r="Z653" i="4"/>
  <c r="AA653" i="4"/>
  <c r="Z14" i="4"/>
  <c r="AA14" i="4"/>
  <c r="Z1199" i="4"/>
  <c r="AA1199" i="4"/>
  <c r="Z207" i="4"/>
  <c r="AA207" i="4"/>
  <c r="Z1062" i="4"/>
  <c r="AA1062" i="4"/>
  <c r="Z627" i="4"/>
  <c r="AA627" i="4"/>
  <c r="Z350" i="4"/>
  <c r="AA350" i="4"/>
  <c r="Z1069" i="4"/>
  <c r="AA1069" i="4"/>
  <c r="Z679" i="4"/>
  <c r="AA679" i="4"/>
  <c r="Z81" i="4"/>
  <c r="AA81" i="4"/>
  <c r="Z501" i="4"/>
  <c r="AA501" i="4"/>
  <c r="Z36" i="4"/>
  <c r="AA36" i="4"/>
  <c r="Z298" i="4"/>
  <c r="AA298" i="4"/>
  <c r="Z120" i="4"/>
  <c r="AA120" i="4"/>
  <c r="Z1295" i="4"/>
  <c r="AA1295" i="4"/>
  <c r="Z414" i="4"/>
  <c r="AA414" i="4"/>
  <c r="Z874" i="4"/>
  <c r="AA874" i="4"/>
  <c r="Z439" i="4"/>
  <c r="AA439" i="4"/>
  <c r="Z1232" i="4"/>
  <c r="AA1232" i="4"/>
  <c r="Z194" i="4"/>
  <c r="AA194" i="4"/>
  <c r="Z613" i="4"/>
  <c r="AA613" i="4"/>
  <c r="Z1203" i="4"/>
  <c r="AA1203" i="4"/>
  <c r="Z384" i="4"/>
  <c r="AA384" i="4"/>
  <c r="Z485" i="4"/>
  <c r="AA485" i="4"/>
  <c r="Z1093" i="4"/>
  <c r="AA1093" i="4"/>
  <c r="Z1116" i="4"/>
  <c r="AA1116" i="4"/>
  <c r="Z1088" i="4"/>
  <c r="AA1088" i="4"/>
  <c r="Z1095" i="4"/>
  <c r="AA1095" i="4"/>
  <c r="Z671" i="4"/>
  <c r="AA671" i="4"/>
  <c r="Z574" i="4"/>
  <c r="AA574" i="4"/>
  <c r="Z402" i="4"/>
  <c r="AA402" i="4"/>
  <c r="Z1245" i="4"/>
  <c r="AA1245" i="4"/>
  <c r="Z365" i="4"/>
  <c r="AA365" i="4"/>
  <c r="Z1070" i="4"/>
  <c r="AA1070" i="4"/>
  <c r="Z1026" i="4"/>
  <c r="AA1026" i="4"/>
  <c r="Z769" i="4"/>
  <c r="AA769" i="4"/>
  <c r="Z796" i="4"/>
  <c r="AA796" i="4"/>
  <c r="Z410" i="4"/>
  <c r="AA410" i="4"/>
  <c r="Z1066" i="4"/>
  <c r="AA1066" i="4"/>
  <c r="Z894" i="4"/>
  <c r="AA894" i="4"/>
  <c r="Z143" i="4"/>
  <c r="AA143" i="4"/>
  <c r="Z1099" i="4"/>
  <c r="AA1099" i="4"/>
  <c r="Z12" i="4"/>
  <c r="AA12" i="4"/>
  <c r="AA9" i="4"/>
  <c r="AA7" i="4"/>
  <c r="E3" i="4"/>
  <c r="Z467" i="4"/>
  <c r="AA467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2"/>
        </ext>
      </extLst>
    </bk>
    <bk>
      <extLst>
        <ext uri="{3e2802c4-a4d2-4d8b-9148-e3be6c30e623}">
          <xlrd:rvb i="5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<sst xmlns="http://schemas.openxmlformats.org/spreadsheetml/2006/main" count="247" uniqueCount="125">
  <si>
    <t>Strike</t>
  </si>
  <si>
    <t>Type</t>
  </si>
  <si>
    <t>Style</t>
  </si>
  <si>
    <t>StockPrice</t>
  </si>
  <si>
    <t>American</t>
  </si>
  <si>
    <t>Put</t>
  </si>
  <si>
    <t>theta</t>
  </si>
  <si>
    <t>Call</t>
  </si>
  <si>
    <t>European</t>
  </si>
  <si>
    <t>Ticker</t>
  </si>
  <si>
    <t>Price</t>
  </si>
  <si>
    <t>Dividends</t>
  </si>
  <si>
    <t>Maturity</t>
  </si>
  <si>
    <t>Return:</t>
  </si>
  <si>
    <t>PayOff</t>
  </si>
  <si>
    <t>Theta</t>
  </si>
  <si>
    <t>Gamma</t>
  </si>
  <si>
    <t>Delta</t>
  </si>
  <si>
    <t>Ask</t>
  </si>
  <si>
    <t>Bid</t>
  </si>
  <si>
    <t>Vega</t>
  </si>
  <si>
    <t>Rho</t>
  </si>
  <si>
    <t>min</t>
  </si>
  <si>
    <t>max</t>
  </si>
  <si>
    <t>inflation</t>
  </si>
  <si>
    <t>TimetoT</t>
  </si>
  <si>
    <t>RiskFree</t>
  </si>
  <si>
    <t>stepsbinomial</t>
  </si>
  <si>
    <t>LongCall</t>
  </si>
  <si>
    <t>ShortPut</t>
  </si>
  <si>
    <t>ShortStock</t>
  </si>
  <si>
    <t>Cashinterest</t>
  </si>
  <si>
    <t>AdjustedPayOff</t>
  </si>
  <si>
    <t>100Contracts</t>
  </si>
  <si>
    <t>Rho(+1%rf)</t>
  </si>
  <si>
    <t>Vega(iv+1%)</t>
  </si>
  <si>
    <t>onCapital</t>
  </si>
  <si>
    <t>TransactionCosts</t>
  </si>
  <si>
    <t>Move</t>
  </si>
  <si>
    <t>Short</t>
  </si>
  <si>
    <t>Long</t>
  </si>
  <si>
    <t>Contract</t>
  </si>
  <si>
    <t>Plotting</t>
  </si>
  <si>
    <t>Execute</t>
  </si>
  <si>
    <t>Plot</t>
  </si>
  <si>
    <t>PayOffatT</t>
  </si>
  <si>
    <t>IVCall</t>
  </si>
  <si>
    <t>IVPut</t>
  </si>
  <si>
    <t>365,25</t>
  </si>
  <si>
    <t>Strategy</t>
  </si>
  <si>
    <t>days in yr</t>
  </si>
  <si>
    <t>daysinyr value</t>
  </si>
  <si>
    <t>Call Spread</t>
  </si>
  <si>
    <t>Break Even</t>
  </si>
  <si>
    <t>TimeDecay</t>
  </si>
  <si>
    <t>Put Spread</t>
  </si>
  <si>
    <t>Butterfly</t>
  </si>
  <si>
    <t>Condor</t>
  </si>
  <si>
    <t>Positions</t>
  </si>
  <si>
    <t>Statistics</t>
  </si>
  <si>
    <t>Strangle</t>
  </si>
  <si>
    <t>Straddle</t>
  </si>
  <si>
    <t>step</t>
  </si>
  <si>
    <t>Leg2</t>
  </si>
  <si>
    <t>Leg1</t>
  </si>
  <si>
    <t>Leg3</t>
  </si>
  <si>
    <t>Leg4</t>
  </si>
  <si>
    <t>Leg5</t>
  </si>
  <si>
    <t>Aggregate</t>
  </si>
  <si>
    <t>PayOff Leg1</t>
  </si>
  <si>
    <t>PayOff Leg2</t>
  </si>
  <si>
    <t>PayOff Leg3</t>
  </si>
  <si>
    <t>PayOff Leg4</t>
  </si>
  <si>
    <t>PayOff Leg5</t>
  </si>
  <si>
    <t>Greeks T/F</t>
  </si>
  <si>
    <t>Stock</t>
  </si>
  <si>
    <t>Move (finds price)</t>
  </si>
  <si>
    <t>Amount* (minus if short)</t>
  </si>
  <si>
    <t>Strategy (F9!)</t>
  </si>
  <si>
    <t>Range% S_0</t>
  </si>
  <si>
    <t>Greeks</t>
  </si>
  <si>
    <t>Plot Greek:</t>
  </si>
  <si>
    <t>PlotGreek</t>
  </si>
  <si>
    <t>Range% U/L</t>
  </si>
  <si>
    <t>Price (Press F9)</t>
  </si>
  <si>
    <t>OptionVBA</t>
  </si>
  <si>
    <t>Price (F9) if Stock then Empty</t>
  </si>
  <si>
    <t>BreakEven</t>
  </si>
  <si>
    <t>Strike (or: Stock Price)</t>
  </si>
  <si>
    <t>Paste Below</t>
  </si>
  <si>
    <t>T_yr = 252</t>
  </si>
  <si>
    <t>T_yr = 365,25</t>
  </si>
  <si>
    <t>Mean</t>
  </si>
  <si>
    <t>Historical volatility σ</t>
  </si>
  <si>
    <t>TimeSpread</t>
  </si>
  <si>
    <t>T_1</t>
  </si>
  <si>
    <t>T_2</t>
  </si>
  <si>
    <t>index_new</t>
  </si>
  <si>
    <t>Call TimeSpread</t>
  </si>
  <si>
    <t>Put TimeSpread</t>
  </si>
  <si>
    <t>Max. Loss</t>
  </si>
  <si>
    <t>Max. Profit</t>
  </si>
  <si>
    <t>Index Level</t>
  </si>
  <si>
    <t>Time to maturity (years)</t>
  </si>
  <si>
    <t>Interest Rate</t>
  </si>
  <si>
    <t>Dividend Yield</t>
  </si>
  <si>
    <t>Volatility</t>
  </si>
  <si>
    <t>Step</t>
  </si>
  <si>
    <t>Discounted value of Strike</t>
  </si>
  <si>
    <t>Put-Call Parity</t>
  </si>
  <si>
    <t>Portfolio</t>
  </si>
  <si>
    <t>Asset</t>
  </si>
  <si>
    <t>Position</t>
  </si>
  <si>
    <t>Index</t>
  </si>
  <si>
    <t>Discounted Strike</t>
  </si>
  <si>
    <t>BinTree(Stock, Exercise, Time, Interest, Dividend, sigma, steps, PutCall, style, Result)</t>
  </si>
  <si>
    <t>df</t>
  </si>
  <si>
    <t>Layout</t>
  </si>
  <si>
    <t>HideStratAnalysis</t>
  </si>
  <si>
    <t>HideContractAnalysis</t>
  </si>
  <si>
    <t>Search</t>
  </si>
  <si>
    <t>All</t>
  </si>
  <si>
    <t>SearchEffective</t>
  </si>
  <si>
    <t>Instructions: Copy DeGiro quotes from "CALL" to the last 'sell button'. Paste in cell C3.</t>
  </si>
  <si>
    <t>27,50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</si>
</sst>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 &quot;€&quot;\ * #,##0.00_ ;_ &quot;€&quot;\ * \-#,##0.00_ ;_ &quot;€&quot;\ * &quot;-&quot;??_ ;_ @_ "/>
    <numFmt numFmtId="164" formatCode="_([$€-2]\ * #,##0.00_);_([$€-2]\ * \(#,##0.00\);_([$€-2]\ * &quot;-&quot;??_);_(@_)"/>
    <numFmt numFmtId="165" formatCode="_ &quot;€&quot;\ * #,##0.000_ ;_ &quot;€&quot;\ * \-#,##0.000_ ;_ &quot;€&quot;\ * &quot;-&quot;??_ ;_ @_ "/>
    <numFmt numFmtId="166" formatCode="0.0%"/>
    <numFmt numFmtId="167" formatCode="0.000%"/>
    <numFmt numFmtId="168" formatCode="_ &quot;€&quot;\ * #,##0.0000_ ;_ &quot;€&quot;\ * \-#,##0.0000_ ;_ &quot;€&quot;\ * &quot;-&quot;??_ ;_ @_ "/>
    <numFmt numFmtId="169" formatCode="0.000"/>
    <numFmt numFmtId="170" formatCode="_ &quot;€&quot;\ * #,##0.0_ ;_ &quot;€&quot;\ * \-#,##0.0_ ;_ &quot;€&quot;\ * &quot;-&quot;??_ ;_ @_ "/>
    <numFmt numFmtId="171" formatCode="_ [$€-2]\ * #,##0.00_ ;_ [$€-2]\ * \-#,##0.00_ ;_ [$€-2]\ * &quot;-&quot;??_ ;_ @_ 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0"/>
      <name val="Times New Roman"/>
      <family val="1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8"/>
      <color rgb="FF000000"/>
      <name val="Calibri"/>
      <family val="2"/>
    </font>
    <font>
      <sz val="22"/>
      <color theme="0"/>
      <name val="Times New Roman"/>
      <family val="1"/>
    </font>
    <font>
      <b/>
      <sz val="11"/>
      <name val="Calibri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6"/>
      <color theme="0"/>
      <name val="Times New Roman"/>
      <family val="1"/>
    </font>
    <font>
      <sz val="14"/>
      <color theme="0"/>
      <name val="Times New Roman"/>
      <family val="1"/>
    </font>
    <font>
      <b/>
      <sz val="11"/>
      <color theme="1" tint="0.249977111117893"/>
      <name val="Calibri"/>
      <family val="2"/>
      <scheme val="minor"/>
    </font>
    <font>
      <sz val="6"/>
      <color rgb="FF000000"/>
      <name val="Verdana"/>
      <family val="2"/>
    </font>
    <font>
      <b/>
      <sz val="9"/>
      <color rgb="FF000000"/>
      <name val="Verdana"/>
      <family val="2"/>
    </font>
    <font>
      <b/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2" tint="-0.499984740745262"/>
        <bgColor indexed="64"/>
      </patternFill>
    </fill>
    <fill>
      <patternFill patternType="solid">
        <fgColor indexed="34"/>
        <bgColor indexed="64"/>
      </patternFill>
    </fill>
  </fills>
  <borders count="5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80">
    <xf numFmtId="0" fontId="0" fillId="0" borderId="0" xfId="0"/>
    <xf numFmtId="0" fontId="0" fillId="2" borderId="0" xfId="1" applyNumberFormat="1" applyFont="1" applyFill="1"/>
    <xf numFmtId="0" fontId="0" fillId="2" borderId="0" xfId="0" applyFill="1"/>
    <xf numFmtId="0" fontId="2" fillId="2" borderId="0" xfId="0" applyNumberFormat="1" applyFont="1" applyFill="1"/>
    <xf numFmtId="0" fontId="2" fillId="2" borderId="0" xfId="1" applyNumberFormat="1" applyFont="1" applyFill="1"/>
    <xf numFmtId="44" fontId="2" fillId="2" borderId="0" xfId="1" applyFont="1" applyFill="1"/>
    <xf numFmtId="0" fontId="2" fillId="2" borderId="0" xfId="0" applyFont="1" applyFill="1"/>
    <xf numFmtId="0" fontId="3" fillId="2" borderId="0" xfId="0" applyFont="1" applyFill="1" applyBorder="1"/>
    <xf numFmtId="0" fontId="5" fillId="2" borderId="0" xfId="1" applyNumberFormat="1" applyFont="1" applyFill="1"/>
    <xf numFmtId="0" fontId="5" fillId="2" borderId="0" xfId="0" applyFont="1" applyFill="1"/>
    <xf numFmtId="0" fontId="4" fillId="2" borderId="0" xfId="0" applyFont="1" applyFill="1" applyAlignment="1">
      <alignment horizontal="center"/>
    </xf>
    <xf numFmtId="0" fontId="3" fillId="2" borderId="0" xfId="0" applyFont="1" applyFill="1"/>
    <xf numFmtId="0" fontId="4" fillId="2" borderId="0" xfId="0" applyNumberFormat="1" applyFont="1" applyFill="1"/>
    <xf numFmtId="0" fontId="4" fillId="2" borderId="0" xfId="0" applyFont="1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167" fontId="0" fillId="3" borderId="5" xfId="2" applyNumberFormat="1" applyFont="1" applyFill="1" applyBorder="1"/>
    <xf numFmtId="0" fontId="3" fillId="3" borderId="2" xfId="0" applyFont="1" applyFill="1" applyBorder="1"/>
    <xf numFmtId="0" fontId="3" fillId="3" borderId="5" xfId="0" applyFont="1" applyFill="1" applyBorder="1"/>
    <xf numFmtId="0" fontId="0" fillId="3" borderId="6" xfId="0" applyFill="1" applyBorder="1"/>
    <xf numFmtId="164" fontId="0" fillId="3" borderId="1" xfId="0" applyNumberFormat="1" applyFill="1" applyBorder="1"/>
    <xf numFmtId="0" fontId="0" fillId="3" borderId="0" xfId="0" applyFill="1"/>
    <xf numFmtId="10" fontId="0" fillId="3" borderId="7" xfId="2" applyNumberFormat="1" applyFont="1" applyFill="1" applyBorder="1"/>
    <xf numFmtId="0" fontId="3" fillId="3" borderId="6" xfId="0" applyFont="1" applyFill="1" applyBorder="1"/>
    <xf numFmtId="0" fontId="3" fillId="3" borderId="0" xfId="0" applyFont="1" applyFill="1" applyBorder="1"/>
    <xf numFmtId="0" fontId="3" fillId="3" borderId="7" xfId="0" applyFont="1" applyFill="1" applyBorder="1"/>
    <xf numFmtId="22" fontId="0" fillId="3" borderId="1" xfId="0" applyNumberFormat="1" applyFill="1" applyBorder="1" applyAlignment="1">
      <alignment horizontal="right"/>
    </xf>
    <xf numFmtId="4" fontId="0" fillId="3" borderId="7" xfId="0" applyNumberFormat="1" applyFill="1" applyBorder="1"/>
    <xf numFmtId="0" fontId="0" fillId="3" borderId="8" xfId="0" applyFill="1" applyBorder="1"/>
    <xf numFmtId="2" fontId="0" fillId="3" borderId="11" xfId="0" applyNumberFormat="1" applyFill="1" applyBorder="1"/>
    <xf numFmtId="0" fontId="0" fillId="3" borderId="9" xfId="0" applyFill="1" applyBorder="1"/>
    <xf numFmtId="0" fontId="0" fillId="3" borderId="10" xfId="0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3" fillId="3" borderId="10" xfId="0" applyFont="1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9" xfId="0" applyFill="1" applyBorder="1"/>
    <xf numFmtId="44" fontId="0" fillId="3" borderId="6" xfId="1" applyFont="1" applyFill="1" applyBorder="1"/>
    <xf numFmtId="165" fontId="0" fillId="3" borderId="0" xfId="1" applyNumberFormat="1" applyFont="1" applyFill="1" applyBorder="1"/>
    <xf numFmtId="44" fontId="0" fillId="3" borderId="0" xfId="1" applyFont="1" applyFill="1" applyBorder="1"/>
    <xf numFmtId="2" fontId="0" fillId="3" borderId="0" xfId="2" applyNumberFormat="1" applyFont="1" applyFill="1" applyBorder="1"/>
    <xf numFmtId="0" fontId="2" fillId="3" borderId="22" xfId="0" applyNumberFormat="1" applyFont="1" applyFill="1" applyBorder="1" applyAlignment="1">
      <alignment horizontal="center"/>
    </xf>
    <xf numFmtId="166" fontId="0" fillId="3" borderId="0" xfId="0" applyNumberFormat="1" applyFill="1" applyBorder="1"/>
    <xf numFmtId="2" fontId="0" fillId="3" borderId="0" xfId="0" applyNumberFormat="1" applyFill="1" applyBorder="1"/>
    <xf numFmtId="44" fontId="0" fillId="3" borderId="7" xfId="1" applyFont="1" applyFill="1" applyBorder="1"/>
    <xf numFmtId="2" fontId="0" fillId="3" borderId="0" xfId="1" applyNumberFormat="1" applyFont="1" applyFill="1" applyBorder="1"/>
    <xf numFmtId="44" fontId="2" fillId="3" borderId="31" xfId="1" applyFont="1" applyFill="1" applyBorder="1" applyAlignment="1">
      <alignment horizontal="center"/>
    </xf>
    <xf numFmtId="0" fontId="0" fillId="3" borderId="1" xfId="0" applyFill="1" applyBorder="1" applyAlignment="1">
      <alignment horizontal="left" indent="1"/>
    </xf>
    <xf numFmtId="0" fontId="0" fillId="3" borderId="29" xfId="0" applyFill="1" applyBorder="1"/>
    <xf numFmtId="9" fontId="0" fillId="3" borderId="1" xfId="0" applyNumberFormat="1" applyFill="1" applyBorder="1" applyAlignment="1">
      <alignment horizontal="left" indent="1"/>
    </xf>
    <xf numFmtId="0" fontId="0" fillId="3" borderId="0" xfId="0" applyFill="1" applyBorder="1"/>
    <xf numFmtId="10" fontId="0" fillId="3" borderId="1" xfId="2" applyNumberFormat="1" applyFont="1" applyFill="1" applyBorder="1" applyAlignment="1">
      <alignment horizontal="left" indent="1"/>
    </xf>
    <xf numFmtId="4" fontId="0" fillId="3" borderId="1" xfId="0" applyNumberFormat="1" applyFill="1" applyBorder="1" applyAlignment="1">
      <alignment horizontal="left" indent="1"/>
    </xf>
    <xf numFmtId="0" fontId="0" fillId="3" borderId="11" xfId="0" applyFill="1" applyBorder="1" applyAlignment="1">
      <alignment horizontal="left" indent="1"/>
    </xf>
    <xf numFmtId="0" fontId="0" fillId="3" borderId="30" xfId="0" applyFill="1" applyBorder="1"/>
    <xf numFmtId="44" fontId="0" fillId="3" borderId="10" xfId="1" applyFont="1" applyFill="1" applyBorder="1"/>
    <xf numFmtId="0" fontId="2" fillId="4" borderId="34" xfId="0" applyFont="1" applyFill="1" applyBorder="1"/>
    <xf numFmtId="0" fontId="7" fillId="4" borderId="32" xfId="0" applyFont="1" applyFill="1" applyBorder="1"/>
    <xf numFmtId="44" fontId="7" fillId="4" borderId="33" xfId="1" applyFont="1" applyFill="1" applyBorder="1"/>
    <xf numFmtId="0" fontId="4" fillId="2" borderId="0" xfId="1" applyNumberFormat="1" applyFont="1" applyFill="1"/>
    <xf numFmtId="0" fontId="4" fillId="2" borderId="0" xfId="0" applyNumberFormat="1" applyFont="1" applyFill="1" applyAlignment="1">
      <alignment horizontal="center"/>
    </xf>
    <xf numFmtId="0" fontId="3" fillId="2" borderId="0" xfId="0" applyNumberFormat="1" applyFont="1" applyFill="1" applyAlignment="1">
      <alignment horizontal="right"/>
    </xf>
    <xf numFmtId="10" fontId="3" fillId="2" borderId="0" xfId="2" applyNumberFormat="1" applyFont="1" applyFill="1"/>
    <xf numFmtId="44" fontId="3" fillId="2" borderId="0" xfId="0" applyNumberFormat="1" applyFont="1" applyFill="1" applyBorder="1"/>
    <xf numFmtId="44" fontId="3" fillId="2" borderId="0" xfId="1" applyFont="1" applyFill="1"/>
    <xf numFmtId="44" fontId="3" fillId="2" borderId="0" xfId="0" applyNumberFormat="1" applyFont="1" applyFill="1"/>
    <xf numFmtId="9" fontId="0" fillId="3" borderId="21" xfId="0" applyNumberFormat="1" applyFill="1" applyBorder="1" applyAlignment="1">
      <alignment horizontal="left" indent="1"/>
    </xf>
    <xf numFmtId="0" fontId="0" fillId="3" borderId="1" xfId="2" applyNumberFormat="1" applyFont="1" applyFill="1" applyBorder="1" applyAlignment="1">
      <alignment horizontal="left" indent="1"/>
    </xf>
    <xf numFmtId="168" fontId="3" fillId="2" borderId="0" xfId="1" applyNumberFormat="1" applyFont="1" applyFill="1"/>
    <xf numFmtId="0" fontId="0" fillId="3" borderId="22" xfId="0" applyFill="1" applyBorder="1"/>
    <xf numFmtId="0" fontId="0" fillId="3" borderId="27" xfId="0" applyFill="1" applyBorder="1"/>
    <xf numFmtId="0" fontId="2" fillId="3" borderId="35" xfId="0" applyFont="1" applyFill="1" applyBorder="1" applyAlignment="1">
      <alignment horizontal="center"/>
    </xf>
    <xf numFmtId="0" fontId="0" fillId="3" borderId="10" xfId="1" applyNumberFormat="1" applyFont="1" applyFill="1" applyBorder="1" applyAlignment="1">
      <alignment horizontal="left"/>
    </xf>
    <xf numFmtId="0" fontId="0" fillId="3" borderId="0" xfId="0" applyFill="1" applyBorder="1" applyAlignment="1">
      <alignment horizontal="left" indent="1"/>
    </xf>
    <xf numFmtId="2" fontId="0" fillId="3" borderId="11" xfId="0" applyNumberFormat="1" applyFill="1" applyBorder="1" applyAlignment="1">
      <alignment horizontal="left" indent="1"/>
    </xf>
    <xf numFmtId="0" fontId="0" fillId="3" borderId="1" xfId="0" applyFill="1" applyBorder="1"/>
    <xf numFmtId="0" fontId="0" fillId="3" borderId="7" xfId="0" applyFill="1" applyBorder="1" applyAlignment="1">
      <alignment horizontal="left" indent="1"/>
    </xf>
    <xf numFmtId="0" fontId="0" fillId="3" borderId="7" xfId="0" applyFill="1" applyBorder="1"/>
    <xf numFmtId="0" fontId="2" fillId="3" borderId="33" xfId="0" applyFont="1" applyFill="1" applyBorder="1"/>
    <xf numFmtId="0" fontId="0" fillId="3" borderId="20" xfId="0" applyFill="1" applyBorder="1"/>
    <xf numFmtId="0" fontId="2" fillId="3" borderId="37" xfId="0" applyFont="1" applyFill="1" applyBorder="1"/>
    <xf numFmtId="0" fontId="2" fillId="3" borderId="38" xfId="0" applyFont="1" applyFill="1" applyBorder="1"/>
    <xf numFmtId="0" fontId="7" fillId="3" borderId="36" xfId="0" applyFont="1" applyFill="1" applyBorder="1"/>
    <xf numFmtId="0" fontId="3" fillId="2" borderId="39" xfId="0" applyFont="1" applyFill="1" applyBorder="1"/>
    <xf numFmtId="0" fontId="3" fillId="2" borderId="39" xfId="0" applyNumberFormat="1" applyFont="1" applyFill="1" applyBorder="1"/>
    <xf numFmtId="10" fontId="3" fillId="2" borderId="39" xfId="0" applyNumberFormat="1" applyFont="1" applyFill="1" applyBorder="1"/>
    <xf numFmtId="0" fontId="2" fillId="3" borderId="40" xfId="0" applyFont="1" applyFill="1" applyBorder="1"/>
    <xf numFmtId="0" fontId="0" fillId="3" borderId="41" xfId="0" applyFill="1" applyBorder="1"/>
    <xf numFmtId="0" fontId="0" fillId="3" borderId="42" xfId="0" applyFill="1" applyBorder="1"/>
    <xf numFmtId="164" fontId="0" fillId="3" borderId="1" xfId="0" applyNumberFormat="1" applyFill="1" applyBorder="1" applyAlignment="1">
      <alignment horizontal="left" indent="1"/>
    </xf>
    <xf numFmtId="0" fontId="10" fillId="3" borderId="42" xfId="0" applyFont="1" applyFill="1" applyBorder="1"/>
    <xf numFmtId="0" fontId="0" fillId="3" borderId="43" xfId="0" applyFill="1" applyBorder="1"/>
    <xf numFmtId="166" fontId="0" fillId="3" borderId="1" xfId="2" applyNumberFormat="1" applyFont="1" applyFill="1" applyBorder="1"/>
    <xf numFmtId="44" fontId="0" fillId="3" borderId="1" xfId="1" applyFont="1" applyFill="1" applyBorder="1"/>
    <xf numFmtId="0" fontId="11" fillId="3" borderId="1" xfId="0" applyFont="1" applyFill="1" applyBorder="1" applyAlignment="1">
      <alignment horizontal="left" indent="1"/>
    </xf>
    <xf numFmtId="0" fontId="11" fillId="3" borderId="0" xfId="0" applyFont="1" applyFill="1" applyBorder="1" applyAlignment="1">
      <alignment horizontal="left" indent="1"/>
    </xf>
    <xf numFmtId="0" fontId="12" fillId="2" borderId="0" xfId="0" applyFont="1" applyFill="1"/>
    <xf numFmtId="169" fontId="0" fillId="3" borderId="0" xfId="0" applyNumberFormat="1" applyFill="1" applyBorder="1"/>
    <xf numFmtId="0" fontId="0" fillId="3" borderId="46" xfId="0" applyFill="1" applyBorder="1"/>
    <xf numFmtId="0" fontId="2" fillId="3" borderId="24" xfId="0" applyFont="1" applyFill="1" applyBorder="1" applyAlignment="1">
      <alignment horizontal="left" indent="1"/>
    </xf>
    <xf numFmtId="0" fontId="0" fillId="3" borderId="1" xfId="0" applyFont="1" applyFill="1" applyBorder="1" applyAlignment="1">
      <alignment horizontal="left" indent="1"/>
    </xf>
    <xf numFmtId="166" fontId="5" fillId="2" borderId="0" xfId="0" applyNumberFormat="1" applyFont="1" applyFill="1"/>
    <xf numFmtId="0" fontId="0" fillId="3" borderId="24" xfId="0" applyFill="1" applyBorder="1" applyAlignment="1">
      <alignment horizontal="left" indent="1"/>
    </xf>
    <xf numFmtId="169" fontId="2" fillId="3" borderId="0" xfId="0" applyNumberFormat="1" applyFont="1" applyFill="1" applyBorder="1" applyAlignment="1">
      <alignment horizontal="left" indent="1"/>
    </xf>
    <xf numFmtId="0" fontId="2" fillId="3" borderId="1" xfId="0" applyFont="1" applyFill="1" applyBorder="1" applyAlignment="1">
      <alignment horizontal="left" indent="1"/>
    </xf>
    <xf numFmtId="169" fontId="4" fillId="2" borderId="0" xfId="0" applyNumberFormat="1" applyFont="1" applyFill="1"/>
    <xf numFmtId="0" fontId="0" fillId="5" borderId="0" xfId="0" applyFill="1" applyProtection="1">
      <protection locked="0"/>
    </xf>
    <xf numFmtId="0" fontId="13" fillId="5" borderId="45" xfId="0" applyFont="1" applyFill="1" applyBorder="1" applyProtection="1">
      <protection locked="0"/>
    </xf>
    <xf numFmtId="0" fontId="10" fillId="3" borderId="4" xfId="0" applyFont="1" applyFill="1" applyBorder="1"/>
    <xf numFmtId="0" fontId="15" fillId="2" borderId="0" xfId="0" applyFont="1" applyFill="1" applyAlignment="1">
      <alignment vertical="center"/>
    </xf>
    <xf numFmtId="170" fontId="0" fillId="3" borderId="20" xfId="1" applyNumberFormat="1" applyFont="1" applyFill="1" applyBorder="1"/>
    <xf numFmtId="10" fontId="3" fillId="2" borderId="0" xfId="2" applyNumberFormat="1" applyFont="1" applyFill="1" applyAlignment="1">
      <alignment horizontal="right"/>
    </xf>
    <xf numFmtId="44" fontId="3" fillId="2" borderId="0" xfId="0" applyNumberFormat="1" applyFont="1" applyFill="1" applyAlignment="1">
      <alignment horizontal="right"/>
    </xf>
    <xf numFmtId="164" fontId="2" fillId="2" borderId="0" xfId="1" applyNumberFormat="1" applyFont="1" applyFill="1"/>
    <xf numFmtId="0" fontId="15" fillId="2" borderId="0" xfId="0" applyFont="1" applyFill="1" applyAlignment="1"/>
    <xf numFmtId="0" fontId="15" fillId="2" borderId="9" xfId="0" applyFont="1" applyFill="1" applyBorder="1" applyAlignment="1"/>
    <xf numFmtId="44" fontId="5" fillId="3" borderId="6" xfId="0" applyNumberFormat="1" applyFont="1" applyFill="1" applyBorder="1"/>
    <xf numFmtId="1" fontId="20" fillId="3" borderId="34" xfId="0" applyNumberFormat="1" applyFont="1" applyFill="1" applyBorder="1"/>
    <xf numFmtId="44" fontId="5" fillId="3" borderId="33" xfId="1" applyNumberFormat="1" applyFont="1" applyFill="1" applyBorder="1"/>
    <xf numFmtId="0" fontId="5" fillId="3" borderId="8" xfId="0" applyNumberFormat="1" applyFont="1" applyFill="1" applyBorder="1" applyAlignment="1">
      <alignment horizontal="left"/>
    </xf>
    <xf numFmtId="0" fontId="11" fillId="3" borderId="3" xfId="0" applyFont="1" applyFill="1" applyBorder="1"/>
    <xf numFmtId="2" fontId="11" fillId="3" borderId="11" xfId="0" applyNumberFormat="1" applyFont="1" applyFill="1" applyBorder="1"/>
    <xf numFmtId="167" fontId="11" fillId="3" borderId="5" xfId="2" applyNumberFormat="1" applyFont="1" applyFill="1" applyBorder="1"/>
    <xf numFmtId="10" fontId="11" fillId="3" borderId="7" xfId="2" applyNumberFormat="1" applyFont="1" applyFill="1" applyBorder="1"/>
    <xf numFmtId="0" fontId="11" fillId="3" borderId="10" xfId="0" applyFont="1" applyFill="1" applyBorder="1"/>
    <xf numFmtId="10" fontId="6" fillId="3" borderId="7" xfId="2" applyNumberFormat="1" applyFont="1" applyFill="1" applyBorder="1" applyAlignment="1">
      <alignment horizontal="right"/>
    </xf>
    <xf numFmtId="10" fontId="6" fillId="3" borderId="10" xfId="2" applyNumberFormat="1" applyFont="1" applyFill="1" applyBorder="1"/>
    <xf numFmtId="0" fontId="2" fillId="3" borderId="22" xfId="0" applyFont="1" applyFill="1" applyBorder="1" applyAlignment="1">
      <alignment horizontal="center"/>
    </xf>
    <xf numFmtId="166" fontId="0" fillId="3" borderId="0" xfId="0" applyNumberFormat="1" applyFill="1"/>
    <xf numFmtId="2" fontId="0" fillId="3" borderId="0" xfId="0" applyNumberFormat="1" applyFill="1"/>
    <xf numFmtId="0" fontId="5" fillId="3" borderId="6" xfId="1" applyNumberFormat="1" applyFont="1" applyFill="1" applyBorder="1"/>
    <xf numFmtId="0" fontId="5" fillId="3" borderId="8" xfId="1" applyNumberFormat="1" applyFont="1" applyFill="1" applyBorder="1"/>
    <xf numFmtId="0" fontId="21" fillId="3" borderId="34" xfId="1" applyNumberFormat="1" applyFont="1" applyFill="1" applyBorder="1"/>
    <xf numFmtId="44" fontId="5" fillId="3" borderId="33" xfId="0" applyNumberFormat="1" applyFont="1" applyFill="1" applyBorder="1"/>
    <xf numFmtId="0" fontId="5" fillId="3" borderId="2" xfId="1" applyNumberFormat="1" applyFont="1" applyFill="1" applyBorder="1" applyAlignment="1"/>
    <xf numFmtId="0" fontId="3" fillId="2" borderId="0" xfId="1" applyNumberFormat="1" applyFont="1" applyFill="1"/>
    <xf numFmtId="14" fontId="5" fillId="3" borderId="5" xfId="1" applyNumberFormat="1" applyFont="1" applyFill="1" applyBorder="1" applyAlignment="1"/>
    <xf numFmtId="0" fontId="6" fillId="3" borderId="10" xfId="0" applyNumberFormat="1" applyFont="1" applyFill="1" applyBorder="1"/>
    <xf numFmtId="0" fontId="4" fillId="3" borderId="45" xfId="1" applyNumberFormat="1" applyFont="1" applyFill="1" applyBorder="1"/>
    <xf numFmtId="44" fontId="3" fillId="3" borderId="45" xfId="0" applyNumberFormat="1" applyFont="1" applyFill="1" applyBorder="1"/>
    <xf numFmtId="0" fontId="3" fillId="3" borderId="48" xfId="0" applyFont="1" applyFill="1" applyBorder="1"/>
    <xf numFmtId="44" fontId="0" fillId="3" borderId="7" xfId="1" applyNumberFormat="1" applyFont="1" applyFill="1" applyBorder="1" applyAlignment="1">
      <alignment horizontal="left" indent="1"/>
    </xf>
    <xf numFmtId="0" fontId="0" fillId="3" borderId="7" xfId="1" applyNumberFormat="1" applyFont="1" applyFill="1" applyBorder="1" applyAlignment="1">
      <alignment horizontal="right" indent="1"/>
    </xf>
    <xf numFmtId="44" fontId="4" fillId="2" borderId="0" xfId="0" applyNumberFormat="1" applyFont="1" applyFill="1"/>
    <xf numFmtId="44" fontId="2" fillId="2" borderId="0" xfId="0" applyNumberFormat="1" applyFont="1" applyFill="1"/>
    <xf numFmtId="4" fontId="11" fillId="3" borderId="7" xfId="0" applyNumberFormat="1" applyFont="1" applyFill="1" applyBorder="1" applyAlignment="1">
      <alignment horizontal="right"/>
    </xf>
    <xf numFmtId="0" fontId="22" fillId="0" borderId="49" xfId="0" applyFont="1" applyBorder="1"/>
    <xf numFmtId="1" fontId="0" fillId="6" borderId="21" xfId="0" applyNumberFormat="1" applyFill="1" applyBorder="1"/>
    <xf numFmtId="0" fontId="0" fillId="0" borderId="29" xfId="0" applyBorder="1"/>
    <xf numFmtId="0" fontId="0" fillId="6" borderId="1" xfId="0" applyFill="1" applyBorder="1"/>
    <xf numFmtId="166" fontId="0" fillId="6" borderId="1" xfId="0" applyNumberFormat="1" applyFill="1" applyBorder="1"/>
    <xf numFmtId="9" fontId="0" fillId="6" borderId="1" xfId="0" applyNumberFormat="1" applyFill="1" applyBorder="1"/>
    <xf numFmtId="0" fontId="0" fillId="0" borderId="46" xfId="0" applyBorder="1"/>
    <xf numFmtId="0" fontId="0" fillId="0" borderId="24" xfId="0" applyBorder="1"/>
    <xf numFmtId="0" fontId="0" fillId="0" borderId="47" xfId="0" applyBorder="1"/>
    <xf numFmtId="0" fontId="0" fillId="0" borderId="50" xfId="0" applyBorder="1" applyAlignment="1">
      <alignment horizontal="right"/>
    </xf>
    <xf numFmtId="0" fontId="23" fillId="0" borderId="0" xfId="0" applyFont="1"/>
    <xf numFmtId="0" fontId="0" fillId="0" borderId="47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24" xfId="0" applyBorder="1" applyAlignment="1">
      <alignment horizontal="center"/>
    </xf>
    <xf numFmtId="0" fontId="26" fillId="2" borderId="0" xfId="0" applyNumberFormat="1" applyFont="1" applyFill="1" applyAlignment="1">
      <alignment vertical="center"/>
    </xf>
    <xf numFmtId="22" fontId="25" fillId="2" borderId="0" xfId="0" applyNumberFormat="1" applyFont="1" applyFill="1" applyAlignment="1">
      <alignment vertical="center"/>
    </xf>
    <xf numFmtId="44" fontId="27" fillId="2" borderId="0" xfId="1" applyFont="1" applyFill="1"/>
    <xf numFmtId="44" fontId="21" fillId="3" borderId="51" xfId="1" applyNumberFormat="1" applyFont="1" applyFill="1" applyBorder="1"/>
    <xf numFmtId="44" fontId="0" fillId="3" borderId="19" xfId="1" applyNumberFormat="1" applyFont="1" applyFill="1" applyBorder="1" applyAlignment="1">
      <alignment horizontal="left" indent="1"/>
    </xf>
    <xf numFmtId="0" fontId="2" fillId="3" borderId="47" xfId="0" applyFont="1" applyFill="1" applyBorder="1" applyAlignment="1"/>
    <xf numFmtId="0" fontId="2" fillId="3" borderId="52" xfId="0" applyFont="1" applyFill="1" applyBorder="1" applyAlignment="1"/>
    <xf numFmtId="0" fontId="0" fillId="5" borderId="6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14" fillId="5" borderId="0" xfId="0" applyFont="1" applyFill="1" applyProtection="1">
      <protection locked="0"/>
    </xf>
    <xf numFmtId="3" fontId="0" fillId="5" borderId="0" xfId="0" applyNumberFormat="1" applyFill="1" applyProtection="1">
      <protection locked="0"/>
    </xf>
    <xf numFmtId="44" fontId="30" fillId="3" borderId="44" xfId="1" applyNumberFormat="1" applyFont="1" applyFill="1" applyBorder="1"/>
    <xf numFmtId="0" fontId="30" fillId="3" borderId="45" xfId="1" applyNumberFormat="1" applyFont="1" applyFill="1" applyBorder="1"/>
    <xf numFmtId="44" fontId="10" fillId="3" borderId="45" xfId="0" applyNumberFormat="1" applyFont="1" applyFill="1" applyBorder="1"/>
    <xf numFmtId="0" fontId="10" fillId="3" borderId="48" xfId="0" applyFont="1" applyFill="1" applyBorder="1"/>
    <xf numFmtId="14" fontId="5" fillId="3" borderId="7" xfId="0" applyNumberFormat="1" applyFont="1" applyFill="1" applyBorder="1"/>
    <xf numFmtId="0" fontId="13" fillId="5" borderId="0" xfId="0" applyFont="1" applyFill="1" applyBorder="1" applyProtection="1">
      <protection locked="0"/>
    </xf>
    <xf numFmtId="2" fontId="13" fillId="5" borderId="0" xfId="0" applyNumberFormat="1" applyFont="1" applyFill="1" applyBorder="1" applyProtection="1">
      <protection locked="0"/>
    </xf>
    <xf numFmtId="14" fontId="7" fillId="3" borderId="1" xfId="0" applyNumberFormat="1" applyFont="1" applyFill="1" applyBorder="1" applyAlignment="1">
      <alignment horizontal="right"/>
    </xf>
    <xf numFmtId="171" fontId="2" fillId="2" borderId="0" xfId="0" applyNumberFormat="1" applyFont="1" applyFill="1"/>
    <xf numFmtId="44" fontId="0" fillId="0" borderId="0" xfId="1" applyFont="1" applyFill="1"/>
    <xf numFmtId="0" fontId="0" fillId="0" borderId="0" xfId="0" applyFill="1"/>
    <xf numFmtId="0" fontId="2" fillId="0" borderId="0" xfId="0" applyNumberFormat="1" applyFont="1" applyFill="1"/>
    <xf numFmtId="0" fontId="2" fillId="0" borderId="0" xfId="1" applyNumberFormat="1" applyFont="1" applyFill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167" fontId="0" fillId="0" borderId="5" xfId="2" applyNumberFormat="1" applyFont="1" applyFill="1" applyBorder="1"/>
    <xf numFmtId="0" fontId="3" fillId="0" borderId="2" xfId="0" applyFont="1" applyFill="1" applyBorder="1"/>
    <xf numFmtId="0" fontId="8" fillId="0" borderId="4" xfId="0" applyFont="1" applyFill="1" applyBorder="1"/>
    <xf numFmtId="0" fontId="3" fillId="0" borderId="5" xfId="0" applyFont="1" applyFill="1" applyBorder="1"/>
    <xf numFmtId="0" fontId="0" fillId="0" borderId="0" xfId="0" applyNumberFormat="1" applyFill="1"/>
    <xf numFmtId="0" fontId="0" fillId="0" borderId="6" xfId="0" applyFill="1" applyBorder="1"/>
    <xf numFmtId="164" fontId="0" fillId="0" borderId="1" xfId="0" applyNumberFormat="1" applyFill="1" applyBorder="1"/>
    <xf numFmtId="10" fontId="0" fillId="0" borderId="7" xfId="2" applyNumberFormat="1" applyFont="1" applyFill="1" applyBorder="1"/>
    <xf numFmtId="0" fontId="3" fillId="0" borderId="6" xfId="0" applyFont="1" applyFill="1" applyBorder="1"/>
    <xf numFmtId="0" fontId="3" fillId="0" borderId="0" xfId="0" applyFont="1" applyFill="1" applyBorder="1"/>
    <xf numFmtId="0" fontId="3" fillId="0" borderId="7" xfId="0" applyFont="1" applyFill="1" applyBorder="1"/>
    <xf numFmtId="22" fontId="0" fillId="0" borderId="1" xfId="0" applyNumberFormat="1" applyFill="1" applyBorder="1" applyAlignment="1">
      <alignment horizontal="right"/>
    </xf>
    <xf numFmtId="4" fontId="0" fillId="0" borderId="7" xfId="0" applyNumberFormat="1" applyFill="1" applyBorder="1"/>
    <xf numFmtId="0" fontId="2" fillId="0" borderId="0" xfId="0" applyNumberFormat="1" applyFont="1" applyFill="1" applyAlignment="1">
      <alignment horizontal="center"/>
    </xf>
    <xf numFmtId="0" fontId="0" fillId="0" borderId="8" xfId="0" applyFill="1" applyBorder="1"/>
    <xf numFmtId="2" fontId="0" fillId="0" borderId="11" xfId="0" applyNumberFormat="1" applyFill="1" applyBorder="1"/>
    <xf numFmtId="0" fontId="0" fillId="0" borderId="9" xfId="0" applyFill="1" applyBorder="1"/>
    <xf numFmtId="0" fontId="0" fillId="0" borderId="10" xfId="0" applyFill="1" applyBorder="1"/>
    <xf numFmtId="0" fontId="3" fillId="0" borderId="8" xfId="0" applyFont="1" applyFill="1" applyBorder="1"/>
    <xf numFmtId="0" fontId="3" fillId="0" borderId="9" xfId="0" applyFont="1" applyFill="1" applyBorder="1"/>
    <xf numFmtId="0" fontId="3" fillId="0" borderId="10" xfId="0" applyFont="1" applyFill="1" applyBorder="1"/>
    <xf numFmtId="44" fontId="0" fillId="0" borderId="0" xfId="0" applyNumberFormat="1" applyFill="1" applyAlignment="1">
      <alignment horizontal="right"/>
    </xf>
    <xf numFmtId="0" fontId="0" fillId="0" borderId="0" xfId="0" applyFill="1" applyBorder="1"/>
    <xf numFmtId="44" fontId="5" fillId="0" borderId="0" xfId="1" applyFont="1" applyFill="1"/>
    <xf numFmtId="0" fontId="5" fillId="0" borderId="0" xfId="0" applyFont="1" applyFill="1"/>
    <xf numFmtId="0" fontId="4" fillId="0" borderId="0" xfId="0" applyFont="1" applyFill="1" applyAlignment="1">
      <alignment horizontal="center"/>
    </xf>
    <xf numFmtId="0" fontId="3" fillId="0" borderId="0" xfId="0" applyFont="1" applyFill="1"/>
    <xf numFmtId="0" fontId="5" fillId="0" borderId="0" xfId="0" applyNumberFormat="1" applyFont="1" applyFill="1" applyAlignment="1">
      <alignment horizontal="right"/>
    </xf>
    <xf numFmtId="10" fontId="5" fillId="0" borderId="0" xfId="2" applyNumberFormat="1" applyFont="1" applyFill="1"/>
    <xf numFmtId="10" fontId="5" fillId="0" borderId="0" xfId="0" applyNumberFormat="1" applyFont="1" applyFill="1"/>
    <xf numFmtId="0" fontId="5" fillId="0" borderId="0" xfId="0" applyFont="1" applyFill="1" applyAlignment="1">
      <alignment horizontal="right"/>
    </xf>
    <xf numFmtId="10" fontId="6" fillId="0" borderId="0" xfId="2" applyNumberFormat="1" applyFont="1" applyFill="1"/>
    <xf numFmtId="44" fontId="2" fillId="0" borderId="12" xfId="1" applyFont="1" applyFill="1" applyBorder="1"/>
    <xf numFmtId="44" fontId="2" fillId="0" borderId="13" xfId="1" applyFont="1" applyFill="1" applyBorder="1"/>
    <xf numFmtId="44" fontId="2" fillId="0" borderId="15" xfId="1" applyFont="1" applyFill="1" applyBorder="1"/>
    <xf numFmtId="44" fontId="2" fillId="0" borderId="14" xfId="1" applyFont="1" applyFill="1" applyBorder="1"/>
    <xf numFmtId="0" fontId="0" fillId="0" borderId="16" xfId="0" applyFill="1" applyBorder="1"/>
    <xf numFmtId="0" fontId="0" fillId="0" borderId="17" xfId="0" applyFill="1" applyBorder="1"/>
    <xf numFmtId="0" fontId="0" fillId="0" borderId="19" xfId="0" applyFill="1" applyBorder="1"/>
    <xf numFmtId="44" fontId="0" fillId="0" borderId="20" xfId="1" applyFont="1" applyFill="1" applyBorder="1"/>
    <xf numFmtId="44" fontId="0" fillId="0" borderId="21" xfId="1" applyFont="1" applyFill="1" applyBorder="1"/>
    <xf numFmtId="44" fontId="0" fillId="0" borderId="21" xfId="1" applyFont="1" applyFill="1" applyBorder="1" applyAlignment="1">
      <alignment horizontal="right"/>
    </xf>
    <xf numFmtId="44" fontId="0" fillId="0" borderId="7" xfId="1" applyFont="1" applyFill="1" applyBorder="1"/>
    <xf numFmtId="168" fontId="0" fillId="0" borderId="0" xfId="1" applyNumberFormat="1" applyFont="1" applyFill="1"/>
    <xf numFmtId="44" fontId="0" fillId="0" borderId="6" xfId="1" applyFont="1" applyFill="1" applyBorder="1"/>
    <xf numFmtId="44" fontId="0" fillId="0" borderId="0" xfId="1" applyFont="1" applyFill="1" applyBorder="1"/>
    <xf numFmtId="2" fontId="0" fillId="0" borderId="0" xfId="2" applyNumberFormat="1" applyFont="1" applyFill="1" applyBorder="1"/>
    <xf numFmtId="166" fontId="0" fillId="0" borderId="0" xfId="2" applyNumberFormat="1" applyFont="1" applyFill="1" applyBorder="1"/>
    <xf numFmtId="0" fontId="2" fillId="0" borderId="22" xfId="0" applyNumberFormat="1" applyFont="1" applyFill="1" applyBorder="1" applyAlignment="1">
      <alignment horizontal="center"/>
    </xf>
    <xf numFmtId="166" fontId="0" fillId="0" borderId="0" xfId="0" applyNumberFormat="1" applyFill="1" applyBorder="1"/>
    <xf numFmtId="2" fontId="0" fillId="0" borderId="0" xfId="0" applyNumberFormat="1" applyFill="1" applyBorder="1"/>
    <xf numFmtId="44" fontId="0" fillId="0" borderId="1" xfId="1" applyFont="1" applyFill="1" applyBorder="1"/>
    <xf numFmtId="0" fontId="0" fillId="0" borderId="1" xfId="0" applyFill="1" applyBorder="1"/>
    <xf numFmtId="44" fontId="0" fillId="0" borderId="1" xfId="0" applyNumberFormat="1" applyFill="1" applyBorder="1"/>
    <xf numFmtId="0" fontId="0" fillId="0" borderId="1" xfId="0" applyFill="1" applyBorder="1" applyAlignment="1">
      <alignment horizontal="right"/>
    </xf>
    <xf numFmtId="44" fontId="0" fillId="0" borderId="7" xfId="0" applyNumberFormat="1" applyFill="1" applyBorder="1"/>
    <xf numFmtId="44" fontId="0" fillId="0" borderId="23" xfId="1" applyFont="1" applyFill="1" applyBorder="1"/>
    <xf numFmtId="44" fontId="0" fillId="0" borderId="24" xfId="1" applyFont="1" applyFill="1" applyBorder="1"/>
    <xf numFmtId="0" fontId="0" fillId="0" borderId="24" xfId="0" applyFill="1" applyBorder="1"/>
    <xf numFmtId="0" fontId="0" fillId="0" borderId="20" xfId="0" applyFill="1" applyBorder="1"/>
    <xf numFmtId="2" fontId="0" fillId="0" borderId="0" xfId="1" applyNumberFormat="1" applyFont="1" applyFill="1" applyBorder="1"/>
    <xf numFmtId="0" fontId="0" fillId="0" borderId="25" xfId="0" applyFill="1" applyBorder="1"/>
    <xf numFmtId="44" fontId="0" fillId="0" borderId="11" xfId="0" applyNumberFormat="1" applyFill="1" applyBorder="1"/>
    <xf numFmtId="44" fontId="0" fillId="0" borderId="10" xfId="0" applyNumberFormat="1" applyFill="1" applyBorder="1"/>
    <xf numFmtId="164" fontId="11" fillId="3" borderId="1" xfId="0" applyNumberFormat="1" applyFont="1" applyFill="1" applyBorder="1" applyAlignment="1">
      <alignment vertical="center" wrapText="1"/>
    </xf>
    <xf numFmtId="0" fontId="2" fillId="0" borderId="12" xfId="0" applyFont="1" applyFill="1" applyBorder="1" applyAlignment="1">
      <alignment horizontal="center"/>
    </xf>
    <xf numFmtId="0" fontId="2" fillId="0" borderId="13" xfId="0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0" fontId="2" fillId="0" borderId="26" xfId="0" applyNumberFormat="1" applyFont="1" applyFill="1" applyBorder="1" applyAlignment="1">
      <alignment horizontal="center"/>
    </xf>
    <xf numFmtId="0" fontId="2" fillId="0" borderId="18" xfId="0" applyNumberFormat="1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44" fontId="2" fillId="3" borderId="13" xfId="1" applyFont="1" applyFill="1" applyBorder="1" applyAlignment="1">
      <alignment horizontal="center"/>
    </xf>
    <xf numFmtId="44" fontId="2" fillId="3" borderId="14" xfId="1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26" xfId="0" applyNumberFormat="1" applyFont="1" applyFill="1" applyBorder="1" applyAlignment="1">
      <alignment horizontal="center"/>
    </xf>
    <xf numFmtId="0" fontId="2" fillId="3" borderId="18" xfId="0" applyNumberFormat="1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3" borderId="28" xfId="0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/>
    </xf>
    <xf numFmtId="0" fontId="2" fillId="3" borderId="43" xfId="0" applyFont="1" applyFill="1" applyBorder="1" applyAlignment="1">
      <alignment horizontal="center"/>
    </xf>
    <xf numFmtId="0" fontId="19" fillId="2" borderId="0" xfId="0" applyFont="1" applyFill="1" applyAlignment="1">
      <alignment horizontal="right"/>
    </xf>
    <xf numFmtId="0" fontId="19" fillId="2" borderId="9" xfId="0" applyFont="1" applyFill="1" applyBorder="1" applyAlignment="1">
      <alignment horizontal="right"/>
    </xf>
    <xf numFmtId="2" fontId="24" fillId="0" borderId="49" xfId="0" applyNumberFormat="1" applyFont="1" applyBorder="1" applyAlignment="1">
      <alignment horizontal="center"/>
    </xf>
    <xf numFmtId="0" fontId="24" fillId="0" borderId="21" xfId="0" applyFont="1" applyBorder="1" applyAlignment="1">
      <alignment horizontal="center"/>
    </xf>
  </cellXfs>
  <cellStyles count="4">
    <cellStyle name="Currency" xfId="1" builtinId="4"/>
    <cellStyle name="Currency 2" xfId="3" xr:uid="{C77F9FCE-5464-44A9-BBD8-6C224C056674}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CCFF"/>
      <color rgb="FFFAF0DC"/>
      <color rgb="FF15F4FF"/>
      <color rgb="FF130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ichStyles" Target="richData/rich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Structure" Target="richData/rdrichvaluestructure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microsoft.com/office/2017/06/relationships/rdSupportingPropertyBag" Target="richData/rdsupportingpropertybag.xml"/><Relationship Id="rId10" Type="http://schemas.openxmlformats.org/officeDocument/2006/relationships/sheetMetadata" Target="metadata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SupportingPropertyBagStructure" Target="richData/rdsupportingpropertybag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Trader!$AI$10:$AI$244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Trader!$AC$10:$AC$244</c15:sqref>
                        </c15:formulaRef>
                      </c:ext>
                    </c:extLst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9FF2-4F91-9711-6AA1443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4510495"/>
        <c:axId val="1754510911"/>
      </c:line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Trader!$AE$10:$AE$244</c:f>
            </c:numRef>
          </c:val>
          <c:smooth val="0"/>
          <c:extLst>
            <c:ext xmlns:c16="http://schemas.microsoft.com/office/drawing/2014/chart" uri="{C3380CC4-5D6E-409C-BE32-E72D297353CC}">
              <c16:uniqueId val="{00000004-A5A5-4E2D-A8D3-28D0ACC63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348255"/>
        <c:axId val="627339103"/>
      </c:lineChart>
      <c:catAx>
        <c:axId val="1754510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54510911"/>
        <c:crosses val="autoZero"/>
        <c:auto val="1"/>
        <c:lblAlgn val="ctr"/>
        <c:lblOffset val="100"/>
        <c:noMultiLvlLbl val="0"/>
      </c:catAx>
      <c:valAx>
        <c:axId val="175451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54510495"/>
        <c:crosses val="autoZero"/>
        <c:crossBetween val="between"/>
      </c:valAx>
      <c:valAx>
        <c:axId val="627339103"/>
        <c:scaling>
          <c:orientation val="minMax"/>
        </c:scaling>
        <c:delete val="0"/>
        <c:axPos val="r"/>
        <c:numFmt formatCode="0,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627348255"/>
        <c:crosses val="max"/>
        <c:crossBetween val="between"/>
      </c:valAx>
      <c:catAx>
        <c:axId val="627348255"/>
        <c:scaling>
          <c:orientation val="minMax"/>
        </c:scaling>
        <c:delete val="1"/>
        <c:axPos val="b"/>
        <c:majorTickMark val="out"/>
        <c:minorTickMark val="none"/>
        <c:tickLblPos val="nextTo"/>
        <c:crossAx val="6273391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65000"/>
      </a:schemeClr>
    </a:solidFill>
    <a:ln w="9525" cap="flat" cmpd="sng" algn="ctr">
      <a:noFill/>
      <a:prstDash val="dash"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Trader!$Y$10:$Y$60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Trader!$T$10:$T$60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282-4701-9DCE-020F30BC3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5007152"/>
        <c:axId val="1864990512"/>
      </c:lineChart>
      <c:catAx>
        <c:axId val="1865007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864990512"/>
        <c:crosses val="autoZero"/>
        <c:auto val="1"/>
        <c:lblAlgn val="ctr"/>
        <c:lblOffset val="100"/>
        <c:noMultiLvlLbl val="0"/>
      </c:catAx>
      <c:valAx>
        <c:axId val="18649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,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86500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Advanced!$T$10:$T$109</c:f>
              <c:numCache>
                <c:formatCode>_ "€"\ * #,##0.0_ ;_ "€"\ * \-#,##0.0_ ;_ "€"\ * "-"??_ ;_ @_ </c:formatCode>
                <c:ptCount val="100"/>
              </c:numCache>
            </c:numRef>
          </c:cat>
          <c:val>
            <c:numRef>
              <c:f>Advanced!$Z$10:$Z$109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EF-49ED-8604-C8652360E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9447135"/>
        <c:axId val="2009447967"/>
      </c:lineChart>
      <c:catAx>
        <c:axId val="2009447135"/>
        <c:scaling>
          <c:orientation val="minMax"/>
        </c:scaling>
        <c:delete val="0"/>
        <c:axPos val="b"/>
        <c:numFmt formatCode="_ &quot;€&quot;\ * #,##0.0_ ;_ &quot;€&quot;\ * \-#,##0.0_ ;_ &quot;€&quot;\ * &quot;-&quot;??_ ;_ 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009447967"/>
        <c:crosses val="autoZero"/>
        <c:auto val="1"/>
        <c:lblAlgn val="ctr"/>
        <c:lblOffset val="100"/>
        <c:noMultiLvlLbl val="0"/>
      </c:catAx>
      <c:valAx>
        <c:axId val="2009447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009447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6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2</xdr:row>
          <xdr:rowOff>99060</xdr:rowOff>
        </xdr:from>
        <xdr:to>
          <xdr:col>6</xdr:col>
          <xdr:colOff>304800</xdr:colOff>
          <xdr:row>3</xdr:row>
          <xdr:rowOff>137160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4</xdr:row>
          <xdr:rowOff>45720</xdr:rowOff>
        </xdr:from>
        <xdr:to>
          <xdr:col>6</xdr:col>
          <xdr:colOff>304800</xdr:colOff>
          <xdr:row>5</xdr:row>
          <xdr:rowOff>83820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2</xdr:row>
          <xdr:rowOff>144780</xdr:rowOff>
        </xdr:from>
        <xdr:to>
          <xdr:col>7</xdr:col>
          <xdr:colOff>594360</xdr:colOff>
          <xdr:row>5</xdr:row>
          <xdr:rowOff>30480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Greeks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541020</xdr:colOff>
          <xdr:row>0</xdr:row>
          <xdr:rowOff>0</xdr:rowOff>
        </xdr:from>
        <xdr:to>
          <xdr:col>17</xdr:col>
          <xdr:colOff>7620</xdr:colOff>
          <xdr:row>0</xdr:row>
          <xdr:rowOff>182880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Instructions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502334</xdr:colOff>
      <xdr:row>3</xdr:row>
      <xdr:rowOff>0</xdr:rowOff>
    </xdr:from>
    <xdr:to>
      <xdr:col>18</xdr:col>
      <xdr:colOff>0</xdr:colOff>
      <xdr:row>3</xdr:row>
      <xdr:rowOff>0</xdr:rowOff>
    </xdr:to>
    <xdr:pic>
      <xdr:nvPicPr>
        <xdr:cNvPr id="3" name="Picture_Instructions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97794" y="563880"/>
          <a:ext cx="610186" cy="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220980</xdr:colOff>
          <xdr:row>2</xdr:row>
          <xdr:rowOff>68580</xdr:rowOff>
        </xdr:from>
        <xdr:to>
          <xdr:col>6</xdr:col>
          <xdr:colOff>541020</xdr:colOff>
          <xdr:row>5</xdr:row>
          <xdr:rowOff>121920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3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NL" sz="6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198120</xdr:colOff>
          <xdr:row>3</xdr:row>
          <xdr:rowOff>45720</xdr:rowOff>
        </xdr:from>
        <xdr:to>
          <xdr:col>24</xdr:col>
          <xdr:colOff>731520</xdr:colOff>
          <xdr:row>4</xdr:row>
          <xdr:rowOff>106680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03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228600</xdr:colOff>
          <xdr:row>6</xdr:row>
          <xdr:rowOff>83820</xdr:rowOff>
        </xdr:from>
        <xdr:to>
          <xdr:col>24</xdr:col>
          <xdr:colOff>685800</xdr:colOff>
          <xdr:row>7</xdr:row>
          <xdr:rowOff>121920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03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2</xdr:row>
          <xdr:rowOff>68580</xdr:rowOff>
        </xdr:from>
        <xdr:to>
          <xdr:col>6</xdr:col>
          <xdr:colOff>152400</xdr:colOff>
          <xdr:row>5</xdr:row>
          <xdr:rowOff>121920</xdr:rowOff>
        </xdr:to>
        <xdr:sp macro="" textlink="">
          <xdr:nvSpPr>
            <xdr:cNvPr id="65541" name="Button 5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03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NL" sz="9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Greeks</a:t>
              </a:r>
            </a:p>
          </xdr:txBody>
        </xdr:sp>
        <xdr:clientData fPrintsWithSheet="0"/>
      </xdr:twoCellAnchor>
    </mc:Choice>
    <mc:Fallback/>
  </mc:AlternateContent>
  <xdr:twoCellAnchor>
    <xdr:from>
      <xdr:col>36</xdr:col>
      <xdr:colOff>125058</xdr:colOff>
      <xdr:row>2</xdr:row>
      <xdr:rowOff>7326</xdr:rowOff>
    </xdr:from>
    <xdr:to>
      <xdr:col>46</xdr:col>
      <xdr:colOff>177408</xdr:colOff>
      <xdr:row>43</xdr:row>
      <xdr:rowOff>135876</xdr:rowOff>
    </xdr:to>
    <xdr:graphicFrame macro="">
      <xdr:nvGraphicFramePr>
        <xdr:cNvPr id="2" name="StrategiesPayOffChar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68580</xdr:colOff>
          <xdr:row>3</xdr:row>
          <xdr:rowOff>68580</xdr:rowOff>
        </xdr:from>
        <xdr:to>
          <xdr:col>35</xdr:col>
          <xdr:colOff>792480</xdr:colOff>
          <xdr:row>5</xdr:row>
          <xdr:rowOff>7620</xdr:rowOff>
        </xdr:to>
        <xdr:sp macro="" textlink="">
          <xdr:nvSpPr>
            <xdr:cNvPr id="65547" name="Button 11" hidden="1">
              <a:extLst>
                <a:ext uri="{63B3BB69-23CF-44E3-9099-C40C66FF867C}">
                  <a14:compatExt spid="_x0000_s65547"/>
                </a:ext>
                <a:ext uri="{FF2B5EF4-FFF2-40B4-BE49-F238E27FC236}">
                  <a16:creationId xmlns:a16="http://schemas.microsoft.com/office/drawing/2014/main" id="{00000000-0008-0000-0300-00000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6</xdr:row>
          <xdr:rowOff>114300</xdr:rowOff>
        </xdr:from>
        <xdr:to>
          <xdr:col>35</xdr:col>
          <xdr:colOff>762000</xdr:colOff>
          <xdr:row>7</xdr:row>
          <xdr:rowOff>121920</xdr:rowOff>
        </xdr:to>
        <xdr:sp macro="" textlink="">
          <xdr:nvSpPr>
            <xdr:cNvPr id="65548" name="Button 12" hidden="1">
              <a:extLst>
                <a:ext uri="{63B3BB69-23CF-44E3-9099-C40C66FF867C}">
                  <a14:compatExt spid="_x0000_s65548"/>
                </a:ext>
                <a:ext uri="{FF2B5EF4-FFF2-40B4-BE49-F238E27FC236}">
                  <a16:creationId xmlns:a16="http://schemas.microsoft.com/office/drawing/2014/main" id="{00000000-0008-0000-0300-00000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173243</xdr:colOff>
      <xdr:row>9</xdr:row>
      <xdr:rowOff>60848</xdr:rowOff>
    </xdr:from>
    <xdr:to>
      <xdr:col>25</xdr:col>
      <xdr:colOff>966107</xdr:colOff>
      <xdr:row>31</xdr:row>
      <xdr:rowOff>108857</xdr:rowOff>
    </xdr:to>
    <xdr:graphicFrame macro="">
      <xdr:nvGraphicFramePr>
        <xdr:cNvPr id="3" name="PlotContrac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213360</xdr:colOff>
          <xdr:row>4</xdr:row>
          <xdr:rowOff>152400</xdr:rowOff>
        </xdr:from>
        <xdr:to>
          <xdr:col>24</xdr:col>
          <xdr:colOff>693420</xdr:colOff>
          <xdr:row>6</xdr:row>
          <xdr:rowOff>22860</xdr:rowOff>
        </xdr:to>
        <xdr:sp macro="" textlink="">
          <xdr:nvSpPr>
            <xdr:cNvPr id="65549" name="Button 13" hidden="1">
              <a:extLst>
                <a:ext uri="{63B3BB69-23CF-44E3-9099-C40C66FF867C}">
                  <a14:compatExt spid="_x0000_s65549"/>
                </a:ext>
                <a:ext uri="{FF2B5EF4-FFF2-40B4-BE49-F238E27FC236}">
                  <a16:creationId xmlns:a16="http://schemas.microsoft.com/office/drawing/2014/main" id="{00000000-0008-0000-0300-00000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5</xdr:row>
          <xdr:rowOff>45720</xdr:rowOff>
        </xdr:from>
        <xdr:to>
          <xdr:col>35</xdr:col>
          <xdr:colOff>769620</xdr:colOff>
          <xdr:row>6</xdr:row>
          <xdr:rowOff>60960</xdr:rowOff>
        </xdr:to>
        <xdr:sp macro="" textlink="">
          <xdr:nvSpPr>
            <xdr:cNvPr id="65558" name="Button 22" hidden="1">
              <a:extLst>
                <a:ext uri="{63B3BB69-23CF-44E3-9099-C40C66FF867C}">
                  <a14:compatExt spid="_x0000_s65558"/>
                </a:ext>
                <a:ext uri="{FF2B5EF4-FFF2-40B4-BE49-F238E27FC236}">
                  <a16:creationId xmlns:a16="http://schemas.microsoft.com/office/drawing/2014/main" id="{00000000-0008-0000-0300-00001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L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Greek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106680</xdr:colOff>
          <xdr:row>2</xdr:row>
          <xdr:rowOff>76200</xdr:rowOff>
        </xdr:from>
        <xdr:to>
          <xdr:col>11</xdr:col>
          <xdr:colOff>579120</xdr:colOff>
          <xdr:row>5</xdr:row>
          <xdr:rowOff>114300</xdr:rowOff>
        </xdr:to>
        <xdr:sp macro="" textlink="">
          <xdr:nvSpPr>
            <xdr:cNvPr id="65562" name="Button 26" hidden="1">
              <a:extLst>
                <a:ext uri="{63B3BB69-23CF-44E3-9099-C40C66FF867C}">
                  <a14:compatExt spid="_x0000_s65562"/>
                </a:ext>
                <a:ext uri="{FF2B5EF4-FFF2-40B4-BE49-F238E27FC236}">
                  <a16:creationId xmlns:a16="http://schemas.microsoft.com/office/drawing/2014/main" id="{00000000-0008-0000-0300-00001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2nd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83820</xdr:colOff>
          <xdr:row>3</xdr:row>
          <xdr:rowOff>60960</xdr:rowOff>
        </xdr:from>
        <xdr:to>
          <xdr:col>12</xdr:col>
          <xdr:colOff>579120</xdr:colOff>
          <xdr:row>4</xdr:row>
          <xdr:rowOff>60960</xdr:rowOff>
        </xdr:to>
        <xdr:sp macro="" textlink="">
          <xdr:nvSpPr>
            <xdr:cNvPr id="65565" name="Button 29" hidden="1">
              <a:extLst>
                <a:ext uri="{63B3BB69-23CF-44E3-9099-C40C66FF867C}">
                  <a14:compatExt spid="_x0000_s65565"/>
                </a:ext>
                <a:ext uri="{FF2B5EF4-FFF2-40B4-BE49-F238E27FC236}">
                  <a16:creationId xmlns:a16="http://schemas.microsoft.com/office/drawing/2014/main" id="{00000000-0008-0000-0300-00001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ContrA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83820</xdr:colOff>
          <xdr:row>4</xdr:row>
          <xdr:rowOff>114300</xdr:rowOff>
        </xdr:from>
        <xdr:to>
          <xdr:col>12</xdr:col>
          <xdr:colOff>579120</xdr:colOff>
          <xdr:row>5</xdr:row>
          <xdr:rowOff>114300</xdr:rowOff>
        </xdr:to>
        <xdr:sp macro="" textlink="">
          <xdr:nvSpPr>
            <xdr:cNvPr id="65566" name="Button 30" hidden="1">
              <a:extLst>
                <a:ext uri="{63B3BB69-23CF-44E3-9099-C40C66FF867C}">
                  <a14:compatExt spid="_x0000_s65566"/>
                </a:ext>
                <a:ext uri="{FF2B5EF4-FFF2-40B4-BE49-F238E27FC236}">
                  <a16:creationId xmlns:a16="http://schemas.microsoft.com/office/drawing/2014/main" id="{00000000-0008-0000-0300-00001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2</xdr:row>
          <xdr:rowOff>99060</xdr:rowOff>
        </xdr:from>
        <xdr:to>
          <xdr:col>6</xdr:col>
          <xdr:colOff>304800</xdr:colOff>
          <xdr:row>3</xdr:row>
          <xdr:rowOff>137160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6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4</xdr:row>
          <xdr:rowOff>45720</xdr:rowOff>
        </xdr:from>
        <xdr:to>
          <xdr:col>6</xdr:col>
          <xdr:colOff>304800</xdr:colOff>
          <xdr:row>5</xdr:row>
          <xdr:rowOff>83820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06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441960</xdr:colOff>
          <xdr:row>2</xdr:row>
          <xdr:rowOff>99060</xdr:rowOff>
        </xdr:from>
        <xdr:to>
          <xdr:col>7</xdr:col>
          <xdr:colOff>480060</xdr:colOff>
          <xdr:row>5</xdr:row>
          <xdr:rowOff>76200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6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Greeks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163285</xdr:colOff>
      <xdr:row>2</xdr:row>
      <xdr:rowOff>19050</xdr:rowOff>
    </xdr:from>
    <xdr:to>
      <xdr:col>36</xdr:col>
      <xdr:colOff>419100</xdr:colOff>
      <xdr:row>25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114300</xdr:colOff>
          <xdr:row>2</xdr:row>
          <xdr:rowOff>114300</xdr:rowOff>
        </xdr:from>
        <xdr:to>
          <xdr:col>25</xdr:col>
          <xdr:colOff>830580</xdr:colOff>
          <xdr:row>5</xdr:row>
          <xdr:rowOff>99060</xdr:rowOff>
        </xdr:to>
        <xdr:sp macro="" textlink="">
          <xdr:nvSpPr>
            <xdr:cNvPr id="79896" name="Button 24" hidden="1">
              <a:extLst>
                <a:ext uri="{63B3BB69-23CF-44E3-9099-C40C66FF867C}">
                  <a14:compatExt spid="_x0000_s79896"/>
                </a:ext>
                <a:ext uri="{FF2B5EF4-FFF2-40B4-BE49-F238E27FC236}">
                  <a16:creationId xmlns:a16="http://schemas.microsoft.com/office/drawing/2014/main" id="{00000000-0008-0000-0600-00001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PayOff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99060</xdr:colOff>
          <xdr:row>5</xdr:row>
          <xdr:rowOff>175260</xdr:rowOff>
        </xdr:from>
        <xdr:to>
          <xdr:col>25</xdr:col>
          <xdr:colOff>838200</xdr:colOff>
          <xdr:row>7</xdr:row>
          <xdr:rowOff>38100</xdr:rowOff>
        </xdr:to>
        <xdr:sp macro="" textlink="">
          <xdr:nvSpPr>
            <xdr:cNvPr id="79897" name="Button 25" hidden="1">
              <a:extLst>
                <a:ext uri="{63B3BB69-23CF-44E3-9099-C40C66FF867C}">
                  <a14:compatExt spid="_x0000_s79897"/>
                </a:ext>
                <a:ext uri="{FF2B5EF4-FFF2-40B4-BE49-F238E27FC236}">
                  <a16:creationId xmlns:a16="http://schemas.microsoft.com/office/drawing/2014/main" id="{00000000-0008-0000-0600-00001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17</xdr:row>
      <xdr:rowOff>9525</xdr:rowOff>
    </xdr:from>
    <xdr:to>
      <xdr:col>7</xdr:col>
      <xdr:colOff>523567</xdr:colOff>
      <xdr:row>18</xdr:row>
      <xdr:rowOff>114263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257550"/>
          <a:ext cx="2466667" cy="295238"/>
        </a:xfrm>
        <a:prstGeom prst="rect">
          <a:avLst/>
        </a:prstGeom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6">
  <rv s="0">
    <v>https://www.bing.com/financeapi/forcetrigger?t=bnib4c&amp;q=XAMS%3aIAEX&amp;form=skydnc</v>
    <v>Learn more on Bing</v>
  </rv>
  <rv s="1">
    <v>en-GB</v>
    <v>bnib4c</v>
    <v>268435456</v>
    <v>1</v>
    <v>Powered by Refinitiv</v>
    <v>0</v>
    <v>iShrs AEX UCITS ETF EUR D (XAMS:IAEX)</v>
    <v>2</v>
    <v>3</v>
    <v>Finance</v>
    <v>4</v>
    <v>91.94</v>
    <v>70.900000000000006</v>
    <v>0.99819999999999998</v>
    <v>-0.33</v>
    <v>-3.5920000000000001E-3</v>
    <v>EUR</v>
    <v>Euronext Amsterdam</v>
    <v>XAMS</v>
    <v>3.0000000000000001E-3</v>
    <v>91.71</v>
    <v>ETF</v>
    <v>45429.425138888888</v>
    <v>0</v>
    <v>91.43</v>
    <v>625281507.11000001</v>
    <v>iShrs AEX UCITS ETF EUR D</v>
    <v>91.71</v>
    <v>91.86</v>
    <v>91.53</v>
    <v>IAEX</v>
    <v>iShrs AEX UCITS ETF EUR D (XAMS:IAEX)</v>
    <v>7780</v>
  </rv>
  <rv s="2">
    <v>1</v>
  </rv>
  <rv s="0">
    <v>https://www.bing.com/financeapi/forcetrigger?t=an1war&amp;q=XSWX%3aIAEX&amp;form=skydnc</v>
    <v>Learn more on Bing</v>
  </rv>
  <rv s="1">
    <v>en-GB</v>
    <v>an1war</v>
    <v>268435456</v>
    <v>1</v>
    <v>Powered by Refinitiv</v>
    <v>0</v>
    <v>iShrs AEX UCITS ETF EUR D (XSWX:IAEX)</v>
    <v>2</v>
    <v>3</v>
    <v>Finance</v>
    <v>4</v>
    <v>91.8</v>
    <v>70.98</v>
    <v>0.99819999999999998</v>
    <v>-0.03</v>
    <v>-3.2680000000000003E-4</v>
    <v>EUR</v>
    <v>SIX Swiss Exchange</v>
    <v>XSWX</v>
    <v>3.0000000000000001E-3</v>
    <v>91.77</v>
    <v>ETF</v>
    <v>45429.424988425926</v>
    <v>3</v>
    <v>91.77</v>
    <v>625281507.11000001</v>
    <v>iShrs AEX UCITS ETF EUR D</v>
    <v>91.77</v>
    <v>91.8</v>
    <v>91.77</v>
    <v>IAEX</v>
    <v>iShrs AEX UCITS ETF EUR D (XSWX:IAEX)</v>
    <v>2</v>
  </rv>
  <rv s="2">
    <v>4</v>
  </rv>
</rvData>
</file>

<file path=xl/richData/rdrichvaluestructure.xml><?xml version="1.0" encoding="utf-8"?>
<rvStructures xmlns="http://schemas.microsoft.com/office/spreadsheetml/2017/richdata" count="3"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Beta"/>
    <k n="Change"/>
    <k n="Change (%)"/>
    <k n="Currency" t="s"/>
    <k n="Exchange" t="s"/>
    <k n="Exchange abbreviation" t="s"/>
    <k n="Expense ratio"/>
    <k n="High"/>
    <k n="Instrument type" t="s"/>
    <k n="Last trade time"/>
    <k n="LearnMoreOnLink" t="r"/>
    <k n="Low"/>
    <k n="Market cap"/>
    <k n="Name" t="s"/>
    <k n="Open"/>
    <k n="Previous close"/>
    <k n="Price"/>
    <k n="Ticker symbol" t="s"/>
    <k n="UniqueName" t="s"/>
    <k n="Volume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33">
      <v t="s">%EntityServiceId</v>
      <v t="s">_Format</v>
      <v t="s">%IsRefreshable</v>
      <v t="s">%EntityCulture</v>
      <v t="s">%EntityId</v>
      <v t="s">_Icon</v>
      <v t="s">_Display</v>
      <v t="s">Name</v>
      <v t="s">_SubLabel</v>
      <v t="s">Price</v>
      <v t="s">Exchange</v>
      <v t="s">Last trade time</v>
      <v t="s">Ticker symbol</v>
      <v t="s">Exchange abbreviation</v>
      <v t="s">Change</v>
      <v t="s">Expense ratio</v>
      <v t="s">Change (%)</v>
      <v t="s">Currency</v>
      <v t="s">Previous close</v>
      <v t="s">Open</v>
      <v t="s">High</v>
      <v t="s">Low</v>
      <v t="s">52 week high</v>
      <v t="s">52 week low</v>
      <v t="s">Volume</v>
      <v t="s">Market cap</v>
      <v t="s">Beta</v>
      <v t="s">Instrument type</v>
      <v t="s">_Flags</v>
      <v t="s">UniqueName</v>
      <v t="s">_DisplayString</v>
      <v t="s">LearnMoreOnLink</v>
      <v t="s">%ProviderInfo</v>
    </a>
  </spbArrays>
  <spbData count="5">
    <spb s="0">
      <v>0</v>
      <v>Name</v>
      <v>LearnMoreOnLink</v>
    </spb>
    <spb s="1">
      <v>0</v>
      <v>0</v>
      <v>0</v>
    </spb>
    <spb s="2">
      <v>1</v>
      <v>1</v>
      <v>1</v>
    </spb>
    <spb s="3">
      <v>1</v>
      <v>2</v>
      <v>1</v>
      <v>3</v>
      <v>1</v>
      <v>1</v>
      <v>1</v>
      <v>4</v>
      <v>5</v>
      <v>6</v>
      <v>1</v>
      <v>1</v>
      <v>5</v>
      <v>1</v>
      <v>7</v>
      <v>8</v>
    </spb>
    <spb s="4">
      <v>Delayed 15 minutes</v>
      <v>from previous close</v>
      <v>from previous close</v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  <k n="SubTitleProperty" t="s"/>
  </s>
  <s>
    <k n="ShowInCardView" t="b"/>
    <k n="ShowInDotNotation" t="b"/>
    <k n="ShowInAutoComplete" t="b"/>
  </s>
  <s>
    <k n="UniqueName" t="spb"/>
    <k n="`%ProviderInfo" t="spb"/>
    <k n="LearnMoreOnLink" t="spb"/>
  </s>
  <s>
    <k n="Low" t="i"/>
    <k n="Beta" t="i"/>
    <k n="High" t="i"/>
    <k n="Name" t="i"/>
    <k n="Open" t="i"/>
    <k n="Price" t="i"/>
    <k n="Change" t="i"/>
    <k n="Volume" t="i"/>
    <k n="Change (%)" t="i"/>
    <k n="Market cap" t="i"/>
    <k n="52 week low" t="i"/>
    <k n="52 week high" t="i"/>
    <k n="Expense ratio" t="i"/>
    <k n="Previous close" t="i"/>
    <k n="Last trade time" t="i"/>
    <k n="`%EntityServiceId" t="i"/>
  </s>
  <s>
    <k n="Price" t="s"/>
    <k n="Change" t="s"/>
    <k n="Change (%)" t="s"/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6">
    <x:dxf>
      <x:numFmt numFmtId="4" formatCode="#,##0.00"/>
    </x:dxf>
    <x:dxf>
      <x:numFmt numFmtId="3" formatCode="#,##0"/>
    </x:dxf>
    <x:dxf>
      <x:numFmt numFmtId="14" formatCode="0.00%"/>
    </x:dxf>
    <x:dxf>
      <x:numFmt numFmtId="27" formatCode="dd/mm/yyyy\ hh:mm"/>
    </x:dxf>
    <x:dxf>
      <x:numFmt numFmtId="2" formatCode="0.00"/>
    </x:dxf>
    <x:dxf>
      <x:numFmt numFmtId="0" formatCode="General"/>
    </x:dxf>
  </dxfs>
  <richProperties>
    <rPr n="NumberFormat" t="s"/>
    <rPr n="IsTitleField" t="b"/>
  </richProperties>
  <richStyles>
    <rSty dxfid="5">
      <rpv i="0">_([$€-x-euro2] * #,##0.00_);_([$€-x-euro2] * (#,##0.00);_([$€-x-euro2] * "-"??_);_(@_)</rpv>
    </rSty>
    <rSty dxfid="0">
      <rpv i="0">#,##0.00</rpv>
    </rSty>
    <rSty>
      <rpv i="1">1</rpv>
    </rSty>
    <rSty dxfid="1">
      <rpv i="0">#,##0</rpv>
    </rSty>
    <rSty dxfid="2"/>
    <rSty dxfid="5">
      <rpv i="0">_([$€-x-euro2] * #,##0_);_([$€-x-euro2] * (#,##0);_([$€-x-euro2] * "-"_);_(@_)</rpv>
    </rSty>
    <rSty dxfid="3"/>
    <rSty dxfid="4">
      <rpv i="0">0.00</rpv>
    </rSty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2FDE9-8C00-45E8-AA96-E1182FA5EE26}">
  <sheetPr codeName="Sheet3"/>
  <dimension ref="C2:K30"/>
  <sheetViews>
    <sheetView workbookViewId="0">
      <selection activeCell="D6" sqref="D6"/>
    </sheetView>
  </sheetViews>
  <sheetFormatPr defaultColWidth="8.88671875" defaultRowHeight="14.4" x14ac:dyDescent="0.3"/>
  <cols>
    <col min="1" max="2" width="8.88671875" style="85"/>
    <col min="3" max="3" width="29" style="85" customWidth="1"/>
    <col min="4" max="4" width="12.88671875" style="85" customWidth="1"/>
    <col min="5" max="5" width="10.6640625" style="85" customWidth="1"/>
    <col min="6" max="6" width="8.88671875" style="85"/>
    <col min="7" max="7" width="10" style="85" bestFit="1" customWidth="1"/>
    <col min="8" max="16384" width="8.88671875" style="85"/>
  </cols>
  <sheetData>
    <row r="2" spans="3:6" x14ac:dyDescent="0.3">
      <c r="C2" s="85" t="s">
        <v>50</v>
      </c>
      <c r="D2" s="86" t="s">
        <v>48</v>
      </c>
    </row>
    <row r="3" spans="3:6" x14ac:dyDescent="0.3">
      <c r="C3" s="85" t="s">
        <v>51</v>
      </c>
      <c r="D3" s="86">
        <f>_xlfn.NUMBERVALUE(D2)</f>
        <v>365.25</v>
      </c>
    </row>
    <row r="4" spans="3:6" x14ac:dyDescent="0.3">
      <c r="C4" s="85" t="s">
        <v>2</v>
      </c>
      <c r="D4" s="85" t="s">
        <v>4</v>
      </c>
      <c r="E4" s="85" t="s">
        <v>8</v>
      </c>
    </row>
    <row r="5" spans="3:6" x14ac:dyDescent="0.3">
      <c r="C5" s="85" t="s">
        <v>24</v>
      </c>
      <c r="D5" s="87">
        <v>0</v>
      </c>
    </row>
    <row r="8" spans="3:6" x14ac:dyDescent="0.3">
      <c r="C8" s="85">
        <v>0</v>
      </c>
      <c r="D8" s="85" t="s">
        <v>10</v>
      </c>
    </row>
    <row r="9" spans="3:6" x14ac:dyDescent="0.3">
      <c r="C9" s="85">
        <v>1</v>
      </c>
      <c r="D9" s="85" t="s">
        <v>17</v>
      </c>
    </row>
    <row r="10" spans="3:6" x14ac:dyDescent="0.3">
      <c r="C10" s="85">
        <v>2</v>
      </c>
      <c r="D10" s="85" t="s">
        <v>16</v>
      </c>
    </row>
    <row r="11" spans="3:6" x14ac:dyDescent="0.3">
      <c r="C11" s="85">
        <v>3</v>
      </c>
      <c r="D11" s="85" t="s">
        <v>20</v>
      </c>
    </row>
    <row r="12" spans="3:6" x14ac:dyDescent="0.3">
      <c r="C12" s="85">
        <v>4</v>
      </c>
      <c r="D12" s="85" t="s">
        <v>6</v>
      </c>
    </row>
    <row r="13" spans="3:6" x14ac:dyDescent="0.3">
      <c r="C13" s="85">
        <v>5</v>
      </c>
      <c r="D13" s="85" t="s">
        <v>21</v>
      </c>
    </row>
    <row r="15" spans="3:6" x14ac:dyDescent="0.3">
      <c r="C15" s="85" t="s">
        <v>38</v>
      </c>
      <c r="D15" s="85" t="s">
        <v>40</v>
      </c>
      <c r="E15" s="85" t="s">
        <v>39</v>
      </c>
    </row>
    <row r="16" spans="3:6" x14ac:dyDescent="0.3">
      <c r="C16" s="85" t="s">
        <v>1</v>
      </c>
      <c r="D16" s="85" t="s">
        <v>5</v>
      </c>
      <c r="E16" s="85" t="s">
        <v>7</v>
      </c>
      <c r="F16" s="85" t="s">
        <v>75</v>
      </c>
    </row>
    <row r="18" spans="3:11" x14ac:dyDescent="0.3">
      <c r="C18" s="85" t="s">
        <v>49</v>
      </c>
      <c r="D18" s="85" t="s">
        <v>52</v>
      </c>
      <c r="E18" s="85" t="s">
        <v>55</v>
      </c>
      <c r="F18" s="85" t="s">
        <v>56</v>
      </c>
      <c r="G18" s="85" t="s">
        <v>57</v>
      </c>
      <c r="H18" s="85" t="s">
        <v>60</v>
      </c>
      <c r="I18" s="85" t="s">
        <v>61</v>
      </c>
      <c r="J18" s="85" t="s">
        <v>98</v>
      </c>
      <c r="K18" s="85" t="s">
        <v>99</v>
      </c>
    </row>
    <row r="20" spans="3:11" x14ac:dyDescent="0.3">
      <c r="C20" s="85" t="s">
        <v>80</v>
      </c>
      <c r="D20" s="85" t="b">
        <f>TRUE</f>
        <v>1</v>
      </c>
      <c r="E20" s="85" t="b">
        <f>FALSE</f>
        <v>0</v>
      </c>
    </row>
    <row r="22" spans="3:11" x14ac:dyDescent="0.3">
      <c r="C22" s="85" t="s">
        <v>82</v>
      </c>
      <c r="D22" s="85" t="b">
        <f>FALSE</f>
        <v>0</v>
      </c>
      <c r="E22" s="85" t="s">
        <v>17</v>
      </c>
      <c r="F22" s="85" t="s">
        <v>16</v>
      </c>
      <c r="G22" s="85" t="s">
        <v>20</v>
      </c>
      <c r="H22" s="85" t="s">
        <v>15</v>
      </c>
      <c r="I22" s="85" t="s">
        <v>21</v>
      </c>
    </row>
    <row r="24" spans="3:11" x14ac:dyDescent="0.3">
      <c r="C24" s="85" t="s">
        <v>94</v>
      </c>
      <c r="D24" s="85" t="b">
        <f>TRUE</f>
        <v>1</v>
      </c>
      <c r="E24" s="85" t="b">
        <f>FALSE</f>
        <v>0</v>
      </c>
    </row>
    <row r="26" spans="3:11" x14ac:dyDescent="0.3">
      <c r="C26" s="85" t="s">
        <v>119</v>
      </c>
      <c r="D26" s="85" t="b">
        <v>1</v>
      </c>
    </row>
    <row r="27" spans="3:11" x14ac:dyDescent="0.3">
      <c r="C27" s="85" t="s">
        <v>118</v>
      </c>
      <c r="D27" s="85" t="b">
        <v>1</v>
      </c>
    </row>
    <row r="29" spans="3:11" x14ac:dyDescent="0.3">
      <c r="C29" s="85" t="s">
        <v>120</v>
      </c>
      <c r="D29" s="85" t="s">
        <v>95</v>
      </c>
      <c r="E29" s="85" t="s">
        <v>96</v>
      </c>
      <c r="F29" s="85" t="s">
        <v>121</v>
      </c>
    </row>
    <row r="30" spans="3:11" x14ac:dyDescent="0.3">
      <c r="C30" s="85" t="s">
        <v>122</v>
      </c>
      <c r="D30" s="85" t="str" cm="1">
        <f t="array" ref="D30">IF(Trader!$K$3,'Assumptions &amp; Lists'!$D$29:$F$29,'Assumptions &amp; Lists'!$F$29)</f>
        <v>All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CC3E8-9CA5-475C-A981-7677CAC493F3}">
  <sheetPr codeName="Sheet4"/>
  <dimension ref="A1:AA1312"/>
  <sheetViews>
    <sheetView zoomScaleNormal="100" workbookViewId="0">
      <selection activeCell="C3" sqref="C3"/>
    </sheetView>
  </sheetViews>
  <sheetFormatPr defaultColWidth="8.88671875" defaultRowHeight="14.4" x14ac:dyDescent="0.3"/>
  <cols>
    <col min="1" max="1" width="8.88671875" style="188"/>
    <col min="2" max="2" width="10.5546875" style="239" bestFit="1" customWidth="1"/>
    <col min="3" max="3" width="21.6640625" style="240" customWidth="1"/>
    <col min="4" max="4" width="13.5546875" style="240" customWidth="1"/>
    <col min="5" max="5" width="10.6640625" style="255" customWidth="1"/>
    <col min="6" max="6" width="11.33203125" style="245" bestFit="1" customWidth="1"/>
    <col min="7" max="7" width="11.33203125" style="242" bestFit="1" customWidth="1"/>
    <col min="8" max="8" width="11.33203125" style="240" bestFit="1" customWidth="1"/>
    <col min="9" max="9" width="11.88671875" style="240" bestFit="1" customWidth="1"/>
    <col min="10" max="10" width="16.6640625" style="243" customWidth="1"/>
    <col min="11" max="12" width="11.33203125" style="240" bestFit="1" customWidth="1"/>
    <col min="13" max="13" width="11.33203125" style="244" bestFit="1" customWidth="1"/>
    <col min="14" max="15" width="11.33203125" style="245" bestFit="1" customWidth="1"/>
    <col min="16" max="17" width="11.33203125" style="240" bestFit="1" customWidth="1"/>
    <col min="18" max="18" width="11.33203125" style="237" bestFit="1" customWidth="1"/>
    <col min="19" max="19" width="8.88671875" style="189"/>
    <col min="20" max="20" width="17.33203125" style="189" bestFit="1" customWidth="1"/>
    <col min="21" max="21" width="9.88671875" style="189" bestFit="1" customWidth="1"/>
    <col min="22" max="22" width="10.5546875" style="189" bestFit="1" customWidth="1"/>
    <col min="23" max="23" width="12.44140625" style="189" bestFit="1" customWidth="1"/>
    <col min="24" max="24" width="13.33203125" style="189" customWidth="1"/>
    <col min="25" max="25" width="13.5546875" style="189" bestFit="1" customWidth="1"/>
    <col min="26" max="26" width="16.5546875" style="189" bestFit="1" customWidth="1"/>
    <col min="27" max="27" width="14.33203125" style="189" bestFit="1" customWidth="1"/>
    <col min="28" max="16384" width="8.88671875" style="189"/>
  </cols>
  <sheetData>
    <row r="1" spans="1:27" x14ac:dyDescent="0.3">
      <c r="B1" s="189"/>
      <c r="C1" s="189"/>
      <c r="D1" s="189"/>
      <c r="E1" s="189"/>
      <c r="F1" s="189"/>
      <c r="G1" s="189"/>
      <c r="H1" s="189"/>
      <c r="I1" s="189"/>
      <c r="J1" s="190"/>
      <c r="K1" s="189"/>
      <c r="L1" s="189"/>
      <c r="M1" s="189"/>
      <c r="N1" s="189"/>
      <c r="O1" s="189"/>
      <c r="P1" s="189"/>
      <c r="Q1" s="189"/>
      <c r="R1" s="189"/>
    </row>
    <row r="2" spans="1:27" ht="15" thickBot="1" x14ac:dyDescent="0.35">
      <c r="A2" s="191"/>
      <c r="B2" s="190"/>
      <c r="C2" s="191"/>
      <c r="D2" s="190"/>
      <c r="E2" s="191"/>
      <c r="F2" s="190"/>
      <c r="G2" s="191"/>
      <c r="H2" s="190"/>
      <c r="I2" s="191"/>
      <c r="J2" s="190"/>
      <c r="K2" s="191"/>
      <c r="L2" s="190"/>
      <c r="M2" s="191"/>
      <c r="N2" s="190"/>
      <c r="O2" s="191"/>
      <c r="P2" s="191"/>
      <c r="Q2" s="190"/>
      <c r="R2" s="191"/>
    </row>
    <row r="3" spans="1:27" x14ac:dyDescent="0.3">
      <c r="B3" s="192" t="s">
        <v>9</v>
      </c>
      <c r="C3" s="193" t="e" vm="1">
        <v>#VALUE!</v>
      </c>
      <c r="D3" s="194" t="s">
        <v>26</v>
      </c>
      <c r="E3" s="195">
        <f ca="1">MAX(0.5%,risk_free-inflation)</f>
        <v>7.2765475431478422E-3</v>
      </c>
      <c r="F3" s="196"/>
      <c r="G3" s="197">
        <v>0.17</v>
      </c>
      <c r="H3" s="198"/>
      <c r="I3" s="189"/>
      <c r="J3" s="199"/>
      <c r="K3" s="189" t="b">
        <f>FALSE</f>
        <v>0</v>
      </c>
      <c r="L3" s="189" t="b">
        <f>FALSE</f>
        <v>0</v>
      </c>
      <c r="M3" s="189"/>
      <c r="N3" s="189"/>
      <c r="O3" s="189"/>
      <c r="P3" s="189"/>
      <c r="Q3" s="189"/>
      <c r="R3" s="189"/>
    </row>
    <row r="4" spans="1:27" x14ac:dyDescent="0.3">
      <c r="B4" s="200" t="s">
        <v>10</v>
      </c>
      <c r="C4" s="201">
        <v>737.74</v>
      </c>
      <c r="D4" s="189" t="s">
        <v>11</v>
      </c>
      <c r="E4" s="202">
        <v>0</v>
      </c>
      <c r="F4" s="203"/>
      <c r="G4" s="204"/>
      <c r="H4" s="205"/>
      <c r="I4" s="189"/>
      <c r="J4" s="199">
        <f>inflation</f>
        <v>0</v>
      </c>
      <c r="K4" s="189"/>
      <c r="L4" s="189"/>
      <c r="M4" s="189"/>
      <c r="N4" s="189"/>
      <c r="O4" s="189"/>
      <c r="P4" s="189"/>
      <c r="Q4" s="189"/>
      <c r="R4" s="189"/>
    </row>
    <row r="5" spans="1:27" x14ac:dyDescent="0.3">
      <c r="B5" s="200" t="s">
        <v>12</v>
      </c>
      <c r="C5" s="206">
        <v>45065.729166666664</v>
      </c>
      <c r="D5" s="189" t="s">
        <v>2</v>
      </c>
      <c r="E5" s="207" t="s">
        <v>8</v>
      </c>
      <c r="F5" s="203"/>
      <c r="G5" s="204"/>
      <c r="H5" s="205"/>
      <c r="I5" s="189"/>
      <c r="J5" s="208"/>
      <c r="K5" s="189"/>
      <c r="L5" s="189"/>
      <c r="M5" s="189"/>
      <c r="N5" s="189"/>
      <c r="O5" s="189"/>
      <c r="P5" s="189"/>
      <c r="Q5" s="189"/>
      <c r="R5" s="189"/>
    </row>
    <row r="6" spans="1:27" ht="15" thickBot="1" x14ac:dyDescent="0.35">
      <c r="B6" s="209" t="s">
        <v>25</v>
      </c>
      <c r="C6" s="210">
        <f ca="1">(C5-NOW())/days_yr</f>
        <v>-1.1889769348746495</v>
      </c>
      <c r="D6" s="211" t="s">
        <v>27</v>
      </c>
      <c r="E6" s="212">
        <v>25</v>
      </c>
      <c r="F6" s="213"/>
      <c r="G6" s="214"/>
      <c r="H6" s="215"/>
      <c r="I6" s="189"/>
      <c r="J6" s="216"/>
      <c r="K6" s="189"/>
      <c r="L6" s="217"/>
      <c r="M6" s="189"/>
      <c r="N6" s="189"/>
      <c r="O6" s="189"/>
      <c r="P6" s="189"/>
      <c r="Q6" s="189"/>
      <c r="R6" s="189"/>
    </row>
    <row r="7" spans="1:27" s="219" customFormat="1" ht="15" thickBot="1" x14ac:dyDescent="0.35">
      <c r="A7" s="218"/>
      <c r="C7" s="220"/>
      <c r="D7" s="221"/>
      <c r="J7" s="222"/>
      <c r="K7" s="223"/>
      <c r="L7" s="217"/>
      <c r="Y7" s="224">
        <v>-1.4999999999999999E-2</v>
      </c>
      <c r="Z7" s="225" t="s">
        <v>13</v>
      </c>
      <c r="AA7" s="226">
        <f ca="1">IFERROR((AA9/100)/Y10,1.5%)</f>
        <v>7.2765475431478422E-3</v>
      </c>
    </row>
    <row r="8" spans="1:27" x14ac:dyDescent="0.3">
      <c r="B8" s="260" t="s">
        <v>7</v>
      </c>
      <c r="C8" s="261"/>
      <c r="D8" s="261"/>
      <c r="E8" s="261"/>
      <c r="F8" s="261"/>
      <c r="G8" s="261"/>
      <c r="H8" s="261"/>
      <c r="I8" s="261"/>
      <c r="J8" s="263" t="s">
        <v>0</v>
      </c>
      <c r="K8" s="261" t="s">
        <v>5</v>
      </c>
      <c r="L8" s="261"/>
      <c r="M8" s="261"/>
      <c r="N8" s="261"/>
      <c r="O8" s="261"/>
      <c r="P8" s="261"/>
      <c r="Q8" s="261"/>
      <c r="R8" s="262"/>
      <c r="T8" s="227"/>
      <c r="U8" s="228" t="s">
        <v>28</v>
      </c>
      <c r="V8" s="228" t="s">
        <v>29</v>
      </c>
      <c r="W8" s="229" t="s">
        <v>30</v>
      </c>
      <c r="X8" s="228" t="s">
        <v>14</v>
      </c>
      <c r="Y8" s="229" t="s">
        <v>31</v>
      </c>
      <c r="Z8" s="228" t="s">
        <v>32</v>
      </c>
      <c r="AA8" s="230" t="s">
        <v>33</v>
      </c>
    </row>
    <row r="9" spans="1:27" x14ac:dyDescent="0.3">
      <c r="B9" s="231" t="s">
        <v>34</v>
      </c>
      <c r="C9" s="232" t="s">
        <v>15</v>
      </c>
      <c r="D9" s="232" t="s">
        <v>35</v>
      </c>
      <c r="E9" s="232" t="s">
        <v>16</v>
      </c>
      <c r="F9" s="232" t="s">
        <v>17</v>
      </c>
      <c r="G9" s="232" t="s">
        <v>46</v>
      </c>
      <c r="H9" s="232" t="s">
        <v>18</v>
      </c>
      <c r="I9" s="232" t="s">
        <v>19</v>
      </c>
      <c r="J9" s="264"/>
      <c r="K9" s="232" t="s">
        <v>19</v>
      </c>
      <c r="L9" s="232" t="s">
        <v>18</v>
      </c>
      <c r="M9" s="232" t="s">
        <v>47</v>
      </c>
      <c r="N9" s="232" t="s">
        <v>17</v>
      </c>
      <c r="O9" s="232" t="s">
        <v>16</v>
      </c>
      <c r="P9" s="232" t="s">
        <v>20</v>
      </c>
      <c r="Q9" s="232" t="s">
        <v>15</v>
      </c>
      <c r="R9" s="233" t="s">
        <v>21</v>
      </c>
      <c r="T9" s="234" t="s">
        <v>0</v>
      </c>
      <c r="U9" s="235">
        <f>MROUND(C4,5)</f>
        <v>740</v>
      </c>
      <c r="V9" s="235">
        <f>U9</f>
        <v>740</v>
      </c>
      <c r="W9" s="235"/>
      <c r="X9" s="235"/>
      <c r="Y9" s="235" t="s">
        <v>36</v>
      </c>
      <c r="Z9" s="236" t="s">
        <v>22</v>
      </c>
      <c r="AA9" s="237">
        <f ca="1">MIN(AA12:AA100001)</f>
        <v>541.28272510727152</v>
      </c>
    </row>
    <row r="10" spans="1:27" x14ac:dyDescent="0.3">
      <c r="A10" s="238"/>
      <c r="B10" s="239">
        <v>1.0290701121617758</v>
      </c>
      <c r="C10" s="240">
        <v>-3.8880434795487417E-2</v>
      </c>
      <c r="D10" s="240">
        <v>0</v>
      </c>
      <c r="E10" s="241">
        <v>0</v>
      </c>
      <c r="F10" s="241">
        <v>1</v>
      </c>
      <c r="G10" s="242">
        <v>4.8828125E-4</v>
      </c>
      <c r="H10" s="240">
        <v>69.45</v>
      </c>
      <c r="I10" s="240">
        <v>68.45</v>
      </c>
      <c r="J10" s="243">
        <v>670</v>
      </c>
      <c r="K10" s="240">
        <v>5.9</v>
      </c>
      <c r="L10" s="240">
        <v>6.5</v>
      </c>
      <c r="M10" s="244">
        <v>0.25927734375</v>
      </c>
      <c r="N10" s="245">
        <v>-0.15172870938428451</v>
      </c>
      <c r="O10" s="245">
        <v>3.1277497550773027E-3</v>
      </c>
      <c r="P10" s="240">
        <v>0.68066344451126914</v>
      </c>
      <c r="Q10" s="240">
        <v>-0.14989623473680069</v>
      </c>
      <c r="R10" s="237">
        <v>-0.18003391652248979</v>
      </c>
      <c r="S10" s="245"/>
      <c r="T10" s="234" t="s">
        <v>10</v>
      </c>
      <c r="U10" s="246">
        <f>INDEX(H10:H1048576,MATCH(U$9,J10:J1048576,0))</f>
        <v>18.25</v>
      </c>
      <c r="V10" s="246">
        <f>INDEX(K10:K1048576,MATCH(V$9,J10:J1048576,0))</f>
        <v>24.4</v>
      </c>
      <c r="W10" s="246">
        <f>$C$4</f>
        <v>737.74</v>
      </c>
      <c r="X10" s="247"/>
      <c r="Y10" s="248">
        <f>W10+V10-U10-2*U11/100</f>
        <v>743.87299999999993</v>
      </c>
      <c r="Z10" s="249" t="s">
        <v>23</v>
      </c>
      <c r="AA10" s="250">
        <f ca="1">MAX(AA12:AA1048576)</f>
        <v>541.28272510728004</v>
      </c>
    </row>
    <row r="11" spans="1:27" x14ac:dyDescent="0.3">
      <c r="A11" s="238"/>
      <c r="B11" s="239">
        <v>1.0367497398646037</v>
      </c>
      <c r="C11" s="240">
        <v>-3.9170587293938297E-2</v>
      </c>
      <c r="D11" s="240">
        <v>0</v>
      </c>
      <c r="E11" s="241">
        <v>0</v>
      </c>
      <c r="F11" s="241">
        <v>1</v>
      </c>
      <c r="G11" s="242">
        <v>4.8828125E-4</v>
      </c>
      <c r="H11" s="240">
        <v>65.25</v>
      </c>
      <c r="I11" s="240">
        <v>64.150000000000006</v>
      </c>
      <c r="J11" s="243">
        <v>675</v>
      </c>
      <c r="K11" s="240">
        <v>6.5</v>
      </c>
      <c r="L11" s="240">
        <v>7.15</v>
      </c>
      <c r="M11" s="244">
        <v>0.25537109375</v>
      </c>
      <c r="N11" s="245">
        <v>-0.16624667835500317</v>
      </c>
      <c r="O11" s="245">
        <v>3.3715832387444925E-3</v>
      </c>
      <c r="P11" s="240">
        <v>0.72267242277858368</v>
      </c>
      <c r="Q11" s="240">
        <v>-0.1564813630769919</v>
      </c>
      <c r="R11" s="237">
        <v>-0.1973763467415921</v>
      </c>
      <c r="S11" s="245"/>
      <c r="T11" s="251" t="s">
        <v>37</v>
      </c>
      <c r="U11" s="252">
        <v>0.85</v>
      </c>
      <c r="V11" s="252">
        <v>0.85</v>
      </c>
      <c r="W11" s="252">
        <v>0</v>
      </c>
      <c r="X11" s="253"/>
      <c r="Y11" s="253"/>
      <c r="Z11" s="253"/>
      <c r="AA11" s="233"/>
    </row>
    <row r="12" spans="1:27" x14ac:dyDescent="0.3">
      <c r="A12" s="238"/>
      <c r="B12" s="239">
        <v>1.0054376841148951</v>
      </c>
      <c r="C12" s="240">
        <v>-6.16399499444924E-2</v>
      </c>
      <c r="D12" s="240">
        <v>0.22314646244256994</v>
      </c>
      <c r="E12" s="241">
        <v>2.2043834701487458E-3</v>
      </c>
      <c r="F12" s="241">
        <v>0.96513612777484237</v>
      </c>
      <c r="G12" s="242">
        <v>0.12060546875</v>
      </c>
      <c r="H12" s="240">
        <v>60.95</v>
      </c>
      <c r="I12" s="240">
        <v>59.95</v>
      </c>
      <c r="J12" s="243">
        <v>680</v>
      </c>
      <c r="K12" s="240">
        <v>7.25</v>
      </c>
      <c r="L12" s="240">
        <v>7.9</v>
      </c>
      <c r="M12" s="244">
        <v>0.25146484375</v>
      </c>
      <c r="N12" s="245">
        <v>-0.181971452871457</v>
      </c>
      <c r="O12" s="245">
        <v>3.6264613182015746E-3</v>
      </c>
      <c r="P12" s="240">
        <v>0.76541361971065836</v>
      </c>
      <c r="Q12" s="240">
        <v>-0.16288576618603656</v>
      </c>
      <c r="R12" s="237">
        <v>-0.21618203582195861</v>
      </c>
      <c r="S12" s="245"/>
      <c r="T12" s="254">
        <v>0</v>
      </c>
      <c r="U12" s="248">
        <f>MAX(0,T12-$U$9)-$U$10-$U$11/100</f>
        <v>-18.258500000000002</v>
      </c>
      <c r="V12" s="248">
        <f>$V$10-MAX(0,$V$9-T12)-$V$11/100</f>
        <v>-715.60850000000005</v>
      </c>
      <c r="W12" s="248">
        <f>$W$10-T12</f>
        <v>737.74</v>
      </c>
      <c r="X12" s="248">
        <f>SUM(U12:W12)</f>
        <v>3.8729999999999336</v>
      </c>
      <c r="Y12" s="248">
        <f t="shared" ref="Y12:Y75" ca="1" si="0">$Y$10*EXP($Y$7*$C$6)-$Y$10</f>
        <v>13.385727699892982</v>
      </c>
      <c r="Z12" s="248">
        <f ca="1">EXP(-$E$3*$C$6)*SUM(X12:Y12)</f>
        <v>5.4128289443844091</v>
      </c>
      <c r="AA12" s="250">
        <f ca="1">Z12*100</f>
        <v>541.28289443844096</v>
      </c>
    </row>
    <row r="13" spans="1:27" x14ac:dyDescent="0.3">
      <c r="A13" s="238"/>
      <c r="B13" s="239">
        <v>0.96937637018993428</v>
      </c>
      <c r="C13" s="240">
        <v>-8.5617634600680503E-2</v>
      </c>
      <c r="D13" s="240">
        <v>0.4013640086796027</v>
      </c>
      <c r="E13" s="241">
        <v>3.4605576034511913E-3</v>
      </c>
      <c r="F13" s="241">
        <v>0.92708502019007788</v>
      </c>
      <c r="G13" s="242">
        <v>0.13818359375</v>
      </c>
      <c r="H13" s="240">
        <v>56.85</v>
      </c>
      <c r="I13" s="240">
        <v>55.8</v>
      </c>
      <c r="J13" s="243">
        <v>685</v>
      </c>
      <c r="K13" s="240">
        <v>8.15</v>
      </c>
      <c r="L13" s="240">
        <v>8.6999999999999993</v>
      </c>
      <c r="M13" s="244">
        <v>0.24853515625</v>
      </c>
      <c r="N13" s="245">
        <v>-0.19979302527293119</v>
      </c>
      <c r="O13" s="245">
        <v>3.8857314286041061E-3</v>
      </c>
      <c r="P13" s="240">
        <v>0.81058109333042627</v>
      </c>
      <c r="Q13" s="240">
        <v>-0.17013825755930156</v>
      </c>
      <c r="R13" s="237">
        <v>-0.23759770074173048</v>
      </c>
      <c r="T13" s="254">
        <v>1</v>
      </c>
      <c r="U13" s="248">
        <f t="shared" ref="U13:U76" si="1">MAX(0,T13-$U$9)-$U$10-$U$11/100</f>
        <v>-18.258500000000002</v>
      </c>
      <c r="V13" s="248">
        <f t="shared" ref="V13:V76" si="2">$V$10-MAX(0,$V$9-T13)-$V$11/100</f>
        <v>-714.60850000000005</v>
      </c>
      <c r="W13" s="248">
        <f t="shared" ref="W13:W76" si="3">$W$10-T13</f>
        <v>736.74</v>
      </c>
      <c r="X13" s="248">
        <f>SUM(U13:W13)</f>
        <v>3.8729999999999336</v>
      </c>
      <c r="Y13" s="248">
        <f t="shared" ca="1" si="0"/>
        <v>13.385727699892982</v>
      </c>
      <c r="Z13" s="248">
        <f t="shared" ref="Z13:Z76" ca="1" si="4">EXP(-$E$3*$C$6)*SUM(X13:Y13)</f>
        <v>5.4128289443844091</v>
      </c>
      <c r="AA13" s="250">
        <f t="shared" ref="AA13:AA76" ca="1" si="5">Z13*100</f>
        <v>541.28289443844096</v>
      </c>
    </row>
    <row r="14" spans="1:27" x14ac:dyDescent="0.3">
      <c r="A14" s="238"/>
      <c r="B14" s="239">
        <v>0.93791908276875802</v>
      </c>
      <c r="C14" s="240">
        <v>-0.10475142600500931</v>
      </c>
      <c r="D14" s="240">
        <v>0.53261167584303803</v>
      </c>
      <c r="E14" s="241">
        <v>4.3175589888052738E-3</v>
      </c>
      <c r="F14" s="241">
        <v>0.89339457048024284</v>
      </c>
      <c r="G14" s="242">
        <v>0.14697265625</v>
      </c>
      <c r="H14" s="240">
        <v>52.7</v>
      </c>
      <c r="I14" s="240">
        <v>51.75</v>
      </c>
      <c r="J14" s="243">
        <v>690</v>
      </c>
      <c r="K14" s="240">
        <v>9.1</v>
      </c>
      <c r="L14" s="240">
        <v>9.6</v>
      </c>
      <c r="M14" s="244">
        <v>0.24560546875</v>
      </c>
      <c r="N14" s="245">
        <v>-0.21891964729792179</v>
      </c>
      <c r="O14" s="245">
        <v>4.1494905927598252E-3</v>
      </c>
      <c r="P14" s="240">
        <v>0.85539887887435873</v>
      </c>
      <c r="Q14" s="240">
        <v>-0.17701889052142405</v>
      </c>
      <c r="R14" s="237">
        <v>-0.26062423443116245</v>
      </c>
      <c r="T14" s="254">
        <v>2</v>
      </c>
      <c r="U14" s="248">
        <f t="shared" si="1"/>
        <v>-18.258500000000002</v>
      </c>
      <c r="V14" s="248">
        <f t="shared" si="2"/>
        <v>-713.60850000000005</v>
      </c>
      <c r="W14" s="248">
        <f t="shared" si="3"/>
        <v>735.74</v>
      </c>
      <c r="X14" s="248">
        <f t="shared" ref="X14:X76" si="6">SUM(U14:W14)</f>
        <v>3.8729999999999336</v>
      </c>
      <c r="Y14" s="248">
        <f t="shared" ca="1" si="0"/>
        <v>13.385727699892982</v>
      </c>
      <c r="Z14" s="248">
        <f t="shared" ca="1" si="4"/>
        <v>5.4128289443844091</v>
      </c>
      <c r="AA14" s="250">
        <f t="shared" ca="1" si="5"/>
        <v>541.28289443844096</v>
      </c>
    </row>
    <row r="15" spans="1:27" x14ac:dyDescent="0.3">
      <c r="A15" s="238"/>
      <c r="B15" s="239">
        <v>0.90619565662927926</v>
      </c>
      <c r="C15" s="240">
        <v>-0.12176634682327858</v>
      </c>
      <c r="D15" s="240">
        <v>0.64574144586648263</v>
      </c>
      <c r="E15" s="241">
        <v>5.0339444286929278E-3</v>
      </c>
      <c r="F15" s="241">
        <v>0.8597097572285789</v>
      </c>
      <c r="G15" s="242">
        <v>0.15283203125</v>
      </c>
      <c r="H15" s="240">
        <v>48.75</v>
      </c>
      <c r="I15" s="240">
        <v>47.75</v>
      </c>
      <c r="J15" s="243">
        <v>695</v>
      </c>
      <c r="K15" s="240">
        <v>10.199999999999999</v>
      </c>
      <c r="L15" s="240">
        <v>10.7</v>
      </c>
      <c r="M15" s="244">
        <v>0.24365234375</v>
      </c>
      <c r="N15" s="245">
        <v>-0.2401450098706166</v>
      </c>
      <c r="O15" s="245">
        <v>4.4054245120217711E-3</v>
      </c>
      <c r="P15" s="240">
        <v>0.90093657224040302</v>
      </c>
      <c r="Q15" s="240">
        <v>-0.18450620490636993</v>
      </c>
      <c r="R15" s="237">
        <v>-0.28631714908149775</v>
      </c>
      <c r="T15" s="254">
        <v>3</v>
      </c>
      <c r="U15" s="248">
        <f t="shared" si="1"/>
        <v>-18.258500000000002</v>
      </c>
      <c r="V15" s="248">
        <f t="shared" si="2"/>
        <v>-712.60850000000005</v>
      </c>
      <c r="W15" s="248">
        <f t="shared" si="3"/>
        <v>734.74</v>
      </c>
      <c r="X15" s="248">
        <f t="shared" si="6"/>
        <v>3.8729999999999336</v>
      </c>
      <c r="Y15" s="248">
        <f t="shared" ca="1" si="0"/>
        <v>13.385727699892982</v>
      </c>
      <c r="Z15" s="248">
        <f t="shared" ca="1" si="4"/>
        <v>5.4128289443844091</v>
      </c>
      <c r="AA15" s="250">
        <f t="shared" ca="1" si="5"/>
        <v>541.28289443844096</v>
      </c>
    </row>
    <row r="16" spans="1:27" x14ac:dyDescent="0.3">
      <c r="A16" s="238"/>
      <c r="B16" s="239">
        <v>0.87555751466697984</v>
      </c>
      <c r="C16" s="240">
        <v>-0.13558285490364597</v>
      </c>
      <c r="D16" s="240">
        <v>0.74116698457558394</v>
      </c>
      <c r="E16" s="241">
        <v>5.6691699309035573E-3</v>
      </c>
      <c r="F16" s="241">
        <v>0.82707456861184192</v>
      </c>
      <c r="G16" s="242">
        <v>0.15576171875</v>
      </c>
      <c r="H16" s="240">
        <v>44.85</v>
      </c>
      <c r="I16" s="240">
        <v>43.85</v>
      </c>
      <c r="J16" s="243">
        <v>700</v>
      </c>
      <c r="K16" s="240">
        <v>11.15</v>
      </c>
      <c r="L16" s="240">
        <v>11.8</v>
      </c>
      <c r="M16" s="244">
        <v>0.23876953125</v>
      </c>
      <c r="N16" s="245">
        <v>-0.26047484190575454</v>
      </c>
      <c r="O16" s="245">
        <v>4.6934889560071441E-3</v>
      </c>
      <c r="P16" s="240">
        <v>0.94061211198446604</v>
      </c>
      <c r="Q16" s="240">
        <v>-0.18815953628131865</v>
      </c>
      <c r="R16" s="237">
        <v>-0.31070920538226687</v>
      </c>
      <c r="T16" s="254">
        <v>4</v>
      </c>
      <c r="U16" s="248">
        <f t="shared" si="1"/>
        <v>-18.258500000000002</v>
      </c>
      <c r="V16" s="248">
        <f t="shared" si="2"/>
        <v>-711.60850000000005</v>
      </c>
      <c r="W16" s="248">
        <f t="shared" si="3"/>
        <v>733.74</v>
      </c>
      <c r="X16" s="248">
        <f t="shared" si="6"/>
        <v>3.8729999999999336</v>
      </c>
      <c r="Y16" s="248">
        <f t="shared" ca="1" si="0"/>
        <v>13.385727699892982</v>
      </c>
      <c r="Z16" s="248">
        <f t="shared" ca="1" si="4"/>
        <v>5.4128289443844091</v>
      </c>
      <c r="AA16" s="250">
        <f t="shared" ca="1" si="5"/>
        <v>541.28289443844096</v>
      </c>
    </row>
    <row r="17" spans="1:27" x14ac:dyDescent="0.3">
      <c r="A17" s="238"/>
      <c r="B17" s="239">
        <v>0.84304318609326856</v>
      </c>
      <c r="C17" s="240">
        <v>-0.14788944502390677</v>
      </c>
      <c r="D17" s="240">
        <v>0.82792702828851561</v>
      </c>
      <c r="E17" s="241">
        <v>6.2543708799848432E-3</v>
      </c>
      <c r="F17" s="241">
        <v>0.7929895056955929</v>
      </c>
      <c r="G17" s="242">
        <v>0.15771484375</v>
      </c>
      <c r="H17" s="240">
        <v>41.05</v>
      </c>
      <c r="I17" s="240">
        <v>40</v>
      </c>
      <c r="J17" s="243">
        <v>705</v>
      </c>
      <c r="K17" s="240">
        <v>12.5</v>
      </c>
      <c r="L17" s="240">
        <v>12.9</v>
      </c>
      <c r="M17" s="244">
        <v>0.23583984375</v>
      </c>
      <c r="N17" s="245">
        <v>-0.28371239128587167</v>
      </c>
      <c r="O17" s="245">
        <v>4.9581030122601956E-3</v>
      </c>
      <c r="P17" s="240">
        <v>0.98145091384428274</v>
      </c>
      <c r="Q17" s="240">
        <v>-0.19327687924501902</v>
      </c>
      <c r="R17" s="237">
        <v>-0.33885348523139669</v>
      </c>
      <c r="T17" s="254">
        <v>5</v>
      </c>
      <c r="U17" s="248">
        <f t="shared" si="1"/>
        <v>-18.258500000000002</v>
      </c>
      <c r="V17" s="248">
        <f t="shared" si="2"/>
        <v>-710.60850000000005</v>
      </c>
      <c r="W17" s="248">
        <f t="shared" si="3"/>
        <v>732.74</v>
      </c>
      <c r="X17" s="248">
        <f t="shared" si="6"/>
        <v>3.8729999999999336</v>
      </c>
      <c r="Y17" s="248">
        <f t="shared" ca="1" si="0"/>
        <v>13.385727699892982</v>
      </c>
      <c r="Z17" s="248">
        <f t="shared" ca="1" si="4"/>
        <v>5.4128289443844091</v>
      </c>
      <c r="AA17" s="250">
        <f t="shared" ca="1" si="5"/>
        <v>541.28289443844096</v>
      </c>
    </row>
    <row r="18" spans="1:27" x14ac:dyDescent="0.3">
      <c r="B18" s="239">
        <v>0.8073744361468016</v>
      </c>
      <c r="C18" s="240">
        <v>-0.15941211038864367</v>
      </c>
      <c r="D18" s="240">
        <v>0.9078647209618943</v>
      </c>
      <c r="E18" s="241">
        <v>6.7743476466218845E-3</v>
      </c>
      <c r="F18" s="241">
        <v>0.75644048496199257</v>
      </c>
      <c r="G18" s="242">
        <v>0.15966796875</v>
      </c>
      <c r="H18" s="240">
        <v>37.4</v>
      </c>
      <c r="I18" s="240">
        <v>36.5</v>
      </c>
      <c r="J18" s="243">
        <v>710</v>
      </c>
      <c r="K18" s="240">
        <v>13.8</v>
      </c>
      <c r="L18" s="240">
        <v>14.2</v>
      </c>
      <c r="M18" s="244">
        <v>0.23291015625</v>
      </c>
      <c r="N18" s="245">
        <v>-0.3083203885409862</v>
      </c>
      <c r="O18" s="245">
        <v>5.2159432983467577E-3</v>
      </c>
      <c r="P18" s="240">
        <v>1.0196641443474845</v>
      </c>
      <c r="Q18" s="240">
        <v>-0.19756598805710723</v>
      </c>
      <c r="R18" s="237">
        <v>-0.36873180675570438</v>
      </c>
      <c r="T18" s="254">
        <v>6</v>
      </c>
      <c r="U18" s="248">
        <f t="shared" si="1"/>
        <v>-18.258500000000002</v>
      </c>
      <c r="V18" s="248">
        <f t="shared" si="2"/>
        <v>-709.60850000000005</v>
      </c>
      <c r="W18" s="248">
        <f t="shared" si="3"/>
        <v>731.74</v>
      </c>
      <c r="X18" s="248">
        <f t="shared" si="6"/>
        <v>3.8729999999999336</v>
      </c>
      <c r="Y18" s="248">
        <f t="shared" ca="1" si="0"/>
        <v>13.385727699892982</v>
      </c>
      <c r="Z18" s="248">
        <f t="shared" ca="1" si="4"/>
        <v>5.4128289443844091</v>
      </c>
      <c r="AA18" s="250">
        <f t="shared" ca="1" si="5"/>
        <v>541.28289443844096</v>
      </c>
    </row>
    <row r="19" spans="1:27" x14ac:dyDescent="0.3">
      <c r="B19" s="239">
        <v>0.77183879411734324</v>
      </c>
      <c r="C19" s="240">
        <v>-0.16769531471572918</v>
      </c>
      <c r="D19" s="240">
        <v>0.97516323710299391</v>
      </c>
      <c r="E19" s="241">
        <v>7.2765188775499538E-3</v>
      </c>
      <c r="F19" s="241">
        <v>0.72004632616817954</v>
      </c>
      <c r="G19" s="242">
        <v>0.15966796875</v>
      </c>
      <c r="H19" s="240">
        <v>33.85</v>
      </c>
      <c r="I19" s="240">
        <v>32.799999999999997</v>
      </c>
      <c r="J19" s="243">
        <v>715</v>
      </c>
      <c r="K19" s="240">
        <v>15.2</v>
      </c>
      <c r="L19" s="240">
        <v>15.6</v>
      </c>
      <c r="M19" s="244">
        <v>0.22900390625</v>
      </c>
      <c r="N19" s="245">
        <v>-0.33375208229330833</v>
      </c>
      <c r="O19" s="245">
        <v>5.4831216232292682E-3</v>
      </c>
      <c r="P19" s="240">
        <v>1.0539175324366956</v>
      </c>
      <c r="Q19" s="240">
        <v>-0.19988311334046216</v>
      </c>
      <c r="R19" s="237">
        <v>-0.39956439437304425</v>
      </c>
      <c r="T19" s="254">
        <v>7</v>
      </c>
      <c r="U19" s="248">
        <f t="shared" si="1"/>
        <v>-18.258500000000002</v>
      </c>
      <c r="V19" s="248">
        <f t="shared" si="2"/>
        <v>-708.60850000000005</v>
      </c>
      <c r="W19" s="248">
        <f t="shared" si="3"/>
        <v>730.74</v>
      </c>
      <c r="X19" s="248">
        <f t="shared" si="6"/>
        <v>3.8729999999999336</v>
      </c>
      <c r="Y19" s="248">
        <f t="shared" ca="1" si="0"/>
        <v>13.385727699892982</v>
      </c>
      <c r="Z19" s="248">
        <f t="shared" ca="1" si="4"/>
        <v>5.4128289443844091</v>
      </c>
      <c r="AA19" s="250">
        <f t="shared" ca="1" si="5"/>
        <v>541.28289443844096</v>
      </c>
    </row>
    <row r="20" spans="1:27" x14ac:dyDescent="0.3">
      <c r="B20" s="239">
        <v>0.73349499194705459</v>
      </c>
      <c r="C20" s="240">
        <v>-0.17466704034097802</v>
      </c>
      <c r="D20" s="240">
        <v>1.0340317662687184</v>
      </c>
      <c r="E20" s="241">
        <v>7.7157868354362216E-3</v>
      </c>
      <c r="F20" s="241">
        <v>0.68147945991518299</v>
      </c>
      <c r="G20" s="242">
        <v>0.15966796875</v>
      </c>
      <c r="H20" s="240">
        <v>30.45</v>
      </c>
      <c r="I20" s="240">
        <v>29.5</v>
      </c>
      <c r="J20" s="243">
        <v>720</v>
      </c>
      <c r="K20" s="240">
        <v>16.600000000000001</v>
      </c>
      <c r="L20" s="240">
        <v>17.350000000000001</v>
      </c>
      <c r="M20" s="244">
        <v>0.22607421875</v>
      </c>
      <c r="N20" s="245">
        <v>-0.36111081070630358</v>
      </c>
      <c r="O20" s="245">
        <v>5.7180681910296459E-3</v>
      </c>
      <c r="P20" s="240">
        <v>1.0850162151105802</v>
      </c>
      <c r="Q20" s="240">
        <v>-0.20217023391722933</v>
      </c>
      <c r="R20" s="237">
        <v>-0.43295558770762455</v>
      </c>
      <c r="T20" s="254">
        <v>8</v>
      </c>
      <c r="U20" s="248">
        <f t="shared" si="1"/>
        <v>-18.258500000000002</v>
      </c>
      <c r="V20" s="248">
        <f t="shared" si="2"/>
        <v>-707.60850000000005</v>
      </c>
      <c r="W20" s="248">
        <f t="shared" si="3"/>
        <v>729.74</v>
      </c>
      <c r="X20" s="248">
        <f t="shared" si="6"/>
        <v>3.8729999999999336</v>
      </c>
      <c r="Y20" s="248">
        <f t="shared" ca="1" si="0"/>
        <v>13.385727699892982</v>
      </c>
      <c r="Z20" s="248">
        <f t="shared" ca="1" si="4"/>
        <v>5.4128289443844091</v>
      </c>
      <c r="AA20" s="250">
        <f t="shared" ca="1" si="5"/>
        <v>541.28289443844096</v>
      </c>
    </row>
    <row r="21" spans="1:27" x14ac:dyDescent="0.3">
      <c r="B21" s="239">
        <v>0.6937321629568487</v>
      </c>
      <c r="C21" s="240">
        <v>-0.17907704324358065</v>
      </c>
      <c r="D21" s="240">
        <v>1.0819717071328385</v>
      </c>
      <c r="E21" s="241">
        <v>8.1231904615535842E-3</v>
      </c>
      <c r="F21" s="241">
        <v>0.64181315906441816</v>
      </c>
      <c r="G21" s="242">
        <v>0.15869140625</v>
      </c>
      <c r="H21" s="240">
        <v>27.15</v>
      </c>
      <c r="I21" s="240">
        <v>26.3</v>
      </c>
      <c r="J21" s="243">
        <v>725</v>
      </c>
      <c r="K21" s="240">
        <v>18.45</v>
      </c>
      <c r="L21" s="240">
        <v>18.95</v>
      </c>
      <c r="M21" s="244">
        <v>0.22314453125</v>
      </c>
      <c r="N21" s="245">
        <v>-0.38972852962093185</v>
      </c>
      <c r="O21" s="245">
        <v>5.9337371437994182E-3</v>
      </c>
      <c r="P21" s="240">
        <v>1.1113488671934864</v>
      </c>
      <c r="Q21" s="240">
        <v>-0.20327556696474858</v>
      </c>
      <c r="R21" s="237">
        <v>-0.46799490827118007</v>
      </c>
      <c r="T21" s="254">
        <v>9</v>
      </c>
      <c r="U21" s="248">
        <f t="shared" si="1"/>
        <v>-18.258500000000002</v>
      </c>
      <c r="V21" s="248">
        <f t="shared" si="2"/>
        <v>-706.60850000000005</v>
      </c>
      <c r="W21" s="248">
        <f t="shared" si="3"/>
        <v>728.74</v>
      </c>
      <c r="X21" s="248">
        <f t="shared" si="6"/>
        <v>3.8729999999999336</v>
      </c>
      <c r="Y21" s="248">
        <f t="shared" ca="1" si="0"/>
        <v>13.385727699892982</v>
      </c>
      <c r="Z21" s="248">
        <f t="shared" ca="1" si="4"/>
        <v>5.4128289443844091</v>
      </c>
      <c r="AA21" s="250">
        <f t="shared" ca="1" si="5"/>
        <v>541.28289443844096</v>
      </c>
    </row>
    <row r="22" spans="1:27" x14ac:dyDescent="0.3">
      <c r="B22" s="239">
        <v>0.65154565490911409</v>
      </c>
      <c r="C22" s="240">
        <v>-0.18177153090994125</v>
      </c>
      <c r="D22" s="240">
        <v>1.1190406181573045</v>
      </c>
      <c r="E22" s="241">
        <v>8.4535168155958698E-3</v>
      </c>
      <c r="F22" s="241">
        <v>0.60033158393972663</v>
      </c>
      <c r="G22" s="242">
        <v>0.15771484375</v>
      </c>
      <c r="H22" s="240">
        <v>24.05</v>
      </c>
      <c r="I22" s="240">
        <v>23.1</v>
      </c>
      <c r="J22" s="243">
        <v>730</v>
      </c>
      <c r="K22" s="240">
        <v>20.100000000000001</v>
      </c>
      <c r="L22" s="240">
        <v>20.85</v>
      </c>
      <c r="M22" s="244">
        <v>0.22021484375</v>
      </c>
      <c r="N22" s="245">
        <v>-0.41952083141329677</v>
      </c>
      <c r="O22" s="245">
        <v>6.1254301378595175E-3</v>
      </c>
      <c r="P22" s="240">
        <v>1.1321892843732142</v>
      </c>
      <c r="Q22" s="240">
        <v>-0.20309567347783286</v>
      </c>
      <c r="R22" s="237">
        <v>-0.50459972681977661</v>
      </c>
      <c r="T22" s="254">
        <v>10</v>
      </c>
      <c r="U22" s="248">
        <f t="shared" si="1"/>
        <v>-18.258500000000002</v>
      </c>
      <c r="V22" s="248">
        <f t="shared" si="2"/>
        <v>-705.60850000000005</v>
      </c>
      <c r="W22" s="248">
        <f t="shared" si="3"/>
        <v>727.74</v>
      </c>
      <c r="X22" s="248">
        <f t="shared" si="6"/>
        <v>3.8729999999999336</v>
      </c>
      <c r="Y22" s="248">
        <f t="shared" ca="1" si="0"/>
        <v>13.385727699892982</v>
      </c>
      <c r="Z22" s="248">
        <f t="shared" ca="1" si="4"/>
        <v>5.4128289443844091</v>
      </c>
      <c r="AA22" s="250">
        <f t="shared" ca="1" si="5"/>
        <v>541.28289443844096</v>
      </c>
    </row>
    <row r="23" spans="1:27" x14ac:dyDescent="0.3">
      <c r="B23" s="239">
        <v>0.60738692739914768</v>
      </c>
      <c r="C23" s="240">
        <v>-0.18259032991267077</v>
      </c>
      <c r="D23" s="240">
        <v>1.1437826472019952</v>
      </c>
      <c r="E23" s="241">
        <v>8.6942588017662869E-3</v>
      </c>
      <c r="F23" s="241">
        <v>0.55744971049187875</v>
      </c>
      <c r="G23" s="242">
        <v>0.15673828125</v>
      </c>
      <c r="H23" s="240">
        <v>21</v>
      </c>
      <c r="I23" s="240">
        <v>20.399999999999999</v>
      </c>
      <c r="J23" s="243">
        <v>735</v>
      </c>
      <c r="K23" s="240">
        <v>22.15</v>
      </c>
      <c r="L23" s="240">
        <v>23</v>
      </c>
      <c r="M23" s="244">
        <v>0.21728515625</v>
      </c>
      <c r="N23" s="245">
        <v>-0.45037906989348109</v>
      </c>
      <c r="O23" s="245">
        <v>6.2883284652719479E-3</v>
      </c>
      <c r="P23" s="240">
        <v>1.1468355236373753</v>
      </c>
      <c r="Q23" s="240">
        <v>-0.20154071674903662</v>
      </c>
      <c r="R23" s="237">
        <v>-0.5426594230829096</v>
      </c>
      <c r="T23" s="254">
        <v>11</v>
      </c>
      <c r="U23" s="248">
        <f t="shared" si="1"/>
        <v>-18.258500000000002</v>
      </c>
      <c r="V23" s="248">
        <f t="shared" si="2"/>
        <v>-704.60850000000005</v>
      </c>
      <c r="W23" s="248">
        <f t="shared" si="3"/>
        <v>726.74</v>
      </c>
      <c r="X23" s="248">
        <f t="shared" si="6"/>
        <v>3.8729999999999336</v>
      </c>
      <c r="Y23" s="248">
        <f t="shared" ca="1" si="0"/>
        <v>13.385727699892982</v>
      </c>
      <c r="Z23" s="248">
        <f t="shared" ca="1" si="4"/>
        <v>5.4128289443844091</v>
      </c>
      <c r="AA23" s="250">
        <f t="shared" ca="1" si="5"/>
        <v>541.28289443844096</v>
      </c>
    </row>
    <row r="24" spans="1:27" x14ac:dyDescent="0.3">
      <c r="B24" s="239">
        <v>0.56190822703950971</v>
      </c>
      <c r="C24" s="240">
        <v>-0.18043197842274594</v>
      </c>
      <c r="D24" s="240">
        <v>1.1551187960715301</v>
      </c>
      <c r="E24" s="241">
        <v>8.8912225562567705E-3</v>
      </c>
      <c r="F24" s="241">
        <v>0.5135701347604249</v>
      </c>
      <c r="G24" s="242">
        <v>0.15478515625</v>
      </c>
      <c r="H24" s="240">
        <v>18.25</v>
      </c>
      <c r="I24" s="240">
        <v>17.649999999999999</v>
      </c>
      <c r="J24" s="243">
        <v>740</v>
      </c>
      <c r="K24" s="240">
        <v>24.4</v>
      </c>
      <c r="L24" s="240">
        <v>25.15</v>
      </c>
      <c r="M24" s="244">
        <v>0.21533203125</v>
      </c>
      <c r="N24" s="245">
        <v>-0.48209758149351922</v>
      </c>
      <c r="O24" s="245">
        <v>6.3884562814439045E-3</v>
      </c>
      <c r="P24" s="240">
        <v>1.154623583634435</v>
      </c>
      <c r="Q24" s="240">
        <v>-0.19953887706162732</v>
      </c>
      <c r="R24" s="237">
        <v>-0.58214499066565395</v>
      </c>
      <c r="T24" s="254">
        <v>12</v>
      </c>
      <c r="U24" s="248">
        <f t="shared" si="1"/>
        <v>-18.258500000000002</v>
      </c>
      <c r="V24" s="248">
        <f t="shared" si="2"/>
        <v>-703.60850000000005</v>
      </c>
      <c r="W24" s="248">
        <f t="shared" si="3"/>
        <v>725.74</v>
      </c>
      <c r="X24" s="248">
        <f t="shared" si="6"/>
        <v>3.8729999999999336</v>
      </c>
      <c r="Y24" s="248">
        <f t="shared" ca="1" si="0"/>
        <v>13.385727699892982</v>
      </c>
      <c r="Z24" s="248">
        <f t="shared" ca="1" si="4"/>
        <v>5.4128289443844091</v>
      </c>
      <c r="AA24" s="250">
        <f t="shared" ca="1" si="5"/>
        <v>541.28289443844096</v>
      </c>
    </row>
    <row r="25" spans="1:27" x14ac:dyDescent="0.3">
      <c r="B25" s="239">
        <v>0.51490783487292902</v>
      </c>
      <c r="C25" s="240">
        <v>-0.17622280734019569</v>
      </c>
      <c r="D25" s="240">
        <v>1.1522304016516045</v>
      </c>
      <c r="E25" s="241">
        <v>8.9823316252864559E-3</v>
      </c>
      <c r="F25" s="241">
        <v>0.46870874808974161</v>
      </c>
      <c r="G25" s="242">
        <v>0.15283203125</v>
      </c>
      <c r="H25" s="240">
        <v>15.7</v>
      </c>
      <c r="I25" s="240">
        <v>15.1</v>
      </c>
      <c r="J25" s="243">
        <v>745</v>
      </c>
      <c r="K25" s="240">
        <v>26.8</v>
      </c>
      <c r="L25" s="240">
        <v>27.75</v>
      </c>
      <c r="M25" s="244">
        <v>0.21337890625</v>
      </c>
      <c r="N25" s="245">
        <v>-0.51429239438297469</v>
      </c>
      <c r="O25" s="245">
        <v>6.4492888339234737E-3</v>
      </c>
      <c r="P25" s="240">
        <v>1.1550457107612837</v>
      </c>
      <c r="Q25" s="240">
        <v>-0.19606595275877226</v>
      </c>
      <c r="R25" s="237">
        <v>-0.6224393320596846</v>
      </c>
      <c r="T25" s="254">
        <v>13</v>
      </c>
      <c r="U25" s="248">
        <f t="shared" si="1"/>
        <v>-18.258500000000002</v>
      </c>
      <c r="V25" s="248">
        <f t="shared" si="2"/>
        <v>-702.60850000000005</v>
      </c>
      <c r="W25" s="248">
        <f t="shared" si="3"/>
        <v>724.74</v>
      </c>
      <c r="X25" s="248">
        <f t="shared" si="6"/>
        <v>3.8729999999999336</v>
      </c>
      <c r="Y25" s="248">
        <f t="shared" ca="1" si="0"/>
        <v>13.385727699892982</v>
      </c>
      <c r="Z25" s="248">
        <f t="shared" ca="1" si="4"/>
        <v>5.4128289443844091</v>
      </c>
      <c r="AA25" s="250">
        <f t="shared" ca="1" si="5"/>
        <v>541.28289443844096</v>
      </c>
    </row>
    <row r="26" spans="1:27" x14ac:dyDescent="0.3">
      <c r="B26" s="239">
        <v>0.46698171064088001</v>
      </c>
      <c r="C26" s="240">
        <v>-0.16996653284849117</v>
      </c>
      <c r="D26" s="240">
        <v>1.1344174807095442</v>
      </c>
      <c r="E26" s="241">
        <v>8.9579477172964904E-3</v>
      </c>
      <c r="F26" s="241">
        <v>0.42340212379050679</v>
      </c>
      <c r="G26" s="242">
        <v>0.15087890625</v>
      </c>
      <c r="H26" s="240">
        <v>13.25</v>
      </c>
      <c r="I26" s="240">
        <v>12.85</v>
      </c>
      <c r="J26" s="243">
        <v>750</v>
      </c>
      <c r="K26" s="240">
        <v>29.45</v>
      </c>
      <c r="L26" s="240">
        <v>30.45</v>
      </c>
      <c r="M26" s="244">
        <v>0.21240234375</v>
      </c>
      <c r="N26" s="245">
        <v>-0.54640178542630125</v>
      </c>
      <c r="O26" s="245">
        <v>6.4391987782270099E-3</v>
      </c>
      <c r="P26" s="240">
        <v>1.1479606361431365</v>
      </c>
      <c r="Q26" s="240">
        <v>-0.1921514008736267</v>
      </c>
      <c r="R26" s="237">
        <v>-0.66310066854271099</v>
      </c>
      <c r="T26" s="254">
        <v>14</v>
      </c>
      <c r="U26" s="248">
        <f t="shared" si="1"/>
        <v>-18.258500000000002</v>
      </c>
      <c r="V26" s="248">
        <f t="shared" si="2"/>
        <v>-701.60850000000005</v>
      </c>
      <c r="W26" s="248">
        <f t="shared" si="3"/>
        <v>723.74</v>
      </c>
      <c r="X26" s="248">
        <f t="shared" si="6"/>
        <v>3.8729999999999336</v>
      </c>
      <c r="Y26" s="248">
        <f t="shared" ca="1" si="0"/>
        <v>13.385727699892982</v>
      </c>
      <c r="Z26" s="248">
        <f t="shared" ca="1" si="4"/>
        <v>5.4128289443844091</v>
      </c>
      <c r="AA26" s="250">
        <f t="shared" ca="1" si="5"/>
        <v>541.28289443844096</v>
      </c>
    </row>
    <row r="27" spans="1:27" x14ac:dyDescent="0.3">
      <c r="B27" s="239">
        <v>0.41793689774385712</v>
      </c>
      <c r="C27" s="240">
        <v>-0.16064445112471049</v>
      </c>
      <c r="D27" s="240">
        <v>1.1006914526674101</v>
      </c>
      <c r="E27" s="241">
        <v>8.863741015897866E-3</v>
      </c>
      <c r="F27" s="241">
        <v>0.3773117610297822</v>
      </c>
      <c r="G27" s="242">
        <v>0.14794921875</v>
      </c>
      <c r="H27" s="240">
        <v>11.1</v>
      </c>
      <c r="I27" s="240">
        <v>10.7</v>
      </c>
      <c r="J27" s="243">
        <v>755</v>
      </c>
      <c r="K27" s="240">
        <v>32.35</v>
      </c>
      <c r="L27" s="240">
        <v>33.299999999999997</v>
      </c>
      <c r="M27" s="244">
        <v>0.21240234375</v>
      </c>
      <c r="N27" s="245">
        <v>-0.57778715449662688</v>
      </c>
      <c r="O27" s="245">
        <v>6.3594686123626572E-3</v>
      </c>
      <c r="P27" s="240">
        <v>1.1337465863711489</v>
      </c>
      <c r="Q27" s="240">
        <v>-0.18789686818917062</v>
      </c>
      <c r="R27" s="237">
        <v>-0.70339777068261355</v>
      </c>
      <c r="T27" s="254">
        <v>15</v>
      </c>
      <c r="U27" s="248">
        <f t="shared" si="1"/>
        <v>-18.258500000000002</v>
      </c>
      <c r="V27" s="248">
        <f t="shared" si="2"/>
        <v>-700.60850000000005</v>
      </c>
      <c r="W27" s="248">
        <f t="shared" si="3"/>
        <v>722.74</v>
      </c>
      <c r="X27" s="248">
        <f t="shared" si="6"/>
        <v>3.8729999999999336</v>
      </c>
      <c r="Y27" s="248">
        <f t="shared" ca="1" si="0"/>
        <v>13.385727699892982</v>
      </c>
      <c r="Z27" s="248">
        <f t="shared" ca="1" si="4"/>
        <v>5.4128289443844091</v>
      </c>
      <c r="AA27" s="250">
        <f t="shared" ca="1" si="5"/>
        <v>541.28289443844096</v>
      </c>
    </row>
    <row r="28" spans="1:27" x14ac:dyDescent="0.3">
      <c r="B28" s="239">
        <v>0.36986911529220379</v>
      </c>
      <c r="C28" s="240">
        <v>-0.15057910180937029</v>
      </c>
      <c r="D28" s="240">
        <v>1.0525305096126056</v>
      </c>
      <c r="E28" s="241">
        <v>8.589296563067372E-3</v>
      </c>
      <c r="F28" s="241">
        <v>0.33264154112307565</v>
      </c>
      <c r="G28" s="242">
        <v>0.14599609375</v>
      </c>
      <c r="H28" s="240">
        <v>9.1999999999999993</v>
      </c>
      <c r="I28" s="240">
        <v>8.85</v>
      </c>
      <c r="J28" s="243">
        <v>760</v>
      </c>
      <c r="K28" s="240">
        <v>35.4</v>
      </c>
      <c r="L28" s="240">
        <v>36.4</v>
      </c>
      <c r="M28" s="244">
        <v>0.21142578125</v>
      </c>
      <c r="N28" s="245">
        <v>-0.60912006215100012</v>
      </c>
      <c r="O28" s="245">
        <v>6.2678635246231915E-3</v>
      </c>
      <c r="P28" s="240">
        <v>1.1122779693144509</v>
      </c>
      <c r="Q28" s="240">
        <v>-0.18128920598991272</v>
      </c>
      <c r="R28" s="237">
        <v>-0.74370931446316035</v>
      </c>
      <c r="T28" s="254">
        <v>16</v>
      </c>
      <c r="U28" s="248">
        <f t="shared" si="1"/>
        <v>-18.258500000000002</v>
      </c>
      <c r="V28" s="248">
        <f t="shared" si="2"/>
        <v>-699.60850000000005</v>
      </c>
      <c r="W28" s="248">
        <f t="shared" si="3"/>
        <v>721.74</v>
      </c>
      <c r="X28" s="248">
        <f t="shared" si="6"/>
        <v>3.8729999999999336</v>
      </c>
      <c r="Y28" s="248">
        <f t="shared" ca="1" si="0"/>
        <v>13.385727699892982</v>
      </c>
      <c r="Z28" s="248">
        <f t="shared" ca="1" si="4"/>
        <v>5.4128289443844091</v>
      </c>
      <c r="AA28" s="250">
        <f t="shared" ca="1" si="5"/>
        <v>541.28289443844096</v>
      </c>
    </row>
    <row r="29" spans="1:27" x14ac:dyDescent="0.3">
      <c r="B29" s="239">
        <v>0.32441233251745416</v>
      </c>
      <c r="C29" s="240">
        <v>-0.14017898485673186</v>
      </c>
      <c r="D29" s="240">
        <v>0.99296625885672096</v>
      </c>
      <c r="E29" s="241">
        <v>8.15778273660628E-3</v>
      </c>
      <c r="F29" s="241">
        <v>0.29079193840181722</v>
      </c>
      <c r="G29" s="242">
        <v>0.14501953125</v>
      </c>
      <c r="H29" s="240">
        <v>7.75</v>
      </c>
      <c r="I29" s="240">
        <v>7.1</v>
      </c>
      <c r="J29" s="243">
        <v>765</v>
      </c>
      <c r="K29" s="240">
        <v>38.75</v>
      </c>
      <c r="L29" s="240">
        <v>39.700000000000003</v>
      </c>
      <c r="M29" s="244">
        <v>0.21240234375</v>
      </c>
      <c r="N29" s="245">
        <v>-0.63832511660449187</v>
      </c>
      <c r="O29" s="245">
        <v>6.0893794933737731E-3</v>
      </c>
      <c r="P29" s="240">
        <v>1.0855959254693295</v>
      </c>
      <c r="Q29" s="240">
        <v>-0.17569473138939884</v>
      </c>
      <c r="R29" s="237">
        <v>-0.78221970761399007</v>
      </c>
      <c r="T29" s="254">
        <v>17</v>
      </c>
      <c r="U29" s="248">
        <f t="shared" si="1"/>
        <v>-18.258500000000002</v>
      </c>
      <c r="V29" s="248">
        <f t="shared" si="2"/>
        <v>-698.60850000000005</v>
      </c>
      <c r="W29" s="248">
        <f t="shared" si="3"/>
        <v>720.74</v>
      </c>
      <c r="X29" s="248">
        <f t="shared" si="6"/>
        <v>3.8729999999999336</v>
      </c>
      <c r="Y29" s="248">
        <f t="shared" ca="1" si="0"/>
        <v>13.385727699892982</v>
      </c>
      <c r="Z29" s="248">
        <f t="shared" ca="1" si="4"/>
        <v>5.4128289443844091</v>
      </c>
      <c r="AA29" s="250">
        <f t="shared" ca="1" si="5"/>
        <v>541.28289443844096</v>
      </c>
    </row>
    <row r="30" spans="1:27" x14ac:dyDescent="0.3">
      <c r="B30" s="239">
        <v>0.27964277329570564</v>
      </c>
      <c r="C30" s="240">
        <v>-0.12740142138298438</v>
      </c>
      <c r="D30" s="240">
        <v>0.92012206990280987</v>
      </c>
      <c r="E30" s="241">
        <v>7.6625252753136077E-3</v>
      </c>
      <c r="F30" s="241">
        <v>0.24973515015434961</v>
      </c>
      <c r="G30" s="242">
        <v>0.14306640625</v>
      </c>
      <c r="H30" s="240">
        <v>6.15</v>
      </c>
      <c r="I30" s="240">
        <v>5.8</v>
      </c>
      <c r="J30" s="243">
        <v>770</v>
      </c>
      <c r="K30" s="240">
        <v>42.3</v>
      </c>
      <c r="L30" s="240">
        <v>43.3</v>
      </c>
      <c r="M30" s="244">
        <v>0.21337890625</v>
      </c>
      <c r="N30" s="245">
        <v>-0.66630346514709804</v>
      </c>
      <c r="O30" s="245">
        <v>5.8842456072826909E-3</v>
      </c>
      <c r="P30" s="240">
        <v>1.0538483892995456</v>
      </c>
      <c r="Q30" s="240">
        <v>-0.16912917338186162</v>
      </c>
      <c r="R30" s="237">
        <v>-0.81956215340568406</v>
      </c>
      <c r="T30" s="254">
        <v>18</v>
      </c>
      <c r="U30" s="248">
        <f t="shared" si="1"/>
        <v>-18.258500000000002</v>
      </c>
      <c r="V30" s="248">
        <f t="shared" si="2"/>
        <v>-697.60850000000005</v>
      </c>
      <c r="W30" s="248">
        <f t="shared" si="3"/>
        <v>719.74</v>
      </c>
      <c r="X30" s="248">
        <f t="shared" si="6"/>
        <v>3.8729999999999336</v>
      </c>
      <c r="Y30" s="248">
        <f t="shared" ca="1" si="0"/>
        <v>13.385727699892982</v>
      </c>
      <c r="Z30" s="248">
        <f t="shared" ca="1" si="4"/>
        <v>5.4128289443844091</v>
      </c>
      <c r="AA30" s="250">
        <f t="shared" ca="1" si="5"/>
        <v>541.28289443844096</v>
      </c>
    </row>
    <row r="31" spans="1:27" x14ac:dyDescent="0.3">
      <c r="B31" s="239">
        <v>0.23736976366174645</v>
      </c>
      <c r="C31" s="240">
        <v>-0.11378286173237484</v>
      </c>
      <c r="D31" s="240">
        <v>0.83776780129996598</v>
      </c>
      <c r="E31" s="241">
        <v>7.0732647621591623E-3</v>
      </c>
      <c r="F31" s="241">
        <v>0.21120644743903655</v>
      </c>
      <c r="G31" s="242">
        <v>0.14111328125</v>
      </c>
      <c r="H31" s="240">
        <v>5.0999999999999996</v>
      </c>
      <c r="I31" s="240">
        <v>4.45</v>
      </c>
      <c r="J31" s="243">
        <v>775</v>
      </c>
      <c r="K31" s="240">
        <v>46.1</v>
      </c>
      <c r="L31" s="240">
        <v>47.05</v>
      </c>
      <c r="M31" s="244">
        <v>0.21630859375</v>
      </c>
      <c r="N31" s="245">
        <v>-0.69109695320879461</v>
      </c>
      <c r="O31" s="245">
        <v>5.6209108589427978E-3</v>
      </c>
      <c r="P31" s="240">
        <v>1.0205078070433309</v>
      </c>
      <c r="Q31" s="240">
        <v>-0.16409743210874694</v>
      </c>
      <c r="R31" s="237">
        <v>-0.85382647662930822</v>
      </c>
      <c r="T31" s="254">
        <v>19</v>
      </c>
      <c r="U31" s="248">
        <f t="shared" si="1"/>
        <v>-18.258500000000002</v>
      </c>
      <c r="V31" s="248">
        <f t="shared" si="2"/>
        <v>-696.60850000000005</v>
      </c>
      <c r="W31" s="248">
        <f t="shared" si="3"/>
        <v>718.74</v>
      </c>
      <c r="X31" s="248">
        <f t="shared" si="6"/>
        <v>3.8729999999999336</v>
      </c>
      <c r="Y31" s="248">
        <f t="shared" ca="1" si="0"/>
        <v>13.385727699892982</v>
      </c>
      <c r="Z31" s="248">
        <f t="shared" ca="1" si="4"/>
        <v>5.4128289443844091</v>
      </c>
      <c r="AA31" s="250">
        <f t="shared" ca="1" si="5"/>
        <v>541.28289443844096</v>
      </c>
    </row>
    <row r="32" spans="1:27" x14ac:dyDescent="0.3">
      <c r="B32" s="239">
        <v>0.20007598497517165</v>
      </c>
      <c r="C32" s="240">
        <v>-0.10106433856326191</v>
      </c>
      <c r="D32" s="240">
        <v>0.7534448428906414</v>
      </c>
      <c r="E32" s="241">
        <v>6.4056567126978261E-3</v>
      </c>
      <c r="F32" s="241">
        <v>0.17746358237367277</v>
      </c>
      <c r="G32" s="242">
        <v>0.14013671875</v>
      </c>
      <c r="H32" s="240">
        <v>4.0999999999999996</v>
      </c>
      <c r="I32" s="240">
        <v>3.45</v>
      </c>
      <c r="J32" s="243">
        <v>780</v>
      </c>
      <c r="K32" s="240">
        <v>50.05</v>
      </c>
      <c r="L32" s="240">
        <v>50.95</v>
      </c>
      <c r="M32" s="244">
        <v>0.21923828125</v>
      </c>
      <c r="N32" s="245">
        <v>-0.71425089521962037</v>
      </c>
      <c r="O32" s="245">
        <v>5.3517902040051525E-3</v>
      </c>
      <c r="P32" s="240">
        <v>0.98480745737752062</v>
      </c>
      <c r="Q32" s="240">
        <v>-0.15849303144875648</v>
      </c>
      <c r="R32" s="237">
        <v>-0.88639406015670374</v>
      </c>
      <c r="T32" s="254">
        <v>20</v>
      </c>
      <c r="U32" s="248">
        <f t="shared" si="1"/>
        <v>-18.258500000000002</v>
      </c>
      <c r="V32" s="248">
        <f t="shared" si="2"/>
        <v>-695.60850000000005</v>
      </c>
      <c r="W32" s="248">
        <f t="shared" si="3"/>
        <v>717.74</v>
      </c>
      <c r="X32" s="248">
        <f t="shared" si="6"/>
        <v>3.8729999999999336</v>
      </c>
      <c r="Y32" s="248">
        <f t="shared" ca="1" si="0"/>
        <v>13.385727699892982</v>
      </c>
      <c r="Z32" s="248">
        <f t="shared" ca="1" si="4"/>
        <v>5.4128289443844091</v>
      </c>
      <c r="AA32" s="250">
        <f t="shared" ca="1" si="5"/>
        <v>541.28289443844096</v>
      </c>
    </row>
    <row r="33" spans="2:27" x14ac:dyDescent="0.3">
      <c r="B33" s="239">
        <v>0.16444220617502481</v>
      </c>
      <c r="C33" s="240">
        <v>-8.702862587072957E-2</v>
      </c>
      <c r="D33" s="240">
        <v>0.66133314522429221</v>
      </c>
      <c r="E33" s="241">
        <v>5.7020096337216022E-3</v>
      </c>
      <c r="F33" s="241">
        <v>0.14533029933991784</v>
      </c>
      <c r="G33" s="242">
        <v>0.13818359375</v>
      </c>
      <c r="H33" s="240">
        <v>3.25</v>
      </c>
      <c r="I33" s="240">
        <v>2.6</v>
      </c>
      <c r="J33" s="243">
        <v>785</v>
      </c>
      <c r="K33" s="240">
        <v>54.2</v>
      </c>
      <c r="L33" s="240">
        <v>55.05</v>
      </c>
      <c r="M33" s="244">
        <v>0.22314453125</v>
      </c>
      <c r="N33" s="245">
        <v>-0.73478136927038384</v>
      </c>
      <c r="O33" s="245">
        <v>5.0687020763395358E-3</v>
      </c>
      <c r="P33" s="240">
        <v>0.94933364491341432</v>
      </c>
      <c r="Q33" s="240">
        <v>-0.15367648703136183</v>
      </c>
      <c r="R33" s="237">
        <v>-0.91628053250144603</v>
      </c>
      <c r="T33" s="254">
        <v>21</v>
      </c>
      <c r="U33" s="248">
        <f t="shared" si="1"/>
        <v>-18.258500000000002</v>
      </c>
      <c r="V33" s="248">
        <f t="shared" si="2"/>
        <v>-694.60850000000005</v>
      </c>
      <c r="W33" s="248">
        <f t="shared" si="3"/>
        <v>716.74</v>
      </c>
      <c r="X33" s="248">
        <f t="shared" si="6"/>
        <v>3.8729999999999336</v>
      </c>
      <c r="Y33" s="248">
        <f t="shared" ca="1" si="0"/>
        <v>13.385727699892982</v>
      </c>
      <c r="Z33" s="248">
        <f t="shared" ca="1" si="4"/>
        <v>5.4128289443844091</v>
      </c>
      <c r="AA33" s="250">
        <f t="shared" ca="1" si="5"/>
        <v>541.28289443844096</v>
      </c>
    </row>
    <row r="34" spans="2:27" x14ac:dyDescent="0.3">
      <c r="B34" s="239">
        <v>0.13451968441549411</v>
      </c>
      <c r="C34" s="240">
        <v>-7.4687404504260257E-2</v>
      </c>
      <c r="D34" s="240">
        <v>0.57449058414760157</v>
      </c>
      <c r="E34" s="241">
        <v>4.9885081698250924E-3</v>
      </c>
      <c r="F34" s="241">
        <v>0.11852038774087345</v>
      </c>
      <c r="G34" s="242">
        <v>0.13720703125</v>
      </c>
      <c r="H34" s="240">
        <v>2.6</v>
      </c>
      <c r="I34" s="240">
        <v>1.95</v>
      </c>
      <c r="J34" s="243">
        <v>790</v>
      </c>
      <c r="K34" s="240">
        <v>56.5</v>
      </c>
      <c r="L34" s="240">
        <v>61.35</v>
      </c>
      <c r="M34" s="244">
        <v>0.22705078125</v>
      </c>
      <c r="N34" s="245">
        <v>-0.75371711978922895</v>
      </c>
      <c r="O34" s="245">
        <v>4.7924863020676941E-3</v>
      </c>
      <c r="P34" s="240">
        <v>0.91331321252627673</v>
      </c>
      <c r="Q34" s="240">
        <v>-0.14856709186676653</v>
      </c>
      <c r="R34" s="237">
        <v>-0.94447472961803669</v>
      </c>
      <c r="T34" s="254">
        <v>22</v>
      </c>
      <c r="U34" s="248">
        <f t="shared" si="1"/>
        <v>-18.258500000000002</v>
      </c>
      <c r="V34" s="248">
        <f t="shared" si="2"/>
        <v>-693.60850000000005</v>
      </c>
      <c r="W34" s="248">
        <f t="shared" si="3"/>
        <v>715.74</v>
      </c>
      <c r="X34" s="248">
        <f t="shared" si="6"/>
        <v>3.8729999999999336</v>
      </c>
      <c r="Y34" s="248">
        <f t="shared" ca="1" si="0"/>
        <v>13.385727699892982</v>
      </c>
      <c r="Z34" s="248">
        <f t="shared" ca="1" si="4"/>
        <v>5.4128289443844091</v>
      </c>
      <c r="AA34" s="250">
        <f t="shared" ca="1" si="5"/>
        <v>541.28289443844096</v>
      </c>
    </row>
    <row r="35" spans="2:27" x14ac:dyDescent="0.3">
      <c r="B35" s="239">
        <v>8.7732599095460273E-2</v>
      </c>
      <c r="C35" s="240">
        <v>-5.3424137712276831E-2</v>
      </c>
      <c r="D35" s="240">
        <v>0.41789305350915668</v>
      </c>
      <c r="E35" s="241">
        <v>3.654727839992889E-3</v>
      </c>
      <c r="F35" s="241">
        <v>7.6876134523783168E-2</v>
      </c>
      <c r="G35" s="242">
        <v>0.13623046875</v>
      </c>
      <c r="H35" s="240">
        <v>1.6</v>
      </c>
      <c r="I35" s="240">
        <v>1.1000000000000001</v>
      </c>
      <c r="J35" s="243">
        <v>800</v>
      </c>
      <c r="K35" s="240">
        <v>65.150000000000006</v>
      </c>
      <c r="L35" s="240">
        <v>70.8</v>
      </c>
      <c r="M35" s="244">
        <v>0.24072265625</v>
      </c>
      <c r="N35" s="245">
        <v>-0.78086129198365628</v>
      </c>
      <c r="O35" s="245">
        <v>4.2360945950509548E-3</v>
      </c>
      <c r="P35" s="240">
        <v>0.85589103272891576</v>
      </c>
      <c r="Q35" s="240">
        <v>-0.14555989612358644</v>
      </c>
      <c r="R35" s="237">
        <v>-0.98976443171625306</v>
      </c>
      <c r="T35" s="254">
        <v>23</v>
      </c>
      <c r="U35" s="248">
        <f t="shared" si="1"/>
        <v>-18.258500000000002</v>
      </c>
      <c r="V35" s="248">
        <f t="shared" si="2"/>
        <v>-692.60850000000005</v>
      </c>
      <c r="W35" s="248">
        <f t="shared" si="3"/>
        <v>714.74</v>
      </c>
      <c r="X35" s="248">
        <f t="shared" si="6"/>
        <v>3.8729999999999336</v>
      </c>
      <c r="Y35" s="248">
        <f t="shared" ca="1" si="0"/>
        <v>13.385727699892982</v>
      </c>
      <c r="Z35" s="248">
        <f t="shared" ca="1" si="4"/>
        <v>5.4128289443844091</v>
      </c>
      <c r="AA35" s="250">
        <f t="shared" ca="1" si="5"/>
        <v>541.28289443844096</v>
      </c>
    </row>
    <row r="36" spans="2:27" x14ac:dyDescent="0.3">
      <c r="B36" s="239">
        <v>5.5720950382479373E-2</v>
      </c>
      <c r="C36" s="240">
        <v>-3.700573601132362E-2</v>
      </c>
      <c r="D36" s="240">
        <v>0.29208617141445353</v>
      </c>
      <c r="E36" s="241">
        <v>2.5544704641087025E-3</v>
      </c>
      <c r="F36" s="241">
        <v>4.8597519877852199E-2</v>
      </c>
      <c r="G36" s="242">
        <v>0.13623046875</v>
      </c>
      <c r="H36" s="240">
        <v>0.98</v>
      </c>
      <c r="I36" s="240">
        <v>0.56000000000000005</v>
      </c>
      <c r="J36" s="243">
        <v>810</v>
      </c>
      <c r="K36" s="240">
        <v>74.5</v>
      </c>
      <c r="L36" s="240">
        <v>80.150000000000006</v>
      </c>
      <c r="M36" s="244">
        <v>0.25439453125</v>
      </c>
      <c r="N36" s="245">
        <v>-0.80305161567967032</v>
      </c>
      <c r="O36" s="245">
        <v>3.7635235779524502E-3</v>
      </c>
      <c r="P36" s="240">
        <v>0.80359693528219656</v>
      </c>
      <c r="Q36" s="240">
        <v>-0.1425266247493937</v>
      </c>
      <c r="R36" s="237">
        <v>-1.0296245419946217</v>
      </c>
      <c r="T36" s="254">
        <v>24</v>
      </c>
      <c r="U36" s="248">
        <f t="shared" si="1"/>
        <v>-18.258500000000002</v>
      </c>
      <c r="V36" s="248">
        <f t="shared" si="2"/>
        <v>-691.60850000000005</v>
      </c>
      <c r="W36" s="248">
        <f t="shared" si="3"/>
        <v>713.74</v>
      </c>
      <c r="X36" s="248">
        <f t="shared" si="6"/>
        <v>3.8729999999999336</v>
      </c>
      <c r="Y36" s="248">
        <f t="shared" ca="1" si="0"/>
        <v>13.385727699892982</v>
      </c>
      <c r="Z36" s="248">
        <f t="shared" ca="1" si="4"/>
        <v>5.4128289443844091</v>
      </c>
      <c r="AA36" s="250">
        <f t="shared" ca="1" si="5"/>
        <v>541.28289443844096</v>
      </c>
    </row>
    <row r="37" spans="2:27" x14ac:dyDescent="0.3">
      <c r="E37" s="241"/>
      <c r="F37" s="241"/>
      <c r="T37" s="254">
        <v>25</v>
      </c>
      <c r="U37" s="248">
        <f t="shared" si="1"/>
        <v>-18.258500000000002</v>
      </c>
      <c r="V37" s="248">
        <f t="shared" si="2"/>
        <v>-690.60850000000005</v>
      </c>
      <c r="W37" s="248">
        <f t="shared" si="3"/>
        <v>712.74</v>
      </c>
      <c r="X37" s="248">
        <f t="shared" si="6"/>
        <v>3.8729999999999336</v>
      </c>
      <c r="Y37" s="248">
        <f t="shared" ca="1" si="0"/>
        <v>13.385727699892982</v>
      </c>
      <c r="Z37" s="248">
        <f t="shared" ca="1" si="4"/>
        <v>5.4128289443844091</v>
      </c>
      <c r="AA37" s="250">
        <f t="shared" ca="1" si="5"/>
        <v>541.28289443844096</v>
      </c>
    </row>
    <row r="38" spans="2:27" x14ac:dyDescent="0.3">
      <c r="E38" s="241"/>
      <c r="F38" s="241"/>
      <c r="T38" s="254">
        <v>26</v>
      </c>
      <c r="U38" s="248">
        <f t="shared" si="1"/>
        <v>-18.258500000000002</v>
      </c>
      <c r="V38" s="248">
        <f t="shared" si="2"/>
        <v>-689.60850000000005</v>
      </c>
      <c r="W38" s="248">
        <f t="shared" si="3"/>
        <v>711.74</v>
      </c>
      <c r="X38" s="248">
        <f t="shared" si="6"/>
        <v>3.8729999999999336</v>
      </c>
      <c r="Y38" s="248">
        <f t="shared" ca="1" si="0"/>
        <v>13.385727699892982</v>
      </c>
      <c r="Z38" s="248">
        <f t="shared" ca="1" si="4"/>
        <v>5.4128289443844091</v>
      </c>
      <c r="AA38" s="250">
        <f t="shared" ca="1" si="5"/>
        <v>541.28289443844096</v>
      </c>
    </row>
    <row r="39" spans="2:27" x14ac:dyDescent="0.3">
      <c r="E39" s="241"/>
      <c r="F39" s="241"/>
      <c r="T39" s="254">
        <v>27</v>
      </c>
      <c r="U39" s="248">
        <f t="shared" si="1"/>
        <v>-18.258500000000002</v>
      </c>
      <c r="V39" s="248">
        <f t="shared" si="2"/>
        <v>-688.60850000000005</v>
      </c>
      <c r="W39" s="248">
        <f t="shared" si="3"/>
        <v>710.74</v>
      </c>
      <c r="X39" s="248">
        <f t="shared" si="6"/>
        <v>3.8729999999999336</v>
      </c>
      <c r="Y39" s="248">
        <f t="shared" ca="1" si="0"/>
        <v>13.385727699892982</v>
      </c>
      <c r="Z39" s="248">
        <f t="shared" ca="1" si="4"/>
        <v>5.4128289443844091</v>
      </c>
      <c r="AA39" s="250">
        <f t="shared" ca="1" si="5"/>
        <v>541.28289443844096</v>
      </c>
    </row>
    <row r="40" spans="2:27" x14ac:dyDescent="0.3">
      <c r="E40" s="241"/>
      <c r="F40" s="241"/>
      <c r="T40" s="254">
        <v>28</v>
      </c>
      <c r="U40" s="248">
        <f t="shared" si="1"/>
        <v>-18.258500000000002</v>
      </c>
      <c r="V40" s="248">
        <f t="shared" si="2"/>
        <v>-687.60850000000005</v>
      </c>
      <c r="W40" s="248">
        <f t="shared" si="3"/>
        <v>709.74</v>
      </c>
      <c r="X40" s="248">
        <f t="shared" si="6"/>
        <v>3.8729999999999336</v>
      </c>
      <c r="Y40" s="248">
        <f t="shared" ca="1" si="0"/>
        <v>13.385727699892982</v>
      </c>
      <c r="Z40" s="248">
        <f t="shared" ca="1" si="4"/>
        <v>5.4128289443844091</v>
      </c>
      <c r="AA40" s="250">
        <f t="shared" ca="1" si="5"/>
        <v>541.28289443844096</v>
      </c>
    </row>
    <row r="41" spans="2:27" x14ac:dyDescent="0.3">
      <c r="E41" s="241"/>
      <c r="F41" s="241"/>
      <c r="T41" s="254">
        <v>29</v>
      </c>
      <c r="U41" s="248">
        <f t="shared" si="1"/>
        <v>-18.258500000000002</v>
      </c>
      <c r="V41" s="248">
        <f t="shared" si="2"/>
        <v>-686.60850000000005</v>
      </c>
      <c r="W41" s="248">
        <f t="shared" si="3"/>
        <v>708.74</v>
      </c>
      <c r="X41" s="248">
        <f t="shared" si="6"/>
        <v>3.8729999999999336</v>
      </c>
      <c r="Y41" s="248">
        <f t="shared" ca="1" si="0"/>
        <v>13.385727699892982</v>
      </c>
      <c r="Z41" s="248">
        <f t="shared" ca="1" si="4"/>
        <v>5.4128289443844091</v>
      </c>
      <c r="AA41" s="250">
        <f t="shared" ca="1" si="5"/>
        <v>541.28289443844096</v>
      </c>
    </row>
    <row r="42" spans="2:27" x14ac:dyDescent="0.3">
      <c r="E42" s="241"/>
      <c r="F42" s="241"/>
      <c r="T42" s="254">
        <v>30</v>
      </c>
      <c r="U42" s="248">
        <f t="shared" si="1"/>
        <v>-18.258500000000002</v>
      </c>
      <c r="V42" s="248">
        <f t="shared" si="2"/>
        <v>-685.60850000000005</v>
      </c>
      <c r="W42" s="248">
        <f t="shared" si="3"/>
        <v>707.74</v>
      </c>
      <c r="X42" s="248">
        <f t="shared" si="6"/>
        <v>3.8729999999999336</v>
      </c>
      <c r="Y42" s="248">
        <f t="shared" ca="1" si="0"/>
        <v>13.385727699892982</v>
      </c>
      <c r="Z42" s="248">
        <f t="shared" ca="1" si="4"/>
        <v>5.4128289443844091</v>
      </c>
      <c r="AA42" s="250">
        <f t="shared" ca="1" si="5"/>
        <v>541.28289443844096</v>
      </c>
    </row>
    <row r="43" spans="2:27" x14ac:dyDescent="0.3">
      <c r="E43" s="241"/>
      <c r="F43" s="241"/>
      <c r="T43" s="254">
        <v>31</v>
      </c>
      <c r="U43" s="248">
        <f t="shared" si="1"/>
        <v>-18.258500000000002</v>
      </c>
      <c r="V43" s="248">
        <f t="shared" si="2"/>
        <v>-684.60850000000005</v>
      </c>
      <c r="W43" s="248">
        <f t="shared" si="3"/>
        <v>706.74</v>
      </c>
      <c r="X43" s="248">
        <f t="shared" si="6"/>
        <v>3.8729999999999336</v>
      </c>
      <c r="Y43" s="248">
        <f t="shared" ca="1" si="0"/>
        <v>13.385727699892982</v>
      </c>
      <c r="Z43" s="248">
        <f t="shared" ca="1" si="4"/>
        <v>5.4128289443844091</v>
      </c>
      <c r="AA43" s="250">
        <f t="shared" ca="1" si="5"/>
        <v>541.28289443844096</v>
      </c>
    </row>
    <row r="44" spans="2:27" x14ac:dyDescent="0.3">
      <c r="E44" s="241"/>
      <c r="F44" s="241"/>
      <c r="T44" s="254">
        <v>32</v>
      </c>
      <c r="U44" s="248">
        <f t="shared" si="1"/>
        <v>-18.258500000000002</v>
      </c>
      <c r="V44" s="248">
        <f t="shared" si="2"/>
        <v>-683.60850000000005</v>
      </c>
      <c r="W44" s="248">
        <f t="shared" si="3"/>
        <v>705.74</v>
      </c>
      <c r="X44" s="248">
        <f t="shared" si="6"/>
        <v>3.8729999999999336</v>
      </c>
      <c r="Y44" s="248">
        <f t="shared" ca="1" si="0"/>
        <v>13.385727699892982</v>
      </c>
      <c r="Z44" s="248">
        <f t="shared" ca="1" si="4"/>
        <v>5.4128289443844091</v>
      </c>
      <c r="AA44" s="250">
        <f t="shared" ca="1" si="5"/>
        <v>541.28289443844096</v>
      </c>
    </row>
    <row r="45" spans="2:27" x14ac:dyDescent="0.3">
      <c r="E45" s="241"/>
      <c r="F45" s="241"/>
      <c r="T45" s="254">
        <v>33</v>
      </c>
      <c r="U45" s="248">
        <f t="shared" si="1"/>
        <v>-18.258500000000002</v>
      </c>
      <c r="V45" s="248">
        <f t="shared" si="2"/>
        <v>-682.60850000000005</v>
      </c>
      <c r="W45" s="248">
        <f t="shared" si="3"/>
        <v>704.74</v>
      </c>
      <c r="X45" s="248">
        <f t="shared" si="6"/>
        <v>3.8729999999999336</v>
      </c>
      <c r="Y45" s="248">
        <f t="shared" ca="1" si="0"/>
        <v>13.385727699892982</v>
      </c>
      <c r="Z45" s="248">
        <f t="shared" ca="1" si="4"/>
        <v>5.4128289443844091</v>
      </c>
      <c r="AA45" s="250">
        <f t="shared" ca="1" si="5"/>
        <v>541.28289443844096</v>
      </c>
    </row>
    <row r="46" spans="2:27" x14ac:dyDescent="0.3">
      <c r="E46" s="241"/>
      <c r="F46" s="241"/>
      <c r="T46" s="254">
        <v>34</v>
      </c>
      <c r="U46" s="248">
        <f t="shared" si="1"/>
        <v>-18.258500000000002</v>
      </c>
      <c r="V46" s="248">
        <f t="shared" si="2"/>
        <v>-681.60850000000005</v>
      </c>
      <c r="W46" s="248">
        <f t="shared" si="3"/>
        <v>703.74</v>
      </c>
      <c r="X46" s="248">
        <f t="shared" si="6"/>
        <v>3.8729999999999336</v>
      </c>
      <c r="Y46" s="248">
        <f t="shared" ca="1" si="0"/>
        <v>13.385727699892982</v>
      </c>
      <c r="Z46" s="248">
        <f t="shared" ca="1" si="4"/>
        <v>5.4128289443844091</v>
      </c>
      <c r="AA46" s="250">
        <f t="shared" ca="1" si="5"/>
        <v>541.28289443844096</v>
      </c>
    </row>
    <row r="47" spans="2:27" x14ac:dyDescent="0.3">
      <c r="E47" s="241"/>
      <c r="F47" s="241"/>
      <c r="T47" s="254">
        <v>35</v>
      </c>
      <c r="U47" s="248">
        <f t="shared" si="1"/>
        <v>-18.258500000000002</v>
      </c>
      <c r="V47" s="248">
        <f t="shared" si="2"/>
        <v>-680.60850000000005</v>
      </c>
      <c r="W47" s="248">
        <f t="shared" si="3"/>
        <v>702.74</v>
      </c>
      <c r="X47" s="248">
        <f t="shared" si="6"/>
        <v>3.8729999999999336</v>
      </c>
      <c r="Y47" s="248">
        <f t="shared" ca="1" si="0"/>
        <v>13.385727699892982</v>
      </c>
      <c r="Z47" s="248">
        <f t="shared" ca="1" si="4"/>
        <v>5.4128289443844091</v>
      </c>
      <c r="AA47" s="250">
        <f t="shared" ca="1" si="5"/>
        <v>541.28289443844096</v>
      </c>
    </row>
    <row r="48" spans="2:27" x14ac:dyDescent="0.3">
      <c r="E48" s="241"/>
      <c r="F48" s="241"/>
      <c r="T48" s="254">
        <v>36</v>
      </c>
      <c r="U48" s="248">
        <f t="shared" si="1"/>
        <v>-18.258500000000002</v>
      </c>
      <c r="V48" s="248">
        <f t="shared" si="2"/>
        <v>-679.60850000000005</v>
      </c>
      <c r="W48" s="248">
        <f t="shared" si="3"/>
        <v>701.74</v>
      </c>
      <c r="X48" s="248">
        <f t="shared" si="6"/>
        <v>3.8729999999999336</v>
      </c>
      <c r="Y48" s="248">
        <f t="shared" ca="1" si="0"/>
        <v>13.385727699892982</v>
      </c>
      <c r="Z48" s="248">
        <f t="shared" ca="1" si="4"/>
        <v>5.4128289443844091</v>
      </c>
      <c r="AA48" s="250">
        <f t="shared" ca="1" si="5"/>
        <v>541.28289443844096</v>
      </c>
    </row>
    <row r="49" spans="5:27" x14ac:dyDescent="0.3">
      <c r="E49" s="241"/>
      <c r="F49" s="241"/>
      <c r="T49" s="254">
        <v>37</v>
      </c>
      <c r="U49" s="248">
        <f t="shared" si="1"/>
        <v>-18.258500000000002</v>
      </c>
      <c r="V49" s="248">
        <f t="shared" si="2"/>
        <v>-678.60850000000005</v>
      </c>
      <c r="W49" s="248">
        <f t="shared" si="3"/>
        <v>700.74</v>
      </c>
      <c r="X49" s="248">
        <f t="shared" si="6"/>
        <v>3.8729999999999336</v>
      </c>
      <c r="Y49" s="248">
        <f t="shared" ca="1" si="0"/>
        <v>13.385727699892982</v>
      </c>
      <c r="Z49" s="248">
        <f t="shared" ca="1" si="4"/>
        <v>5.4128289443844091</v>
      </c>
      <c r="AA49" s="250">
        <f t="shared" ca="1" si="5"/>
        <v>541.28289443844096</v>
      </c>
    </row>
    <row r="50" spans="5:27" x14ac:dyDescent="0.3">
      <c r="E50" s="241"/>
      <c r="F50" s="241"/>
      <c r="T50" s="254">
        <v>38</v>
      </c>
      <c r="U50" s="248">
        <f t="shared" si="1"/>
        <v>-18.258500000000002</v>
      </c>
      <c r="V50" s="248">
        <f t="shared" si="2"/>
        <v>-677.60850000000005</v>
      </c>
      <c r="W50" s="248">
        <f t="shared" si="3"/>
        <v>699.74</v>
      </c>
      <c r="X50" s="248">
        <f t="shared" si="6"/>
        <v>3.8729999999999336</v>
      </c>
      <c r="Y50" s="248">
        <f t="shared" ca="1" si="0"/>
        <v>13.385727699892982</v>
      </c>
      <c r="Z50" s="248">
        <f t="shared" ca="1" si="4"/>
        <v>5.4128289443844091</v>
      </c>
      <c r="AA50" s="250">
        <f t="shared" ca="1" si="5"/>
        <v>541.28289443844096</v>
      </c>
    </row>
    <row r="51" spans="5:27" x14ac:dyDescent="0.3">
      <c r="E51" s="241"/>
      <c r="F51" s="241"/>
      <c r="T51" s="254">
        <v>39</v>
      </c>
      <c r="U51" s="248">
        <f t="shared" si="1"/>
        <v>-18.258500000000002</v>
      </c>
      <c r="V51" s="248">
        <f t="shared" si="2"/>
        <v>-676.60850000000005</v>
      </c>
      <c r="W51" s="248">
        <f t="shared" si="3"/>
        <v>698.74</v>
      </c>
      <c r="X51" s="248">
        <f t="shared" si="6"/>
        <v>3.8729999999999336</v>
      </c>
      <c r="Y51" s="248">
        <f t="shared" ca="1" si="0"/>
        <v>13.385727699892982</v>
      </c>
      <c r="Z51" s="248">
        <f t="shared" ca="1" si="4"/>
        <v>5.4128289443844091</v>
      </c>
      <c r="AA51" s="250">
        <f t="shared" ca="1" si="5"/>
        <v>541.28289443844096</v>
      </c>
    </row>
    <row r="52" spans="5:27" x14ac:dyDescent="0.3">
      <c r="E52" s="241"/>
      <c r="F52" s="241"/>
      <c r="T52" s="254">
        <v>40</v>
      </c>
      <c r="U52" s="248">
        <f t="shared" si="1"/>
        <v>-18.258500000000002</v>
      </c>
      <c r="V52" s="248">
        <f t="shared" si="2"/>
        <v>-675.60850000000005</v>
      </c>
      <c r="W52" s="248">
        <f t="shared" si="3"/>
        <v>697.74</v>
      </c>
      <c r="X52" s="248">
        <f t="shared" si="6"/>
        <v>3.8729999999999336</v>
      </c>
      <c r="Y52" s="248">
        <f t="shared" ca="1" si="0"/>
        <v>13.385727699892982</v>
      </c>
      <c r="Z52" s="248">
        <f t="shared" ca="1" si="4"/>
        <v>5.4128289443844091</v>
      </c>
      <c r="AA52" s="250">
        <f t="shared" ca="1" si="5"/>
        <v>541.28289443844096</v>
      </c>
    </row>
    <row r="53" spans="5:27" x14ac:dyDescent="0.3">
      <c r="E53" s="241"/>
      <c r="F53" s="241"/>
      <c r="T53" s="254">
        <v>41</v>
      </c>
      <c r="U53" s="248">
        <f t="shared" si="1"/>
        <v>-18.258500000000002</v>
      </c>
      <c r="V53" s="248">
        <f t="shared" si="2"/>
        <v>-674.60850000000005</v>
      </c>
      <c r="W53" s="248">
        <f t="shared" si="3"/>
        <v>696.74</v>
      </c>
      <c r="X53" s="248">
        <f t="shared" si="6"/>
        <v>3.8729999999999336</v>
      </c>
      <c r="Y53" s="248">
        <f t="shared" ca="1" si="0"/>
        <v>13.385727699892982</v>
      </c>
      <c r="Z53" s="248">
        <f t="shared" ca="1" si="4"/>
        <v>5.4128289443844091</v>
      </c>
      <c r="AA53" s="250">
        <f t="shared" ca="1" si="5"/>
        <v>541.28289443844096</v>
      </c>
    </row>
    <row r="54" spans="5:27" x14ac:dyDescent="0.3">
      <c r="E54" s="241"/>
      <c r="F54" s="241"/>
      <c r="T54" s="254">
        <v>42</v>
      </c>
      <c r="U54" s="248">
        <f t="shared" si="1"/>
        <v>-18.258500000000002</v>
      </c>
      <c r="V54" s="248">
        <f t="shared" si="2"/>
        <v>-673.60850000000005</v>
      </c>
      <c r="W54" s="248">
        <f t="shared" si="3"/>
        <v>695.74</v>
      </c>
      <c r="X54" s="248">
        <f t="shared" si="6"/>
        <v>3.8729999999999336</v>
      </c>
      <c r="Y54" s="248">
        <f t="shared" ca="1" si="0"/>
        <v>13.385727699892982</v>
      </c>
      <c r="Z54" s="248">
        <f t="shared" ca="1" si="4"/>
        <v>5.4128289443844091</v>
      </c>
      <c r="AA54" s="250">
        <f t="shared" ca="1" si="5"/>
        <v>541.28289443844096</v>
      </c>
    </row>
    <row r="55" spans="5:27" x14ac:dyDescent="0.3">
      <c r="E55" s="241"/>
      <c r="F55" s="241"/>
      <c r="T55" s="254">
        <v>43</v>
      </c>
      <c r="U55" s="248">
        <f t="shared" si="1"/>
        <v>-18.258500000000002</v>
      </c>
      <c r="V55" s="248">
        <f t="shared" si="2"/>
        <v>-672.60850000000005</v>
      </c>
      <c r="W55" s="248">
        <f t="shared" si="3"/>
        <v>694.74</v>
      </c>
      <c r="X55" s="248">
        <f t="shared" si="6"/>
        <v>3.8729999999999336</v>
      </c>
      <c r="Y55" s="248">
        <f t="shared" ca="1" si="0"/>
        <v>13.385727699892982</v>
      </c>
      <c r="Z55" s="248">
        <f t="shared" ca="1" si="4"/>
        <v>5.4128289443844091</v>
      </c>
      <c r="AA55" s="250">
        <f t="shared" ca="1" si="5"/>
        <v>541.28289443844096</v>
      </c>
    </row>
    <row r="56" spans="5:27" x14ac:dyDescent="0.3">
      <c r="E56" s="241"/>
      <c r="F56" s="241"/>
      <c r="T56" s="254">
        <v>44</v>
      </c>
      <c r="U56" s="248">
        <f t="shared" si="1"/>
        <v>-18.258500000000002</v>
      </c>
      <c r="V56" s="248">
        <f t="shared" si="2"/>
        <v>-671.60850000000005</v>
      </c>
      <c r="W56" s="248">
        <f t="shared" si="3"/>
        <v>693.74</v>
      </c>
      <c r="X56" s="248">
        <f t="shared" si="6"/>
        <v>3.8729999999999336</v>
      </c>
      <c r="Y56" s="248">
        <f t="shared" ca="1" si="0"/>
        <v>13.385727699892982</v>
      </c>
      <c r="Z56" s="248">
        <f t="shared" ca="1" si="4"/>
        <v>5.4128289443844091</v>
      </c>
      <c r="AA56" s="250">
        <f t="shared" ca="1" si="5"/>
        <v>541.28289443844096</v>
      </c>
    </row>
    <row r="57" spans="5:27" x14ac:dyDescent="0.3">
      <c r="E57" s="241"/>
      <c r="F57" s="241"/>
      <c r="T57" s="254">
        <v>45</v>
      </c>
      <c r="U57" s="248">
        <f t="shared" si="1"/>
        <v>-18.258500000000002</v>
      </c>
      <c r="V57" s="248">
        <f t="shared" si="2"/>
        <v>-670.60850000000005</v>
      </c>
      <c r="W57" s="248">
        <f t="shared" si="3"/>
        <v>692.74</v>
      </c>
      <c r="X57" s="248">
        <f t="shared" si="6"/>
        <v>3.8729999999999336</v>
      </c>
      <c r="Y57" s="248">
        <f t="shared" ca="1" si="0"/>
        <v>13.385727699892982</v>
      </c>
      <c r="Z57" s="248">
        <f t="shared" ca="1" si="4"/>
        <v>5.4128289443844091</v>
      </c>
      <c r="AA57" s="250">
        <f t="shared" ca="1" si="5"/>
        <v>541.28289443844096</v>
      </c>
    </row>
    <row r="58" spans="5:27" x14ac:dyDescent="0.3">
      <c r="E58" s="241"/>
      <c r="F58" s="241"/>
      <c r="T58" s="254">
        <v>46</v>
      </c>
      <c r="U58" s="248">
        <f t="shared" si="1"/>
        <v>-18.258500000000002</v>
      </c>
      <c r="V58" s="248">
        <f t="shared" si="2"/>
        <v>-669.60850000000005</v>
      </c>
      <c r="W58" s="248">
        <f t="shared" si="3"/>
        <v>691.74</v>
      </c>
      <c r="X58" s="248">
        <f t="shared" si="6"/>
        <v>3.8729999999999336</v>
      </c>
      <c r="Y58" s="248">
        <f t="shared" ca="1" si="0"/>
        <v>13.385727699892982</v>
      </c>
      <c r="Z58" s="248">
        <f t="shared" ca="1" si="4"/>
        <v>5.4128289443844091</v>
      </c>
      <c r="AA58" s="250">
        <f t="shared" ca="1" si="5"/>
        <v>541.28289443844096</v>
      </c>
    </row>
    <row r="59" spans="5:27" x14ac:dyDescent="0.3">
      <c r="E59" s="241"/>
      <c r="F59" s="241"/>
      <c r="T59" s="254">
        <v>47</v>
      </c>
      <c r="U59" s="248">
        <f t="shared" si="1"/>
        <v>-18.258500000000002</v>
      </c>
      <c r="V59" s="248">
        <f t="shared" si="2"/>
        <v>-668.60850000000005</v>
      </c>
      <c r="W59" s="248">
        <f t="shared" si="3"/>
        <v>690.74</v>
      </c>
      <c r="X59" s="248">
        <f t="shared" si="6"/>
        <v>3.8729999999999336</v>
      </c>
      <c r="Y59" s="248">
        <f t="shared" ca="1" si="0"/>
        <v>13.385727699892982</v>
      </c>
      <c r="Z59" s="248">
        <f t="shared" ca="1" si="4"/>
        <v>5.4128289443844091</v>
      </c>
      <c r="AA59" s="250">
        <f t="shared" ca="1" si="5"/>
        <v>541.28289443844096</v>
      </c>
    </row>
    <row r="60" spans="5:27" x14ac:dyDescent="0.3">
      <c r="E60" s="241"/>
      <c r="F60" s="241"/>
      <c r="T60" s="254">
        <v>48</v>
      </c>
      <c r="U60" s="248">
        <f t="shared" si="1"/>
        <v>-18.258500000000002</v>
      </c>
      <c r="V60" s="248">
        <f t="shared" si="2"/>
        <v>-667.60850000000005</v>
      </c>
      <c r="W60" s="248">
        <f t="shared" si="3"/>
        <v>689.74</v>
      </c>
      <c r="X60" s="248">
        <f t="shared" si="6"/>
        <v>3.8729999999999336</v>
      </c>
      <c r="Y60" s="248">
        <f t="shared" ca="1" si="0"/>
        <v>13.385727699892982</v>
      </c>
      <c r="Z60" s="248">
        <f t="shared" ca="1" si="4"/>
        <v>5.4128289443844091</v>
      </c>
      <c r="AA60" s="250">
        <f t="shared" ca="1" si="5"/>
        <v>541.28289443844096</v>
      </c>
    </row>
    <row r="61" spans="5:27" x14ac:dyDescent="0.3">
      <c r="E61" s="241"/>
      <c r="F61" s="241"/>
      <c r="T61" s="254">
        <v>49</v>
      </c>
      <c r="U61" s="248">
        <f t="shared" si="1"/>
        <v>-18.258500000000002</v>
      </c>
      <c r="V61" s="248">
        <f t="shared" si="2"/>
        <v>-666.60850000000005</v>
      </c>
      <c r="W61" s="248">
        <f t="shared" si="3"/>
        <v>688.74</v>
      </c>
      <c r="X61" s="248">
        <f t="shared" si="6"/>
        <v>3.8729999999999336</v>
      </c>
      <c r="Y61" s="248">
        <f t="shared" ca="1" si="0"/>
        <v>13.385727699892982</v>
      </c>
      <c r="Z61" s="248">
        <f t="shared" ca="1" si="4"/>
        <v>5.4128289443844091</v>
      </c>
      <c r="AA61" s="250">
        <f t="shared" ca="1" si="5"/>
        <v>541.28289443844096</v>
      </c>
    </row>
    <row r="62" spans="5:27" x14ac:dyDescent="0.3">
      <c r="E62" s="241"/>
      <c r="F62" s="241"/>
      <c r="T62" s="254">
        <v>50</v>
      </c>
      <c r="U62" s="248">
        <f t="shared" si="1"/>
        <v>-18.258500000000002</v>
      </c>
      <c r="V62" s="248">
        <f t="shared" si="2"/>
        <v>-665.60850000000005</v>
      </c>
      <c r="W62" s="248">
        <f t="shared" si="3"/>
        <v>687.74</v>
      </c>
      <c r="X62" s="248">
        <f t="shared" si="6"/>
        <v>3.8729999999999336</v>
      </c>
      <c r="Y62" s="248">
        <f t="shared" ca="1" si="0"/>
        <v>13.385727699892982</v>
      </c>
      <c r="Z62" s="248">
        <f t="shared" ca="1" si="4"/>
        <v>5.4128289443844091</v>
      </c>
      <c r="AA62" s="250">
        <f t="shared" ca="1" si="5"/>
        <v>541.28289443844096</v>
      </c>
    </row>
    <row r="63" spans="5:27" x14ac:dyDescent="0.3">
      <c r="E63" s="241"/>
      <c r="F63" s="241"/>
      <c r="T63" s="254">
        <v>51</v>
      </c>
      <c r="U63" s="248">
        <f t="shared" si="1"/>
        <v>-18.258500000000002</v>
      </c>
      <c r="V63" s="248">
        <f t="shared" si="2"/>
        <v>-664.60850000000005</v>
      </c>
      <c r="W63" s="248">
        <f t="shared" si="3"/>
        <v>686.74</v>
      </c>
      <c r="X63" s="248">
        <f t="shared" si="6"/>
        <v>3.8729999999999336</v>
      </c>
      <c r="Y63" s="248">
        <f t="shared" ca="1" si="0"/>
        <v>13.385727699892982</v>
      </c>
      <c r="Z63" s="248">
        <f t="shared" ca="1" si="4"/>
        <v>5.4128289443844091</v>
      </c>
      <c r="AA63" s="250">
        <f t="shared" ca="1" si="5"/>
        <v>541.28289443844096</v>
      </c>
    </row>
    <row r="64" spans="5:27" x14ac:dyDescent="0.3">
      <c r="E64" s="241"/>
      <c r="F64" s="241"/>
      <c r="T64" s="254">
        <v>52</v>
      </c>
      <c r="U64" s="248">
        <f t="shared" si="1"/>
        <v>-18.258500000000002</v>
      </c>
      <c r="V64" s="248">
        <f t="shared" si="2"/>
        <v>-663.60850000000005</v>
      </c>
      <c r="W64" s="248">
        <f t="shared" si="3"/>
        <v>685.74</v>
      </c>
      <c r="X64" s="248">
        <f t="shared" si="6"/>
        <v>3.8729999999999336</v>
      </c>
      <c r="Y64" s="248">
        <f t="shared" ca="1" si="0"/>
        <v>13.385727699892982</v>
      </c>
      <c r="Z64" s="248">
        <f t="shared" ca="1" si="4"/>
        <v>5.4128289443844091</v>
      </c>
      <c r="AA64" s="250">
        <f t="shared" ca="1" si="5"/>
        <v>541.28289443844096</v>
      </c>
    </row>
    <row r="65" spans="5:27" x14ac:dyDescent="0.3">
      <c r="E65" s="241"/>
      <c r="F65" s="241"/>
      <c r="T65" s="254">
        <v>53</v>
      </c>
      <c r="U65" s="248">
        <f t="shared" si="1"/>
        <v>-18.258500000000002</v>
      </c>
      <c r="V65" s="248">
        <f t="shared" si="2"/>
        <v>-662.60850000000005</v>
      </c>
      <c r="W65" s="248">
        <f t="shared" si="3"/>
        <v>684.74</v>
      </c>
      <c r="X65" s="248">
        <f t="shared" si="6"/>
        <v>3.8729999999999336</v>
      </c>
      <c r="Y65" s="248">
        <f t="shared" ca="1" si="0"/>
        <v>13.385727699892982</v>
      </c>
      <c r="Z65" s="248">
        <f t="shared" ca="1" si="4"/>
        <v>5.4128289443844091</v>
      </c>
      <c r="AA65" s="250">
        <f t="shared" ca="1" si="5"/>
        <v>541.28289443844096</v>
      </c>
    </row>
    <row r="66" spans="5:27" x14ac:dyDescent="0.3">
      <c r="E66" s="241"/>
      <c r="F66" s="241"/>
      <c r="T66" s="254">
        <v>54</v>
      </c>
      <c r="U66" s="248">
        <f t="shared" si="1"/>
        <v>-18.258500000000002</v>
      </c>
      <c r="V66" s="248">
        <f t="shared" si="2"/>
        <v>-661.60850000000005</v>
      </c>
      <c r="W66" s="248">
        <f t="shared" si="3"/>
        <v>683.74</v>
      </c>
      <c r="X66" s="248">
        <f t="shared" si="6"/>
        <v>3.8729999999999336</v>
      </c>
      <c r="Y66" s="248">
        <f t="shared" ca="1" si="0"/>
        <v>13.385727699892982</v>
      </c>
      <c r="Z66" s="248">
        <f t="shared" ca="1" si="4"/>
        <v>5.4128289443844091</v>
      </c>
      <c r="AA66" s="250">
        <f t="shared" ca="1" si="5"/>
        <v>541.28289443844096</v>
      </c>
    </row>
    <row r="67" spans="5:27" x14ac:dyDescent="0.3">
      <c r="E67" s="241"/>
      <c r="F67" s="241"/>
      <c r="T67" s="254">
        <v>55</v>
      </c>
      <c r="U67" s="248">
        <f t="shared" si="1"/>
        <v>-18.258500000000002</v>
      </c>
      <c r="V67" s="248">
        <f t="shared" si="2"/>
        <v>-660.60850000000005</v>
      </c>
      <c r="W67" s="248">
        <f t="shared" si="3"/>
        <v>682.74</v>
      </c>
      <c r="X67" s="248">
        <f t="shared" si="6"/>
        <v>3.8729999999999336</v>
      </c>
      <c r="Y67" s="248">
        <f t="shared" ca="1" si="0"/>
        <v>13.385727699892982</v>
      </c>
      <c r="Z67" s="248">
        <f t="shared" ca="1" si="4"/>
        <v>5.4128289443844091</v>
      </c>
      <c r="AA67" s="250">
        <f t="shared" ca="1" si="5"/>
        <v>541.28289443844096</v>
      </c>
    </row>
    <row r="68" spans="5:27" x14ac:dyDescent="0.3">
      <c r="E68" s="241"/>
      <c r="F68" s="241"/>
      <c r="T68" s="254">
        <v>56</v>
      </c>
      <c r="U68" s="248">
        <f t="shared" si="1"/>
        <v>-18.258500000000002</v>
      </c>
      <c r="V68" s="248">
        <f t="shared" si="2"/>
        <v>-659.60850000000005</v>
      </c>
      <c r="W68" s="248">
        <f t="shared" si="3"/>
        <v>681.74</v>
      </c>
      <c r="X68" s="248">
        <f t="shared" si="6"/>
        <v>3.8729999999999336</v>
      </c>
      <c r="Y68" s="248">
        <f t="shared" ca="1" si="0"/>
        <v>13.385727699892982</v>
      </c>
      <c r="Z68" s="248">
        <f t="shared" ca="1" si="4"/>
        <v>5.4128289443844091</v>
      </c>
      <c r="AA68" s="250">
        <f t="shared" ca="1" si="5"/>
        <v>541.28289443844096</v>
      </c>
    </row>
    <row r="69" spans="5:27" x14ac:dyDescent="0.3">
      <c r="E69" s="241"/>
      <c r="F69" s="241"/>
      <c r="T69" s="254">
        <v>57</v>
      </c>
      <c r="U69" s="248">
        <f t="shared" si="1"/>
        <v>-18.258500000000002</v>
      </c>
      <c r="V69" s="248">
        <f t="shared" si="2"/>
        <v>-658.60850000000005</v>
      </c>
      <c r="W69" s="248">
        <f t="shared" si="3"/>
        <v>680.74</v>
      </c>
      <c r="X69" s="248">
        <f t="shared" si="6"/>
        <v>3.8729999999999336</v>
      </c>
      <c r="Y69" s="248">
        <f t="shared" ca="1" si="0"/>
        <v>13.385727699892982</v>
      </c>
      <c r="Z69" s="248">
        <f t="shared" ca="1" si="4"/>
        <v>5.4128289443844091</v>
      </c>
      <c r="AA69" s="250">
        <f t="shared" ca="1" si="5"/>
        <v>541.28289443844096</v>
      </c>
    </row>
    <row r="70" spans="5:27" x14ac:dyDescent="0.3">
      <c r="E70" s="241"/>
      <c r="F70" s="241"/>
      <c r="T70" s="254">
        <v>58</v>
      </c>
      <c r="U70" s="248">
        <f t="shared" si="1"/>
        <v>-18.258500000000002</v>
      </c>
      <c r="V70" s="248">
        <f t="shared" si="2"/>
        <v>-657.60850000000005</v>
      </c>
      <c r="W70" s="248">
        <f t="shared" si="3"/>
        <v>679.74</v>
      </c>
      <c r="X70" s="248">
        <f t="shared" si="6"/>
        <v>3.8729999999999336</v>
      </c>
      <c r="Y70" s="248">
        <f t="shared" ca="1" si="0"/>
        <v>13.385727699892982</v>
      </c>
      <c r="Z70" s="248">
        <f t="shared" ca="1" si="4"/>
        <v>5.4128289443844091</v>
      </c>
      <c r="AA70" s="250">
        <f t="shared" ca="1" si="5"/>
        <v>541.28289443844096</v>
      </c>
    </row>
    <row r="71" spans="5:27" x14ac:dyDescent="0.3">
      <c r="E71" s="241"/>
      <c r="F71" s="241"/>
      <c r="T71" s="254">
        <v>59</v>
      </c>
      <c r="U71" s="248">
        <f t="shared" si="1"/>
        <v>-18.258500000000002</v>
      </c>
      <c r="V71" s="248">
        <f t="shared" si="2"/>
        <v>-656.60850000000005</v>
      </c>
      <c r="W71" s="248">
        <f t="shared" si="3"/>
        <v>678.74</v>
      </c>
      <c r="X71" s="248">
        <f t="shared" si="6"/>
        <v>3.8729999999999336</v>
      </c>
      <c r="Y71" s="248">
        <f t="shared" ca="1" si="0"/>
        <v>13.385727699892982</v>
      </c>
      <c r="Z71" s="248">
        <f t="shared" ca="1" si="4"/>
        <v>5.4128289443844091</v>
      </c>
      <c r="AA71" s="250">
        <f t="shared" ca="1" si="5"/>
        <v>541.28289443844096</v>
      </c>
    </row>
    <row r="72" spans="5:27" x14ac:dyDescent="0.3">
      <c r="E72" s="241"/>
      <c r="F72" s="241"/>
      <c r="T72" s="254">
        <v>60</v>
      </c>
      <c r="U72" s="248">
        <f t="shared" si="1"/>
        <v>-18.258500000000002</v>
      </c>
      <c r="V72" s="248">
        <f t="shared" si="2"/>
        <v>-655.60850000000005</v>
      </c>
      <c r="W72" s="248">
        <f t="shared" si="3"/>
        <v>677.74</v>
      </c>
      <c r="X72" s="248">
        <f t="shared" si="6"/>
        <v>3.8729999999999336</v>
      </c>
      <c r="Y72" s="248">
        <f t="shared" ca="1" si="0"/>
        <v>13.385727699892982</v>
      </c>
      <c r="Z72" s="248">
        <f t="shared" ca="1" si="4"/>
        <v>5.4128289443844091</v>
      </c>
      <c r="AA72" s="250">
        <f t="shared" ca="1" si="5"/>
        <v>541.28289443844096</v>
      </c>
    </row>
    <row r="73" spans="5:27" x14ac:dyDescent="0.3">
      <c r="E73" s="241"/>
      <c r="F73" s="241"/>
      <c r="T73" s="254">
        <v>61</v>
      </c>
      <c r="U73" s="248">
        <f t="shared" si="1"/>
        <v>-18.258500000000002</v>
      </c>
      <c r="V73" s="248">
        <f t="shared" si="2"/>
        <v>-654.60850000000005</v>
      </c>
      <c r="W73" s="248">
        <f t="shared" si="3"/>
        <v>676.74</v>
      </c>
      <c r="X73" s="248">
        <f t="shared" si="6"/>
        <v>3.8729999999999336</v>
      </c>
      <c r="Y73" s="248">
        <f t="shared" ca="1" si="0"/>
        <v>13.385727699892982</v>
      </c>
      <c r="Z73" s="248">
        <f t="shared" ca="1" si="4"/>
        <v>5.4128289443844091</v>
      </c>
      <c r="AA73" s="250">
        <f t="shared" ca="1" si="5"/>
        <v>541.28289443844096</v>
      </c>
    </row>
    <row r="74" spans="5:27" x14ac:dyDescent="0.3">
      <c r="E74" s="241"/>
      <c r="F74" s="241"/>
      <c r="T74" s="254">
        <v>62</v>
      </c>
      <c r="U74" s="248">
        <f t="shared" si="1"/>
        <v>-18.258500000000002</v>
      </c>
      <c r="V74" s="248">
        <f t="shared" si="2"/>
        <v>-653.60850000000005</v>
      </c>
      <c r="W74" s="248">
        <f t="shared" si="3"/>
        <v>675.74</v>
      </c>
      <c r="X74" s="248">
        <f t="shared" si="6"/>
        <v>3.8729999999999336</v>
      </c>
      <c r="Y74" s="248">
        <f t="shared" ca="1" si="0"/>
        <v>13.385727699892982</v>
      </c>
      <c r="Z74" s="248">
        <f t="shared" ca="1" si="4"/>
        <v>5.4128289443844091</v>
      </c>
      <c r="AA74" s="250">
        <f t="shared" ca="1" si="5"/>
        <v>541.28289443844096</v>
      </c>
    </row>
    <row r="75" spans="5:27" x14ac:dyDescent="0.3">
      <c r="E75" s="241"/>
      <c r="F75" s="241"/>
      <c r="T75" s="254">
        <v>63</v>
      </c>
      <c r="U75" s="248">
        <f t="shared" si="1"/>
        <v>-18.258500000000002</v>
      </c>
      <c r="V75" s="248">
        <f t="shared" si="2"/>
        <v>-652.60850000000005</v>
      </c>
      <c r="W75" s="248">
        <f t="shared" si="3"/>
        <v>674.74</v>
      </c>
      <c r="X75" s="248">
        <f t="shared" si="6"/>
        <v>3.8729999999999336</v>
      </c>
      <c r="Y75" s="248">
        <f t="shared" ca="1" si="0"/>
        <v>13.385727699892982</v>
      </c>
      <c r="Z75" s="248">
        <f t="shared" ca="1" si="4"/>
        <v>5.4128289443844091</v>
      </c>
      <c r="AA75" s="250">
        <f t="shared" ca="1" si="5"/>
        <v>541.28289443844096</v>
      </c>
    </row>
    <row r="76" spans="5:27" x14ac:dyDescent="0.3">
      <c r="E76" s="241"/>
      <c r="F76" s="241"/>
      <c r="T76" s="254">
        <v>64</v>
      </c>
      <c r="U76" s="248">
        <f t="shared" si="1"/>
        <v>-18.258500000000002</v>
      </c>
      <c r="V76" s="248">
        <f t="shared" si="2"/>
        <v>-651.60850000000005</v>
      </c>
      <c r="W76" s="248">
        <f t="shared" si="3"/>
        <v>673.74</v>
      </c>
      <c r="X76" s="248">
        <f t="shared" si="6"/>
        <v>3.8729999999999336</v>
      </c>
      <c r="Y76" s="248">
        <f t="shared" ref="Y76:Y139" ca="1" si="7">$Y$10*EXP($Y$7*$C$6)-$Y$10</f>
        <v>13.385727699892982</v>
      </c>
      <c r="Z76" s="248">
        <f t="shared" ca="1" si="4"/>
        <v>5.4128289443844091</v>
      </c>
      <c r="AA76" s="250">
        <f t="shared" ca="1" si="5"/>
        <v>541.28289443844096</v>
      </c>
    </row>
    <row r="77" spans="5:27" x14ac:dyDescent="0.3">
      <c r="E77" s="241"/>
      <c r="F77" s="241"/>
      <c r="T77" s="254">
        <v>65</v>
      </c>
      <c r="U77" s="248">
        <f t="shared" ref="U77:U140" si="8">MAX(0,T77-$U$9)-$U$10-$U$11/100</f>
        <v>-18.258500000000002</v>
      </c>
      <c r="V77" s="248">
        <f t="shared" ref="V77:V140" si="9">$V$10-MAX(0,$V$9-T77)-$V$11/100</f>
        <v>-650.60850000000005</v>
      </c>
      <c r="W77" s="248">
        <f t="shared" ref="W77:W140" si="10">$W$10-T77</f>
        <v>672.74</v>
      </c>
      <c r="X77" s="248">
        <f t="shared" ref="X77:X140" si="11">SUM(U77:W77)</f>
        <v>3.8729999999999336</v>
      </c>
      <c r="Y77" s="248">
        <f t="shared" ca="1" si="7"/>
        <v>13.385727699892982</v>
      </c>
      <c r="Z77" s="248">
        <f t="shared" ref="Z77:Z140" ca="1" si="12">EXP(-$E$3*$C$6)*SUM(X77:Y77)</f>
        <v>5.4128289443844091</v>
      </c>
      <c r="AA77" s="250">
        <f t="shared" ref="AA77:AA140" ca="1" si="13">Z77*100</f>
        <v>541.28289443844096</v>
      </c>
    </row>
    <row r="78" spans="5:27" x14ac:dyDescent="0.3">
      <c r="E78" s="241"/>
      <c r="F78" s="241"/>
      <c r="T78" s="254">
        <v>66</v>
      </c>
      <c r="U78" s="248">
        <f t="shared" si="8"/>
        <v>-18.258500000000002</v>
      </c>
      <c r="V78" s="248">
        <f t="shared" si="9"/>
        <v>-649.60850000000005</v>
      </c>
      <c r="W78" s="248">
        <f t="shared" si="10"/>
        <v>671.74</v>
      </c>
      <c r="X78" s="248">
        <f t="shared" si="11"/>
        <v>3.8729999999999336</v>
      </c>
      <c r="Y78" s="248">
        <f t="shared" ca="1" si="7"/>
        <v>13.385727699892982</v>
      </c>
      <c r="Z78" s="248">
        <f t="shared" ca="1" si="12"/>
        <v>5.4128289443844091</v>
      </c>
      <c r="AA78" s="250">
        <f t="shared" ca="1" si="13"/>
        <v>541.28289443844096</v>
      </c>
    </row>
    <row r="79" spans="5:27" x14ac:dyDescent="0.3">
      <c r="E79" s="241"/>
      <c r="F79" s="241"/>
      <c r="T79" s="254">
        <v>67</v>
      </c>
      <c r="U79" s="248">
        <f t="shared" si="8"/>
        <v>-18.258500000000002</v>
      </c>
      <c r="V79" s="248">
        <f t="shared" si="9"/>
        <v>-648.60850000000005</v>
      </c>
      <c r="W79" s="248">
        <f t="shared" si="10"/>
        <v>670.74</v>
      </c>
      <c r="X79" s="248">
        <f t="shared" si="11"/>
        <v>3.8729999999999336</v>
      </c>
      <c r="Y79" s="248">
        <f t="shared" ca="1" si="7"/>
        <v>13.385727699892982</v>
      </c>
      <c r="Z79" s="248">
        <f t="shared" ca="1" si="12"/>
        <v>5.4128289443844091</v>
      </c>
      <c r="AA79" s="250">
        <f t="shared" ca="1" si="13"/>
        <v>541.28289443844096</v>
      </c>
    </row>
    <row r="80" spans="5:27" x14ac:dyDescent="0.3">
      <c r="E80" s="241"/>
      <c r="F80" s="241"/>
      <c r="T80" s="254">
        <v>68</v>
      </c>
      <c r="U80" s="248">
        <f t="shared" si="8"/>
        <v>-18.258500000000002</v>
      </c>
      <c r="V80" s="248">
        <f t="shared" si="9"/>
        <v>-647.60850000000005</v>
      </c>
      <c r="W80" s="248">
        <f t="shared" si="10"/>
        <v>669.74</v>
      </c>
      <c r="X80" s="248">
        <f t="shared" si="11"/>
        <v>3.8729999999999336</v>
      </c>
      <c r="Y80" s="248">
        <f t="shared" ca="1" si="7"/>
        <v>13.385727699892982</v>
      </c>
      <c r="Z80" s="248">
        <f t="shared" ca="1" si="12"/>
        <v>5.4128289443844091</v>
      </c>
      <c r="AA80" s="250">
        <f t="shared" ca="1" si="13"/>
        <v>541.28289443844096</v>
      </c>
    </row>
    <row r="81" spans="5:27" x14ac:dyDescent="0.3">
      <c r="E81" s="241"/>
      <c r="F81" s="241"/>
      <c r="T81" s="254">
        <v>69</v>
      </c>
      <c r="U81" s="248">
        <f t="shared" si="8"/>
        <v>-18.258500000000002</v>
      </c>
      <c r="V81" s="248">
        <f t="shared" si="9"/>
        <v>-646.60850000000005</v>
      </c>
      <c r="W81" s="248">
        <f t="shared" si="10"/>
        <v>668.74</v>
      </c>
      <c r="X81" s="248">
        <f t="shared" si="11"/>
        <v>3.8729999999999336</v>
      </c>
      <c r="Y81" s="248">
        <f t="shared" ca="1" si="7"/>
        <v>13.385727699892982</v>
      </c>
      <c r="Z81" s="248">
        <f t="shared" ca="1" si="12"/>
        <v>5.4128289443844091</v>
      </c>
      <c r="AA81" s="250">
        <f t="shared" ca="1" si="13"/>
        <v>541.28289443844096</v>
      </c>
    </row>
    <row r="82" spans="5:27" x14ac:dyDescent="0.3">
      <c r="E82" s="241"/>
      <c r="F82" s="241"/>
      <c r="T82" s="254">
        <v>70</v>
      </c>
      <c r="U82" s="248">
        <f t="shared" si="8"/>
        <v>-18.258500000000002</v>
      </c>
      <c r="V82" s="248">
        <f t="shared" si="9"/>
        <v>-645.60850000000005</v>
      </c>
      <c r="W82" s="248">
        <f t="shared" si="10"/>
        <v>667.74</v>
      </c>
      <c r="X82" s="248">
        <f t="shared" si="11"/>
        <v>3.8729999999999336</v>
      </c>
      <c r="Y82" s="248">
        <f t="shared" ca="1" si="7"/>
        <v>13.385727699892982</v>
      </c>
      <c r="Z82" s="248">
        <f t="shared" ca="1" si="12"/>
        <v>5.4128289443844091</v>
      </c>
      <c r="AA82" s="250">
        <f t="shared" ca="1" si="13"/>
        <v>541.28289443844096</v>
      </c>
    </row>
    <row r="83" spans="5:27" x14ac:dyDescent="0.3">
      <c r="E83" s="241"/>
      <c r="F83" s="241"/>
      <c r="T83" s="254">
        <v>71</v>
      </c>
      <c r="U83" s="248">
        <f t="shared" si="8"/>
        <v>-18.258500000000002</v>
      </c>
      <c r="V83" s="248">
        <f t="shared" si="9"/>
        <v>-644.60850000000005</v>
      </c>
      <c r="W83" s="248">
        <f t="shared" si="10"/>
        <v>666.74</v>
      </c>
      <c r="X83" s="248">
        <f t="shared" si="11"/>
        <v>3.8729999999999336</v>
      </c>
      <c r="Y83" s="248">
        <f t="shared" ca="1" si="7"/>
        <v>13.385727699892982</v>
      </c>
      <c r="Z83" s="248">
        <f t="shared" ca="1" si="12"/>
        <v>5.4128289443844091</v>
      </c>
      <c r="AA83" s="250">
        <f t="shared" ca="1" si="13"/>
        <v>541.28289443844096</v>
      </c>
    </row>
    <row r="84" spans="5:27" x14ac:dyDescent="0.3">
      <c r="E84" s="241"/>
      <c r="F84" s="241"/>
      <c r="T84" s="254">
        <v>72</v>
      </c>
      <c r="U84" s="248">
        <f t="shared" si="8"/>
        <v>-18.258500000000002</v>
      </c>
      <c r="V84" s="248">
        <f t="shared" si="9"/>
        <v>-643.60850000000005</v>
      </c>
      <c r="W84" s="248">
        <f t="shared" si="10"/>
        <v>665.74</v>
      </c>
      <c r="X84" s="248">
        <f t="shared" si="11"/>
        <v>3.8729999999999336</v>
      </c>
      <c r="Y84" s="248">
        <f t="shared" ca="1" si="7"/>
        <v>13.385727699892982</v>
      </c>
      <c r="Z84" s="248">
        <f t="shared" ca="1" si="12"/>
        <v>5.4128289443844091</v>
      </c>
      <c r="AA84" s="250">
        <f t="shared" ca="1" si="13"/>
        <v>541.28289443844096</v>
      </c>
    </row>
    <row r="85" spans="5:27" x14ac:dyDescent="0.3">
      <c r="E85" s="241"/>
      <c r="F85" s="241"/>
      <c r="T85" s="254">
        <v>73</v>
      </c>
      <c r="U85" s="248">
        <f t="shared" si="8"/>
        <v>-18.258500000000002</v>
      </c>
      <c r="V85" s="248">
        <f t="shared" si="9"/>
        <v>-642.60850000000005</v>
      </c>
      <c r="W85" s="248">
        <f t="shared" si="10"/>
        <v>664.74</v>
      </c>
      <c r="X85" s="248">
        <f t="shared" si="11"/>
        <v>3.8729999999999336</v>
      </c>
      <c r="Y85" s="248">
        <f t="shared" ca="1" si="7"/>
        <v>13.385727699892982</v>
      </c>
      <c r="Z85" s="248">
        <f t="shared" ca="1" si="12"/>
        <v>5.4128289443844091</v>
      </c>
      <c r="AA85" s="250">
        <f t="shared" ca="1" si="13"/>
        <v>541.28289443844096</v>
      </c>
    </row>
    <row r="86" spans="5:27" x14ac:dyDescent="0.3">
      <c r="E86" s="241"/>
      <c r="F86" s="241"/>
      <c r="T86" s="254">
        <v>74</v>
      </c>
      <c r="U86" s="248">
        <f t="shared" si="8"/>
        <v>-18.258500000000002</v>
      </c>
      <c r="V86" s="248">
        <f t="shared" si="9"/>
        <v>-641.60850000000005</v>
      </c>
      <c r="W86" s="248">
        <f t="shared" si="10"/>
        <v>663.74</v>
      </c>
      <c r="X86" s="248">
        <f t="shared" si="11"/>
        <v>3.8729999999999336</v>
      </c>
      <c r="Y86" s="248">
        <f t="shared" ca="1" si="7"/>
        <v>13.385727699892982</v>
      </c>
      <c r="Z86" s="248">
        <f t="shared" ca="1" si="12"/>
        <v>5.4128289443844091</v>
      </c>
      <c r="AA86" s="250">
        <f t="shared" ca="1" si="13"/>
        <v>541.28289443844096</v>
      </c>
    </row>
    <row r="87" spans="5:27" x14ac:dyDescent="0.3">
      <c r="E87" s="241"/>
      <c r="F87" s="241"/>
      <c r="T87" s="254">
        <v>75</v>
      </c>
      <c r="U87" s="248">
        <f t="shared" si="8"/>
        <v>-18.258500000000002</v>
      </c>
      <c r="V87" s="248">
        <f t="shared" si="9"/>
        <v>-640.60850000000005</v>
      </c>
      <c r="W87" s="248">
        <f t="shared" si="10"/>
        <v>662.74</v>
      </c>
      <c r="X87" s="248">
        <f t="shared" si="11"/>
        <v>3.8729999999999336</v>
      </c>
      <c r="Y87" s="248">
        <f t="shared" ca="1" si="7"/>
        <v>13.385727699892982</v>
      </c>
      <c r="Z87" s="248">
        <f t="shared" ca="1" si="12"/>
        <v>5.4128289443844091</v>
      </c>
      <c r="AA87" s="250">
        <f t="shared" ca="1" si="13"/>
        <v>541.28289443844096</v>
      </c>
    </row>
    <row r="88" spans="5:27" x14ac:dyDescent="0.3">
      <c r="E88" s="241"/>
      <c r="F88" s="241"/>
      <c r="T88" s="254">
        <v>76</v>
      </c>
      <c r="U88" s="248">
        <f t="shared" si="8"/>
        <v>-18.258500000000002</v>
      </c>
      <c r="V88" s="248">
        <f t="shared" si="9"/>
        <v>-639.60850000000005</v>
      </c>
      <c r="W88" s="248">
        <f t="shared" si="10"/>
        <v>661.74</v>
      </c>
      <c r="X88" s="248">
        <f t="shared" si="11"/>
        <v>3.8729999999999336</v>
      </c>
      <c r="Y88" s="248">
        <f t="shared" ca="1" si="7"/>
        <v>13.385727699892982</v>
      </c>
      <c r="Z88" s="248">
        <f t="shared" ca="1" si="12"/>
        <v>5.4128289443844091</v>
      </c>
      <c r="AA88" s="250">
        <f t="shared" ca="1" si="13"/>
        <v>541.28289443844096</v>
      </c>
    </row>
    <row r="89" spans="5:27" x14ac:dyDescent="0.3">
      <c r="E89" s="241"/>
      <c r="F89" s="241"/>
      <c r="T89" s="254">
        <v>77</v>
      </c>
      <c r="U89" s="248">
        <f t="shared" si="8"/>
        <v>-18.258500000000002</v>
      </c>
      <c r="V89" s="248">
        <f t="shared" si="9"/>
        <v>-638.60850000000005</v>
      </c>
      <c r="W89" s="248">
        <f t="shared" si="10"/>
        <v>660.74</v>
      </c>
      <c r="X89" s="248">
        <f t="shared" si="11"/>
        <v>3.8729999999999336</v>
      </c>
      <c r="Y89" s="248">
        <f t="shared" ca="1" si="7"/>
        <v>13.385727699892982</v>
      </c>
      <c r="Z89" s="248">
        <f t="shared" ca="1" si="12"/>
        <v>5.4128289443844091</v>
      </c>
      <c r="AA89" s="250">
        <f t="shared" ca="1" si="13"/>
        <v>541.28289443844096</v>
      </c>
    </row>
    <row r="90" spans="5:27" x14ac:dyDescent="0.3">
      <c r="E90" s="241"/>
      <c r="F90" s="241"/>
      <c r="T90" s="254">
        <v>78</v>
      </c>
      <c r="U90" s="248">
        <f t="shared" si="8"/>
        <v>-18.258500000000002</v>
      </c>
      <c r="V90" s="248">
        <f t="shared" si="9"/>
        <v>-637.60850000000005</v>
      </c>
      <c r="W90" s="248">
        <f t="shared" si="10"/>
        <v>659.74</v>
      </c>
      <c r="X90" s="248">
        <f t="shared" si="11"/>
        <v>3.8729999999999336</v>
      </c>
      <c r="Y90" s="248">
        <f t="shared" ca="1" si="7"/>
        <v>13.385727699892982</v>
      </c>
      <c r="Z90" s="248">
        <f t="shared" ca="1" si="12"/>
        <v>5.4128289443844091</v>
      </c>
      <c r="AA90" s="250">
        <f t="shared" ca="1" si="13"/>
        <v>541.28289443844096</v>
      </c>
    </row>
    <row r="91" spans="5:27" x14ac:dyDescent="0.3">
      <c r="E91" s="241"/>
      <c r="F91" s="241"/>
      <c r="T91" s="254">
        <v>79</v>
      </c>
      <c r="U91" s="248">
        <f t="shared" si="8"/>
        <v>-18.258500000000002</v>
      </c>
      <c r="V91" s="248">
        <f t="shared" si="9"/>
        <v>-636.60850000000005</v>
      </c>
      <c r="W91" s="248">
        <f t="shared" si="10"/>
        <v>658.74</v>
      </c>
      <c r="X91" s="248">
        <f t="shared" si="11"/>
        <v>3.8729999999999336</v>
      </c>
      <c r="Y91" s="248">
        <f t="shared" ca="1" si="7"/>
        <v>13.385727699892982</v>
      </c>
      <c r="Z91" s="248">
        <f t="shared" ca="1" si="12"/>
        <v>5.4128289443844091</v>
      </c>
      <c r="AA91" s="250">
        <f t="shared" ca="1" si="13"/>
        <v>541.28289443844096</v>
      </c>
    </row>
    <row r="92" spans="5:27" x14ac:dyDescent="0.3">
      <c r="E92" s="241"/>
      <c r="F92" s="241"/>
      <c r="T92" s="254">
        <v>80</v>
      </c>
      <c r="U92" s="248">
        <f t="shared" si="8"/>
        <v>-18.258500000000002</v>
      </c>
      <c r="V92" s="248">
        <f t="shared" si="9"/>
        <v>-635.60850000000005</v>
      </c>
      <c r="W92" s="248">
        <f t="shared" si="10"/>
        <v>657.74</v>
      </c>
      <c r="X92" s="248">
        <f t="shared" si="11"/>
        <v>3.8729999999999336</v>
      </c>
      <c r="Y92" s="248">
        <f t="shared" ca="1" si="7"/>
        <v>13.385727699892982</v>
      </c>
      <c r="Z92" s="248">
        <f t="shared" ca="1" si="12"/>
        <v>5.4128289443844091</v>
      </c>
      <c r="AA92" s="250">
        <f t="shared" ca="1" si="13"/>
        <v>541.28289443844096</v>
      </c>
    </row>
    <row r="93" spans="5:27" x14ac:dyDescent="0.3">
      <c r="E93" s="241"/>
      <c r="F93" s="241"/>
      <c r="T93" s="254">
        <v>81</v>
      </c>
      <c r="U93" s="248">
        <f t="shared" si="8"/>
        <v>-18.258500000000002</v>
      </c>
      <c r="V93" s="248">
        <f t="shared" si="9"/>
        <v>-634.60850000000005</v>
      </c>
      <c r="W93" s="248">
        <f t="shared" si="10"/>
        <v>656.74</v>
      </c>
      <c r="X93" s="248">
        <f t="shared" si="11"/>
        <v>3.8729999999999336</v>
      </c>
      <c r="Y93" s="248">
        <f t="shared" ca="1" si="7"/>
        <v>13.385727699892982</v>
      </c>
      <c r="Z93" s="248">
        <f t="shared" ca="1" si="12"/>
        <v>5.4128289443844091</v>
      </c>
      <c r="AA93" s="250">
        <f t="shared" ca="1" si="13"/>
        <v>541.28289443844096</v>
      </c>
    </row>
    <row r="94" spans="5:27" x14ac:dyDescent="0.3">
      <c r="E94" s="241"/>
      <c r="F94" s="241"/>
      <c r="T94" s="254">
        <v>82</v>
      </c>
      <c r="U94" s="248">
        <f t="shared" si="8"/>
        <v>-18.258500000000002</v>
      </c>
      <c r="V94" s="248">
        <f t="shared" si="9"/>
        <v>-633.60850000000005</v>
      </c>
      <c r="W94" s="248">
        <f t="shared" si="10"/>
        <v>655.74</v>
      </c>
      <c r="X94" s="248">
        <f t="shared" si="11"/>
        <v>3.8729999999999336</v>
      </c>
      <c r="Y94" s="248">
        <f t="shared" ca="1" si="7"/>
        <v>13.385727699892982</v>
      </c>
      <c r="Z94" s="248">
        <f t="shared" ca="1" si="12"/>
        <v>5.4128289443844091</v>
      </c>
      <c r="AA94" s="250">
        <f t="shared" ca="1" si="13"/>
        <v>541.28289443844096</v>
      </c>
    </row>
    <row r="95" spans="5:27" x14ac:dyDescent="0.3">
      <c r="E95" s="241"/>
      <c r="F95" s="241"/>
      <c r="T95" s="254">
        <v>83</v>
      </c>
      <c r="U95" s="248">
        <f t="shared" si="8"/>
        <v>-18.258500000000002</v>
      </c>
      <c r="V95" s="248">
        <f t="shared" si="9"/>
        <v>-632.60850000000005</v>
      </c>
      <c r="W95" s="248">
        <f t="shared" si="10"/>
        <v>654.74</v>
      </c>
      <c r="X95" s="248">
        <f t="shared" si="11"/>
        <v>3.8729999999999336</v>
      </c>
      <c r="Y95" s="248">
        <f t="shared" ca="1" si="7"/>
        <v>13.385727699892982</v>
      </c>
      <c r="Z95" s="248">
        <f t="shared" ca="1" si="12"/>
        <v>5.4128289443844091</v>
      </c>
      <c r="AA95" s="250">
        <f t="shared" ca="1" si="13"/>
        <v>541.28289443844096</v>
      </c>
    </row>
    <row r="96" spans="5:27" x14ac:dyDescent="0.3">
      <c r="E96" s="241"/>
      <c r="F96" s="241"/>
      <c r="T96" s="254">
        <v>84</v>
      </c>
      <c r="U96" s="248">
        <f t="shared" si="8"/>
        <v>-18.258500000000002</v>
      </c>
      <c r="V96" s="248">
        <f t="shared" si="9"/>
        <v>-631.60850000000005</v>
      </c>
      <c r="W96" s="248">
        <f t="shared" si="10"/>
        <v>653.74</v>
      </c>
      <c r="X96" s="248">
        <f t="shared" si="11"/>
        <v>3.8729999999999336</v>
      </c>
      <c r="Y96" s="248">
        <f t="shared" ca="1" si="7"/>
        <v>13.385727699892982</v>
      </c>
      <c r="Z96" s="248">
        <f t="shared" ca="1" si="12"/>
        <v>5.4128289443844091</v>
      </c>
      <c r="AA96" s="250">
        <f t="shared" ca="1" si="13"/>
        <v>541.28289443844096</v>
      </c>
    </row>
    <row r="97" spans="5:27" x14ac:dyDescent="0.3">
      <c r="E97" s="241"/>
      <c r="F97" s="241"/>
      <c r="T97" s="254">
        <v>85</v>
      </c>
      <c r="U97" s="248">
        <f t="shared" si="8"/>
        <v>-18.258500000000002</v>
      </c>
      <c r="V97" s="248">
        <f t="shared" si="9"/>
        <v>-630.60850000000005</v>
      </c>
      <c r="W97" s="248">
        <f t="shared" si="10"/>
        <v>652.74</v>
      </c>
      <c r="X97" s="248">
        <f t="shared" si="11"/>
        <v>3.8729999999999336</v>
      </c>
      <c r="Y97" s="248">
        <f t="shared" ca="1" si="7"/>
        <v>13.385727699892982</v>
      </c>
      <c r="Z97" s="248">
        <f t="shared" ca="1" si="12"/>
        <v>5.4128289443844091</v>
      </c>
      <c r="AA97" s="250">
        <f t="shared" ca="1" si="13"/>
        <v>541.28289443844096</v>
      </c>
    </row>
    <row r="98" spans="5:27" x14ac:dyDescent="0.3">
      <c r="E98" s="241"/>
      <c r="F98" s="241"/>
      <c r="T98" s="254">
        <v>86</v>
      </c>
      <c r="U98" s="248">
        <f t="shared" si="8"/>
        <v>-18.258500000000002</v>
      </c>
      <c r="V98" s="248">
        <f t="shared" si="9"/>
        <v>-629.60850000000005</v>
      </c>
      <c r="W98" s="248">
        <f t="shared" si="10"/>
        <v>651.74</v>
      </c>
      <c r="X98" s="248">
        <f t="shared" si="11"/>
        <v>3.8729999999999336</v>
      </c>
      <c r="Y98" s="248">
        <f t="shared" ca="1" si="7"/>
        <v>13.385727699892982</v>
      </c>
      <c r="Z98" s="248">
        <f t="shared" ca="1" si="12"/>
        <v>5.4128289443844091</v>
      </c>
      <c r="AA98" s="250">
        <f t="shared" ca="1" si="13"/>
        <v>541.28289443844096</v>
      </c>
    </row>
    <row r="99" spans="5:27" x14ac:dyDescent="0.3">
      <c r="E99" s="241"/>
      <c r="F99" s="241"/>
      <c r="T99" s="254">
        <v>87</v>
      </c>
      <c r="U99" s="248">
        <f t="shared" si="8"/>
        <v>-18.258500000000002</v>
      </c>
      <c r="V99" s="248">
        <f t="shared" si="9"/>
        <v>-628.60850000000005</v>
      </c>
      <c r="W99" s="248">
        <f t="shared" si="10"/>
        <v>650.74</v>
      </c>
      <c r="X99" s="248">
        <f t="shared" si="11"/>
        <v>3.8729999999999336</v>
      </c>
      <c r="Y99" s="248">
        <f t="shared" ca="1" si="7"/>
        <v>13.385727699892982</v>
      </c>
      <c r="Z99" s="248">
        <f t="shared" ca="1" si="12"/>
        <v>5.4128289443844091</v>
      </c>
      <c r="AA99" s="250">
        <f t="shared" ca="1" si="13"/>
        <v>541.28289443844096</v>
      </c>
    </row>
    <row r="100" spans="5:27" x14ac:dyDescent="0.3">
      <c r="E100" s="241"/>
      <c r="F100" s="241"/>
      <c r="T100" s="254">
        <v>88</v>
      </c>
      <c r="U100" s="248">
        <f t="shared" si="8"/>
        <v>-18.258500000000002</v>
      </c>
      <c r="V100" s="248">
        <f t="shared" si="9"/>
        <v>-627.60850000000005</v>
      </c>
      <c r="W100" s="248">
        <f t="shared" si="10"/>
        <v>649.74</v>
      </c>
      <c r="X100" s="248">
        <f t="shared" si="11"/>
        <v>3.8729999999999336</v>
      </c>
      <c r="Y100" s="248">
        <f t="shared" ca="1" si="7"/>
        <v>13.385727699892982</v>
      </c>
      <c r="Z100" s="248">
        <f t="shared" ca="1" si="12"/>
        <v>5.4128289443844091</v>
      </c>
      <c r="AA100" s="250">
        <f t="shared" ca="1" si="13"/>
        <v>541.28289443844096</v>
      </c>
    </row>
    <row r="101" spans="5:27" x14ac:dyDescent="0.3">
      <c r="E101" s="241"/>
      <c r="F101" s="241"/>
      <c r="T101" s="254">
        <v>89</v>
      </c>
      <c r="U101" s="248">
        <f t="shared" si="8"/>
        <v>-18.258500000000002</v>
      </c>
      <c r="V101" s="248">
        <f t="shared" si="9"/>
        <v>-626.60850000000005</v>
      </c>
      <c r="W101" s="248">
        <f t="shared" si="10"/>
        <v>648.74</v>
      </c>
      <c r="X101" s="248">
        <f t="shared" si="11"/>
        <v>3.8729999999999336</v>
      </c>
      <c r="Y101" s="248">
        <f t="shared" ca="1" si="7"/>
        <v>13.385727699892982</v>
      </c>
      <c r="Z101" s="248">
        <f t="shared" ca="1" si="12"/>
        <v>5.4128289443844091</v>
      </c>
      <c r="AA101" s="250">
        <f t="shared" ca="1" si="13"/>
        <v>541.28289443844096</v>
      </c>
    </row>
    <row r="102" spans="5:27" x14ac:dyDescent="0.3">
      <c r="E102" s="241"/>
      <c r="F102" s="241"/>
      <c r="T102" s="254">
        <v>90</v>
      </c>
      <c r="U102" s="248">
        <f t="shared" si="8"/>
        <v>-18.258500000000002</v>
      </c>
      <c r="V102" s="248">
        <f t="shared" si="9"/>
        <v>-625.60850000000005</v>
      </c>
      <c r="W102" s="248">
        <f t="shared" si="10"/>
        <v>647.74</v>
      </c>
      <c r="X102" s="248">
        <f t="shared" si="11"/>
        <v>3.8729999999999336</v>
      </c>
      <c r="Y102" s="248">
        <f t="shared" ca="1" si="7"/>
        <v>13.385727699892982</v>
      </c>
      <c r="Z102" s="248">
        <f t="shared" ca="1" si="12"/>
        <v>5.4128289443844091</v>
      </c>
      <c r="AA102" s="250">
        <f t="shared" ca="1" si="13"/>
        <v>541.28289443844096</v>
      </c>
    </row>
    <row r="103" spans="5:27" x14ac:dyDescent="0.3">
      <c r="E103" s="241"/>
      <c r="F103" s="241"/>
      <c r="T103" s="254">
        <v>91</v>
      </c>
      <c r="U103" s="248">
        <f t="shared" si="8"/>
        <v>-18.258500000000002</v>
      </c>
      <c r="V103" s="248">
        <f t="shared" si="9"/>
        <v>-624.60850000000005</v>
      </c>
      <c r="W103" s="248">
        <f t="shared" si="10"/>
        <v>646.74</v>
      </c>
      <c r="X103" s="248">
        <f t="shared" si="11"/>
        <v>3.8729999999999336</v>
      </c>
      <c r="Y103" s="248">
        <f t="shared" ca="1" si="7"/>
        <v>13.385727699892982</v>
      </c>
      <c r="Z103" s="248">
        <f t="shared" ca="1" si="12"/>
        <v>5.4128289443844091</v>
      </c>
      <c r="AA103" s="250">
        <f t="shared" ca="1" si="13"/>
        <v>541.28289443844096</v>
      </c>
    </row>
    <row r="104" spans="5:27" x14ac:dyDescent="0.3">
      <c r="E104" s="241"/>
      <c r="F104" s="241"/>
      <c r="T104" s="254">
        <v>92</v>
      </c>
      <c r="U104" s="248">
        <f t="shared" si="8"/>
        <v>-18.258500000000002</v>
      </c>
      <c r="V104" s="248">
        <f t="shared" si="9"/>
        <v>-623.60850000000005</v>
      </c>
      <c r="W104" s="248">
        <f t="shared" si="10"/>
        <v>645.74</v>
      </c>
      <c r="X104" s="248">
        <f t="shared" si="11"/>
        <v>3.8729999999999336</v>
      </c>
      <c r="Y104" s="248">
        <f t="shared" ca="1" si="7"/>
        <v>13.385727699892982</v>
      </c>
      <c r="Z104" s="248">
        <f t="shared" ca="1" si="12"/>
        <v>5.4128289443844091</v>
      </c>
      <c r="AA104" s="250">
        <f t="shared" ca="1" si="13"/>
        <v>541.28289443844096</v>
      </c>
    </row>
    <row r="105" spans="5:27" x14ac:dyDescent="0.3">
      <c r="E105" s="241"/>
      <c r="F105" s="241"/>
      <c r="T105" s="254">
        <v>93</v>
      </c>
      <c r="U105" s="248">
        <f t="shared" si="8"/>
        <v>-18.258500000000002</v>
      </c>
      <c r="V105" s="248">
        <f t="shared" si="9"/>
        <v>-622.60850000000005</v>
      </c>
      <c r="W105" s="248">
        <f t="shared" si="10"/>
        <v>644.74</v>
      </c>
      <c r="X105" s="248">
        <f t="shared" si="11"/>
        <v>3.8729999999999336</v>
      </c>
      <c r="Y105" s="248">
        <f t="shared" ca="1" si="7"/>
        <v>13.385727699892982</v>
      </c>
      <c r="Z105" s="248">
        <f t="shared" ca="1" si="12"/>
        <v>5.4128289443844091</v>
      </c>
      <c r="AA105" s="250">
        <f t="shared" ca="1" si="13"/>
        <v>541.28289443844096</v>
      </c>
    </row>
    <row r="106" spans="5:27" x14ac:dyDescent="0.3">
      <c r="E106" s="241"/>
      <c r="F106" s="241"/>
      <c r="T106" s="254">
        <v>94</v>
      </c>
      <c r="U106" s="248">
        <f t="shared" si="8"/>
        <v>-18.258500000000002</v>
      </c>
      <c r="V106" s="248">
        <f t="shared" si="9"/>
        <v>-621.60850000000005</v>
      </c>
      <c r="W106" s="248">
        <f t="shared" si="10"/>
        <v>643.74</v>
      </c>
      <c r="X106" s="248">
        <f t="shared" si="11"/>
        <v>3.8729999999999336</v>
      </c>
      <c r="Y106" s="248">
        <f t="shared" ca="1" si="7"/>
        <v>13.385727699892982</v>
      </c>
      <c r="Z106" s="248">
        <f t="shared" ca="1" si="12"/>
        <v>5.4128289443844091</v>
      </c>
      <c r="AA106" s="250">
        <f t="shared" ca="1" si="13"/>
        <v>541.28289443844096</v>
      </c>
    </row>
    <row r="107" spans="5:27" x14ac:dyDescent="0.3">
      <c r="E107" s="241"/>
      <c r="F107" s="241"/>
      <c r="T107" s="254">
        <v>95</v>
      </c>
      <c r="U107" s="248">
        <f t="shared" si="8"/>
        <v>-18.258500000000002</v>
      </c>
      <c r="V107" s="248">
        <f t="shared" si="9"/>
        <v>-620.60850000000005</v>
      </c>
      <c r="W107" s="248">
        <f t="shared" si="10"/>
        <v>642.74</v>
      </c>
      <c r="X107" s="248">
        <f t="shared" si="11"/>
        <v>3.8729999999999336</v>
      </c>
      <c r="Y107" s="248">
        <f t="shared" ca="1" si="7"/>
        <v>13.385727699892982</v>
      </c>
      <c r="Z107" s="248">
        <f t="shared" ca="1" si="12"/>
        <v>5.4128289443844091</v>
      </c>
      <c r="AA107" s="250">
        <f t="shared" ca="1" si="13"/>
        <v>541.28289443844096</v>
      </c>
    </row>
    <row r="108" spans="5:27" x14ac:dyDescent="0.3">
      <c r="E108" s="241"/>
      <c r="F108" s="241"/>
      <c r="T108" s="254">
        <v>96</v>
      </c>
      <c r="U108" s="248">
        <f t="shared" si="8"/>
        <v>-18.258500000000002</v>
      </c>
      <c r="V108" s="248">
        <f t="shared" si="9"/>
        <v>-619.60850000000005</v>
      </c>
      <c r="W108" s="248">
        <f t="shared" si="10"/>
        <v>641.74</v>
      </c>
      <c r="X108" s="248">
        <f t="shared" si="11"/>
        <v>3.8729999999999336</v>
      </c>
      <c r="Y108" s="248">
        <f t="shared" ca="1" si="7"/>
        <v>13.385727699892982</v>
      </c>
      <c r="Z108" s="248">
        <f t="shared" ca="1" si="12"/>
        <v>5.4128289443844091</v>
      </c>
      <c r="AA108" s="250">
        <f t="shared" ca="1" si="13"/>
        <v>541.28289443844096</v>
      </c>
    </row>
    <row r="109" spans="5:27" x14ac:dyDescent="0.3">
      <c r="E109" s="241"/>
      <c r="F109" s="241"/>
      <c r="T109" s="254">
        <v>97</v>
      </c>
      <c r="U109" s="248">
        <f t="shared" si="8"/>
        <v>-18.258500000000002</v>
      </c>
      <c r="V109" s="248">
        <f t="shared" si="9"/>
        <v>-618.60850000000005</v>
      </c>
      <c r="W109" s="248">
        <f t="shared" si="10"/>
        <v>640.74</v>
      </c>
      <c r="X109" s="248">
        <f t="shared" si="11"/>
        <v>3.8729999999999336</v>
      </c>
      <c r="Y109" s="248">
        <f t="shared" ca="1" si="7"/>
        <v>13.385727699892982</v>
      </c>
      <c r="Z109" s="248">
        <f t="shared" ca="1" si="12"/>
        <v>5.4128289443844091</v>
      </c>
      <c r="AA109" s="250">
        <f t="shared" ca="1" si="13"/>
        <v>541.28289443844096</v>
      </c>
    </row>
    <row r="110" spans="5:27" x14ac:dyDescent="0.3">
      <c r="E110" s="241"/>
      <c r="F110" s="241"/>
      <c r="T110" s="254">
        <v>98</v>
      </c>
      <c r="U110" s="248">
        <f t="shared" si="8"/>
        <v>-18.258500000000002</v>
      </c>
      <c r="V110" s="248">
        <f t="shared" si="9"/>
        <v>-617.60850000000005</v>
      </c>
      <c r="W110" s="248">
        <f t="shared" si="10"/>
        <v>639.74</v>
      </c>
      <c r="X110" s="248">
        <f t="shared" si="11"/>
        <v>3.8729999999999336</v>
      </c>
      <c r="Y110" s="248">
        <f t="shared" ca="1" si="7"/>
        <v>13.385727699892982</v>
      </c>
      <c r="Z110" s="248">
        <f t="shared" ca="1" si="12"/>
        <v>5.4128289443844091</v>
      </c>
      <c r="AA110" s="250">
        <f t="shared" ca="1" si="13"/>
        <v>541.28289443844096</v>
      </c>
    </row>
    <row r="111" spans="5:27" x14ac:dyDescent="0.3">
      <c r="E111" s="241"/>
      <c r="F111" s="241"/>
      <c r="T111" s="254">
        <v>99</v>
      </c>
      <c r="U111" s="248">
        <f t="shared" si="8"/>
        <v>-18.258500000000002</v>
      </c>
      <c r="V111" s="248">
        <f t="shared" si="9"/>
        <v>-616.60850000000005</v>
      </c>
      <c r="W111" s="248">
        <f t="shared" si="10"/>
        <v>638.74</v>
      </c>
      <c r="X111" s="248">
        <f t="shared" si="11"/>
        <v>3.8729999999999336</v>
      </c>
      <c r="Y111" s="248">
        <f t="shared" ca="1" si="7"/>
        <v>13.385727699892982</v>
      </c>
      <c r="Z111" s="248">
        <f t="shared" ca="1" si="12"/>
        <v>5.4128289443844091</v>
      </c>
      <c r="AA111" s="250">
        <f t="shared" ca="1" si="13"/>
        <v>541.28289443844096</v>
      </c>
    </row>
    <row r="112" spans="5:27" x14ac:dyDescent="0.3">
      <c r="E112" s="241"/>
      <c r="F112" s="241"/>
      <c r="T112" s="254">
        <v>100</v>
      </c>
      <c r="U112" s="248">
        <f t="shared" si="8"/>
        <v>-18.258500000000002</v>
      </c>
      <c r="V112" s="248">
        <f t="shared" si="9"/>
        <v>-615.60850000000005</v>
      </c>
      <c r="W112" s="248">
        <f t="shared" si="10"/>
        <v>637.74</v>
      </c>
      <c r="X112" s="248">
        <f t="shared" si="11"/>
        <v>3.8729999999999336</v>
      </c>
      <c r="Y112" s="248">
        <f t="shared" ca="1" si="7"/>
        <v>13.385727699892982</v>
      </c>
      <c r="Z112" s="248">
        <f t="shared" ca="1" si="12"/>
        <v>5.4128289443844091</v>
      </c>
      <c r="AA112" s="250">
        <f t="shared" ca="1" si="13"/>
        <v>541.28289443844096</v>
      </c>
    </row>
    <row r="113" spans="5:27" x14ac:dyDescent="0.3">
      <c r="E113" s="241"/>
      <c r="F113" s="241"/>
      <c r="T113" s="254">
        <v>101</v>
      </c>
      <c r="U113" s="248">
        <f t="shared" si="8"/>
        <v>-18.258500000000002</v>
      </c>
      <c r="V113" s="248">
        <f t="shared" si="9"/>
        <v>-614.60850000000005</v>
      </c>
      <c r="W113" s="248">
        <f t="shared" si="10"/>
        <v>636.74</v>
      </c>
      <c r="X113" s="248">
        <f t="shared" si="11"/>
        <v>3.8729999999999336</v>
      </c>
      <c r="Y113" s="248">
        <f t="shared" ca="1" si="7"/>
        <v>13.385727699892982</v>
      </c>
      <c r="Z113" s="248">
        <f t="shared" ca="1" si="12"/>
        <v>5.4128289443844091</v>
      </c>
      <c r="AA113" s="250">
        <f t="shared" ca="1" si="13"/>
        <v>541.28289443844096</v>
      </c>
    </row>
    <row r="114" spans="5:27" x14ac:dyDescent="0.3">
      <c r="E114" s="241"/>
      <c r="F114" s="241"/>
      <c r="T114" s="254">
        <v>102</v>
      </c>
      <c r="U114" s="248">
        <f t="shared" si="8"/>
        <v>-18.258500000000002</v>
      </c>
      <c r="V114" s="248">
        <f t="shared" si="9"/>
        <v>-613.60850000000005</v>
      </c>
      <c r="W114" s="248">
        <f t="shared" si="10"/>
        <v>635.74</v>
      </c>
      <c r="X114" s="248">
        <f t="shared" si="11"/>
        <v>3.8729999999999336</v>
      </c>
      <c r="Y114" s="248">
        <f t="shared" ca="1" si="7"/>
        <v>13.385727699892982</v>
      </c>
      <c r="Z114" s="248">
        <f t="shared" ca="1" si="12"/>
        <v>5.4128289443844091</v>
      </c>
      <c r="AA114" s="250">
        <f t="shared" ca="1" si="13"/>
        <v>541.28289443844096</v>
      </c>
    </row>
    <row r="115" spans="5:27" x14ac:dyDescent="0.3">
      <c r="E115" s="241"/>
      <c r="F115" s="241"/>
      <c r="T115" s="254">
        <v>103</v>
      </c>
      <c r="U115" s="248">
        <f t="shared" si="8"/>
        <v>-18.258500000000002</v>
      </c>
      <c r="V115" s="248">
        <f t="shared" si="9"/>
        <v>-612.60850000000005</v>
      </c>
      <c r="W115" s="248">
        <f t="shared" si="10"/>
        <v>634.74</v>
      </c>
      <c r="X115" s="248">
        <f t="shared" si="11"/>
        <v>3.8729999999999336</v>
      </c>
      <c r="Y115" s="248">
        <f t="shared" ca="1" si="7"/>
        <v>13.385727699892982</v>
      </c>
      <c r="Z115" s="248">
        <f t="shared" ca="1" si="12"/>
        <v>5.4128289443844091</v>
      </c>
      <c r="AA115" s="250">
        <f t="shared" ca="1" si="13"/>
        <v>541.28289443844096</v>
      </c>
    </row>
    <row r="116" spans="5:27" x14ac:dyDescent="0.3">
      <c r="E116" s="241"/>
      <c r="F116" s="241"/>
      <c r="T116" s="254">
        <v>104</v>
      </c>
      <c r="U116" s="248">
        <f t="shared" si="8"/>
        <v>-18.258500000000002</v>
      </c>
      <c r="V116" s="248">
        <f t="shared" si="9"/>
        <v>-611.60850000000005</v>
      </c>
      <c r="W116" s="248">
        <f t="shared" si="10"/>
        <v>633.74</v>
      </c>
      <c r="X116" s="248">
        <f t="shared" si="11"/>
        <v>3.8729999999999336</v>
      </c>
      <c r="Y116" s="248">
        <f t="shared" ca="1" si="7"/>
        <v>13.385727699892982</v>
      </c>
      <c r="Z116" s="248">
        <f t="shared" ca="1" si="12"/>
        <v>5.4128289443844091</v>
      </c>
      <c r="AA116" s="250">
        <f t="shared" ca="1" si="13"/>
        <v>541.28289443844096</v>
      </c>
    </row>
    <row r="117" spans="5:27" x14ac:dyDescent="0.3">
      <c r="E117" s="241"/>
      <c r="F117" s="241"/>
      <c r="T117" s="254">
        <v>105</v>
      </c>
      <c r="U117" s="248">
        <f t="shared" si="8"/>
        <v>-18.258500000000002</v>
      </c>
      <c r="V117" s="248">
        <f t="shared" si="9"/>
        <v>-610.60850000000005</v>
      </c>
      <c r="W117" s="248">
        <f t="shared" si="10"/>
        <v>632.74</v>
      </c>
      <c r="X117" s="248">
        <f t="shared" si="11"/>
        <v>3.8729999999999336</v>
      </c>
      <c r="Y117" s="248">
        <f t="shared" ca="1" si="7"/>
        <v>13.385727699892982</v>
      </c>
      <c r="Z117" s="248">
        <f t="shared" ca="1" si="12"/>
        <v>5.4128289443844091</v>
      </c>
      <c r="AA117" s="250">
        <f t="shared" ca="1" si="13"/>
        <v>541.28289443844096</v>
      </c>
    </row>
    <row r="118" spans="5:27" x14ac:dyDescent="0.3">
      <c r="E118" s="241"/>
      <c r="F118" s="241"/>
      <c r="T118" s="254">
        <v>106</v>
      </c>
      <c r="U118" s="248">
        <f t="shared" si="8"/>
        <v>-18.258500000000002</v>
      </c>
      <c r="V118" s="248">
        <f t="shared" si="9"/>
        <v>-609.60850000000005</v>
      </c>
      <c r="W118" s="248">
        <f t="shared" si="10"/>
        <v>631.74</v>
      </c>
      <c r="X118" s="248">
        <f t="shared" si="11"/>
        <v>3.8729999999999336</v>
      </c>
      <c r="Y118" s="248">
        <f t="shared" ca="1" si="7"/>
        <v>13.385727699892982</v>
      </c>
      <c r="Z118" s="248">
        <f t="shared" ca="1" si="12"/>
        <v>5.4128289443844091</v>
      </c>
      <c r="AA118" s="250">
        <f t="shared" ca="1" si="13"/>
        <v>541.28289443844096</v>
      </c>
    </row>
    <row r="119" spans="5:27" x14ac:dyDescent="0.3">
      <c r="E119" s="241"/>
      <c r="F119" s="241"/>
      <c r="T119" s="254">
        <v>107</v>
      </c>
      <c r="U119" s="248">
        <f t="shared" si="8"/>
        <v>-18.258500000000002</v>
      </c>
      <c r="V119" s="248">
        <f t="shared" si="9"/>
        <v>-608.60850000000005</v>
      </c>
      <c r="W119" s="248">
        <f t="shared" si="10"/>
        <v>630.74</v>
      </c>
      <c r="X119" s="248">
        <f t="shared" si="11"/>
        <v>3.8729999999999336</v>
      </c>
      <c r="Y119" s="248">
        <f t="shared" ca="1" si="7"/>
        <v>13.385727699892982</v>
      </c>
      <c r="Z119" s="248">
        <f t="shared" ca="1" si="12"/>
        <v>5.4128289443844091</v>
      </c>
      <c r="AA119" s="250">
        <f t="shared" ca="1" si="13"/>
        <v>541.28289443844096</v>
      </c>
    </row>
    <row r="120" spans="5:27" x14ac:dyDescent="0.3">
      <c r="E120" s="241"/>
      <c r="F120" s="241"/>
      <c r="T120" s="254">
        <v>108</v>
      </c>
      <c r="U120" s="248">
        <f t="shared" si="8"/>
        <v>-18.258500000000002</v>
      </c>
      <c r="V120" s="248">
        <f t="shared" si="9"/>
        <v>-607.60850000000005</v>
      </c>
      <c r="W120" s="248">
        <f t="shared" si="10"/>
        <v>629.74</v>
      </c>
      <c r="X120" s="248">
        <f t="shared" si="11"/>
        <v>3.8729999999999336</v>
      </c>
      <c r="Y120" s="248">
        <f t="shared" ca="1" si="7"/>
        <v>13.385727699892982</v>
      </c>
      <c r="Z120" s="248">
        <f t="shared" ca="1" si="12"/>
        <v>5.4128289443844091</v>
      </c>
      <c r="AA120" s="250">
        <f t="shared" ca="1" si="13"/>
        <v>541.28289443844096</v>
      </c>
    </row>
    <row r="121" spans="5:27" x14ac:dyDescent="0.3">
      <c r="E121" s="241"/>
      <c r="F121" s="241"/>
      <c r="T121" s="254">
        <v>109</v>
      </c>
      <c r="U121" s="248">
        <f t="shared" si="8"/>
        <v>-18.258500000000002</v>
      </c>
      <c r="V121" s="248">
        <f t="shared" si="9"/>
        <v>-606.60850000000005</v>
      </c>
      <c r="W121" s="248">
        <f t="shared" si="10"/>
        <v>628.74</v>
      </c>
      <c r="X121" s="248">
        <f t="shared" si="11"/>
        <v>3.8729999999999336</v>
      </c>
      <c r="Y121" s="248">
        <f t="shared" ca="1" si="7"/>
        <v>13.385727699892982</v>
      </c>
      <c r="Z121" s="248">
        <f t="shared" ca="1" si="12"/>
        <v>5.4128289443844091</v>
      </c>
      <c r="AA121" s="250">
        <f t="shared" ca="1" si="13"/>
        <v>541.28289443844096</v>
      </c>
    </row>
    <row r="122" spans="5:27" x14ac:dyDescent="0.3">
      <c r="E122" s="241"/>
      <c r="F122" s="241"/>
      <c r="T122" s="254">
        <v>110</v>
      </c>
      <c r="U122" s="248">
        <f t="shared" si="8"/>
        <v>-18.258500000000002</v>
      </c>
      <c r="V122" s="248">
        <f t="shared" si="9"/>
        <v>-605.60850000000005</v>
      </c>
      <c r="W122" s="248">
        <f t="shared" si="10"/>
        <v>627.74</v>
      </c>
      <c r="X122" s="248">
        <f t="shared" si="11"/>
        <v>3.8729999999999336</v>
      </c>
      <c r="Y122" s="248">
        <f t="shared" ca="1" si="7"/>
        <v>13.385727699892982</v>
      </c>
      <c r="Z122" s="248">
        <f t="shared" ca="1" si="12"/>
        <v>5.4128289443844091</v>
      </c>
      <c r="AA122" s="250">
        <f t="shared" ca="1" si="13"/>
        <v>541.28289443844096</v>
      </c>
    </row>
    <row r="123" spans="5:27" x14ac:dyDescent="0.3">
      <c r="E123" s="241"/>
      <c r="F123" s="241"/>
      <c r="T123" s="254">
        <v>111</v>
      </c>
      <c r="U123" s="248">
        <f t="shared" si="8"/>
        <v>-18.258500000000002</v>
      </c>
      <c r="V123" s="248">
        <f t="shared" si="9"/>
        <v>-604.60850000000005</v>
      </c>
      <c r="W123" s="248">
        <f t="shared" si="10"/>
        <v>626.74</v>
      </c>
      <c r="X123" s="248">
        <f t="shared" si="11"/>
        <v>3.8729999999999336</v>
      </c>
      <c r="Y123" s="248">
        <f t="shared" ca="1" si="7"/>
        <v>13.385727699892982</v>
      </c>
      <c r="Z123" s="248">
        <f t="shared" ca="1" si="12"/>
        <v>5.4128289443844091</v>
      </c>
      <c r="AA123" s="250">
        <f t="shared" ca="1" si="13"/>
        <v>541.28289443844096</v>
      </c>
    </row>
    <row r="124" spans="5:27" x14ac:dyDescent="0.3">
      <c r="E124" s="241"/>
      <c r="F124" s="241"/>
      <c r="T124" s="254">
        <v>112</v>
      </c>
      <c r="U124" s="248">
        <f t="shared" si="8"/>
        <v>-18.258500000000002</v>
      </c>
      <c r="V124" s="248">
        <f t="shared" si="9"/>
        <v>-603.60850000000005</v>
      </c>
      <c r="W124" s="248">
        <f t="shared" si="10"/>
        <v>625.74</v>
      </c>
      <c r="X124" s="248">
        <f t="shared" si="11"/>
        <v>3.8729999999999336</v>
      </c>
      <c r="Y124" s="248">
        <f t="shared" ca="1" si="7"/>
        <v>13.385727699892982</v>
      </c>
      <c r="Z124" s="248">
        <f t="shared" ca="1" si="12"/>
        <v>5.4128289443844091</v>
      </c>
      <c r="AA124" s="250">
        <f t="shared" ca="1" si="13"/>
        <v>541.28289443844096</v>
      </c>
    </row>
    <row r="125" spans="5:27" x14ac:dyDescent="0.3">
      <c r="E125" s="241"/>
      <c r="F125" s="241"/>
      <c r="T125" s="254">
        <v>113</v>
      </c>
      <c r="U125" s="248">
        <f t="shared" si="8"/>
        <v>-18.258500000000002</v>
      </c>
      <c r="V125" s="248">
        <f t="shared" si="9"/>
        <v>-602.60850000000005</v>
      </c>
      <c r="W125" s="248">
        <f t="shared" si="10"/>
        <v>624.74</v>
      </c>
      <c r="X125" s="248">
        <f t="shared" si="11"/>
        <v>3.8729999999999336</v>
      </c>
      <c r="Y125" s="248">
        <f t="shared" ca="1" si="7"/>
        <v>13.385727699892982</v>
      </c>
      <c r="Z125" s="248">
        <f t="shared" ca="1" si="12"/>
        <v>5.4128289443844091</v>
      </c>
      <c r="AA125" s="250">
        <f t="shared" ca="1" si="13"/>
        <v>541.28289443844096</v>
      </c>
    </row>
    <row r="126" spans="5:27" x14ac:dyDescent="0.3">
      <c r="E126" s="241"/>
      <c r="F126" s="241"/>
      <c r="T126" s="254">
        <v>114</v>
      </c>
      <c r="U126" s="248">
        <f t="shared" si="8"/>
        <v>-18.258500000000002</v>
      </c>
      <c r="V126" s="248">
        <f t="shared" si="9"/>
        <v>-601.60850000000005</v>
      </c>
      <c r="W126" s="248">
        <f t="shared" si="10"/>
        <v>623.74</v>
      </c>
      <c r="X126" s="248">
        <f t="shared" si="11"/>
        <v>3.8729999999999336</v>
      </c>
      <c r="Y126" s="248">
        <f t="shared" ca="1" si="7"/>
        <v>13.385727699892982</v>
      </c>
      <c r="Z126" s="248">
        <f t="shared" ca="1" si="12"/>
        <v>5.4128289443844091</v>
      </c>
      <c r="AA126" s="250">
        <f t="shared" ca="1" si="13"/>
        <v>541.28289443844096</v>
      </c>
    </row>
    <row r="127" spans="5:27" x14ac:dyDescent="0.3">
      <c r="E127" s="241"/>
      <c r="F127" s="241"/>
      <c r="T127" s="254">
        <v>115</v>
      </c>
      <c r="U127" s="248">
        <f t="shared" si="8"/>
        <v>-18.258500000000002</v>
      </c>
      <c r="V127" s="248">
        <f t="shared" si="9"/>
        <v>-600.60850000000005</v>
      </c>
      <c r="W127" s="248">
        <f t="shared" si="10"/>
        <v>622.74</v>
      </c>
      <c r="X127" s="248">
        <f t="shared" si="11"/>
        <v>3.8729999999999336</v>
      </c>
      <c r="Y127" s="248">
        <f t="shared" ca="1" si="7"/>
        <v>13.385727699892982</v>
      </c>
      <c r="Z127" s="248">
        <f t="shared" ca="1" si="12"/>
        <v>5.4128289443844091</v>
      </c>
      <c r="AA127" s="250">
        <f t="shared" ca="1" si="13"/>
        <v>541.28289443844096</v>
      </c>
    </row>
    <row r="128" spans="5:27" x14ac:dyDescent="0.3">
      <c r="E128" s="241"/>
      <c r="F128" s="241"/>
      <c r="T128" s="254">
        <v>116</v>
      </c>
      <c r="U128" s="248">
        <f t="shared" si="8"/>
        <v>-18.258500000000002</v>
      </c>
      <c r="V128" s="248">
        <f t="shared" si="9"/>
        <v>-599.60850000000005</v>
      </c>
      <c r="W128" s="248">
        <f t="shared" si="10"/>
        <v>621.74</v>
      </c>
      <c r="X128" s="248">
        <f t="shared" si="11"/>
        <v>3.8729999999999336</v>
      </c>
      <c r="Y128" s="248">
        <f t="shared" ca="1" si="7"/>
        <v>13.385727699892982</v>
      </c>
      <c r="Z128" s="248">
        <f t="shared" ca="1" si="12"/>
        <v>5.4128289443844091</v>
      </c>
      <c r="AA128" s="250">
        <f t="shared" ca="1" si="13"/>
        <v>541.28289443844096</v>
      </c>
    </row>
    <row r="129" spans="5:27" x14ac:dyDescent="0.3">
      <c r="E129" s="241"/>
      <c r="F129" s="241"/>
      <c r="T129" s="254">
        <v>117</v>
      </c>
      <c r="U129" s="248">
        <f t="shared" si="8"/>
        <v>-18.258500000000002</v>
      </c>
      <c r="V129" s="248">
        <f t="shared" si="9"/>
        <v>-598.60850000000005</v>
      </c>
      <c r="W129" s="248">
        <f t="shared" si="10"/>
        <v>620.74</v>
      </c>
      <c r="X129" s="248">
        <f t="shared" si="11"/>
        <v>3.8729999999999336</v>
      </c>
      <c r="Y129" s="248">
        <f t="shared" ca="1" si="7"/>
        <v>13.385727699892982</v>
      </c>
      <c r="Z129" s="248">
        <f t="shared" ca="1" si="12"/>
        <v>5.4128289443844091</v>
      </c>
      <c r="AA129" s="250">
        <f t="shared" ca="1" si="13"/>
        <v>541.28289443844096</v>
      </c>
    </row>
    <row r="130" spans="5:27" x14ac:dyDescent="0.3">
      <c r="E130" s="241"/>
      <c r="F130" s="241"/>
      <c r="T130" s="254">
        <v>118</v>
      </c>
      <c r="U130" s="248">
        <f t="shared" si="8"/>
        <v>-18.258500000000002</v>
      </c>
      <c r="V130" s="248">
        <f t="shared" si="9"/>
        <v>-597.60850000000005</v>
      </c>
      <c r="W130" s="248">
        <f t="shared" si="10"/>
        <v>619.74</v>
      </c>
      <c r="X130" s="248">
        <f t="shared" si="11"/>
        <v>3.8729999999999336</v>
      </c>
      <c r="Y130" s="248">
        <f t="shared" ca="1" si="7"/>
        <v>13.385727699892982</v>
      </c>
      <c r="Z130" s="248">
        <f t="shared" ca="1" si="12"/>
        <v>5.4128289443844091</v>
      </c>
      <c r="AA130" s="250">
        <f t="shared" ca="1" si="13"/>
        <v>541.28289443844096</v>
      </c>
    </row>
    <row r="131" spans="5:27" x14ac:dyDescent="0.3">
      <c r="E131" s="241"/>
      <c r="F131" s="241"/>
      <c r="T131" s="254">
        <v>119</v>
      </c>
      <c r="U131" s="248">
        <f t="shared" si="8"/>
        <v>-18.258500000000002</v>
      </c>
      <c r="V131" s="248">
        <f t="shared" si="9"/>
        <v>-596.60850000000005</v>
      </c>
      <c r="W131" s="248">
        <f t="shared" si="10"/>
        <v>618.74</v>
      </c>
      <c r="X131" s="248">
        <f t="shared" si="11"/>
        <v>3.8729999999999336</v>
      </c>
      <c r="Y131" s="248">
        <f t="shared" ca="1" si="7"/>
        <v>13.385727699892982</v>
      </c>
      <c r="Z131" s="248">
        <f t="shared" ca="1" si="12"/>
        <v>5.4128289443844091</v>
      </c>
      <c r="AA131" s="250">
        <f t="shared" ca="1" si="13"/>
        <v>541.28289443844096</v>
      </c>
    </row>
    <row r="132" spans="5:27" x14ac:dyDescent="0.3">
      <c r="E132" s="241"/>
      <c r="F132" s="241"/>
      <c r="T132" s="254">
        <v>120</v>
      </c>
      <c r="U132" s="248">
        <f t="shared" si="8"/>
        <v>-18.258500000000002</v>
      </c>
      <c r="V132" s="248">
        <f t="shared" si="9"/>
        <v>-595.60850000000005</v>
      </c>
      <c r="W132" s="248">
        <f t="shared" si="10"/>
        <v>617.74</v>
      </c>
      <c r="X132" s="248">
        <f t="shared" si="11"/>
        <v>3.8729999999999336</v>
      </c>
      <c r="Y132" s="248">
        <f t="shared" ca="1" si="7"/>
        <v>13.385727699892982</v>
      </c>
      <c r="Z132" s="248">
        <f t="shared" ca="1" si="12"/>
        <v>5.4128289443844091</v>
      </c>
      <c r="AA132" s="250">
        <f t="shared" ca="1" si="13"/>
        <v>541.28289443844096</v>
      </c>
    </row>
    <row r="133" spans="5:27" x14ac:dyDescent="0.3">
      <c r="E133" s="241"/>
      <c r="F133" s="241"/>
      <c r="T133" s="254">
        <v>121</v>
      </c>
      <c r="U133" s="248">
        <f t="shared" si="8"/>
        <v>-18.258500000000002</v>
      </c>
      <c r="V133" s="248">
        <f t="shared" si="9"/>
        <v>-594.60850000000005</v>
      </c>
      <c r="W133" s="248">
        <f t="shared" si="10"/>
        <v>616.74</v>
      </c>
      <c r="X133" s="248">
        <f t="shared" si="11"/>
        <v>3.8729999999999336</v>
      </c>
      <c r="Y133" s="248">
        <f t="shared" ca="1" si="7"/>
        <v>13.385727699892982</v>
      </c>
      <c r="Z133" s="248">
        <f t="shared" ca="1" si="12"/>
        <v>5.4128289443844091</v>
      </c>
      <c r="AA133" s="250">
        <f t="shared" ca="1" si="13"/>
        <v>541.28289443844096</v>
      </c>
    </row>
    <row r="134" spans="5:27" x14ac:dyDescent="0.3">
      <c r="E134" s="241"/>
      <c r="F134" s="241"/>
      <c r="T134" s="254">
        <v>122</v>
      </c>
      <c r="U134" s="248">
        <f t="shared" si="8"/>
        <v>-18.258500000000002</v>
      </c>
      <c r="V134" s="248">
        <f t="shared" si="9"/>
        <v>-593.60850000000005</v>
      </c>
      <c r="W134" s="248">
        <f t="shared" si="10"/>
        <v>615.74</v>
      </c>
      <c r="X134" s="248">
        <f t="shared" si="11"/>
        <v>3.8729999999999336</v>
      </c>
      <c r="Y134" s="248">
        <f t="shared" ca="1" si="7"/>
        <v>13.385727699892982</v>
      </c>
      <c r="Z134" s="248">
        <f t="shared" ca="1" si="12"/>
        <v>5.4128289443844091</v>
      </c>
      <c r="AA134" s="250">
        <f t="shared" ca="1" si="13"/>
        <v>541.28289443844096</v>
      </c>
    </row>
    <row r="135" spans="5:27" x14ac:dyDescent="0.3">
      <c r="E135" s="241"/>
      <c r="F135" s="241"/>
      <c r="T135" s="254">
        <v>123</v>
      </c>
      <c r="U135" s="248">
        <f t="shared" si="8"/>
        <v>-18.258500000000002</v>
      </c>
      <c r="V135" s="248">
        <f t="shared" si="9"/>
        <v>-592.60850000000005</v>
      </c>
      <c r="W135" s="248">
        <f t="shared" si="10"/>
        <v>614.74</v>
      </c>
      <c r="X135" s="248">
        <f t="shared" si="11"/>
        <v>3.8729999999999336</v>
      </c>
      <c r="Y135" s="248">
        <f t="shared" ca="1" si="7"/>
        <v>13.385727699892982</v>
      </c>
      <c r="Z135" s="248">
        <f t="shared" ca="1" si="12"/>
        <v>5.4128289443844091</v>
      </c>
      <c r="AA135" s="250">
        <f t="shared" ca="1" si="13"/>
        <v>541.28289443844096</v>
      </c>
    </row>
    <row r="136" spans="5:27" x14ac:dyDescent="0.3">
      <c r="E136" s="241"/>
      <c r="F136" s="241"/>
      <c r="T136" s="254">
        <v>124</v>
      </c>
      <c r="U136" s="248">
        <f t="shared" si="8"/>
        <v>-18.258500000000002</v>
      </c>
      <c r="V136" s="248">
        <f t="shared" si="9"/>
        <v>-591.60850000000005</v>
      </c>
      <c r="W136" s="248">
        <f t="shared" si="10"/>
        <v>613.74</v>
      </c>
      <c r="X136" s="248">
        <f t="shared" si="11"/>
        <v>3.8729999999999336</v>
      </c>
      <c r="Y136" s="248">
        <f t="shared" ca="1" si="7"/>
        <v>13.385727699892982</v>
      </c>
      <c r="Z136" s="248">
        <f t="shared" ca="1" si="12"/>
        <v>5.4128289443844091</v>
      </c>
      <c r="AA136" s="250">
        <f t="shared" ca="1" si="13"/>
        <v>541.28289443844096</v>
      </c>
    </row>
    <row r="137" spans="5:27" x14ac:dyDescent="0.3">
      <c r="E137" s="241"/>
      <c r="F137" s="241"/>
      <c r="T137" s="254">
        <v>125</v>
      </c>
      <c r="U137" s="248">
        <f t="shared" si="8"/>
        <v>-18.258500000000002</v>
      </c>
      <c r="V137" s="248">
        <f t="shared" si="9"/>
        <v>-590.60850000000005</v>
      </c>
      <c r="W137" s="248">
        <f t="shared" si="10"/>
        <v>612.74</v>
      </c>
      <c r="X137" s="248">
        <f t="shared" si="11"/>
        <v>3.8729999999999336</v>
      </c>
      <c r="Y137" s="248">
        <f t="shared" ca="1" si="7"/>
        <v>13.385727699892982</v>
      </c>
      <c r="Z137" s="248">
        <f t="shared" ca="1" si="12"/>
        <v>5.4128289443844091</v>
      </c>
      <c r="AA137" s="250">
        <f t="shared" ca="1" si="13"/>
        <v>541.28289443844096</v>
      </c>
    </row>
    <row r="138" spans="5:27" x14ac:dyDescent="0.3">
      <c r="E138" s="241"/>
      <c r="F138" s="241"/>
      <c r="T138" s="254">
        <v>126</v>
      </c>
      <c r="U138" s="248">
        <f t="shared" si="8"/>
        <v>-18.258500000000002</v>
      </c>
      <c r="V138" s="248">
        <f t="shared" si="9"/>
        <v>-589.60850000000005</v>
      </c>
      <c r="W138" s="248">
        <f t="shared" si="10"/>
        <v>611.74</v>
      </c>
      <c r="X138" s="248">
        <f t="shared" si="11"/>
        <v>3.8729999999999336</v>
      </c>
      <c r="Y138" s="248">
        <f t="shared" ca="1" si="7"/>
        <v>13.385727699892982</v>
      </c>
      <c r="Z138" s="248">
        <f t="shared" ca="1" si="12"/>
        <v>5.4128289443844091</v>
      </c>
      <c r="AA138" s="250">
        <f t="shared" ca="1" si="13"/>
        <v>541.28289443844096</v>
      </c>
    </row>
    <row r="139" spans="5:27" x14ac:dyDescent="0.3">
      <c r="E139" s="241"/>
      <c r="F139" s="241"/>
      <c r="T139" s="254">
        <v>127</v>
      </c>
      <c r="U139" s="248">
        <f t="shared" si="8"/>
        <v>-18.258500000000002</v>
      </c>
      <c r="V139" s="248">
        <f t="shared" si="9"/>
        <v>-588.60850000000005</v>
      </c>
      <c r="W139" s="248">
        <f t="shared" si="10"/>
        <v>610.74</v>
      </c>
      <c r="X139" s="248">
        <f t="shared" si="11"/>
        <v>3.8729999999999336</v>
      </c>
      <c r="Y139" s="248">
        <f t="shared" ca="1" si="7"/>
        <v>13.385727699892982</v>
      </c>
      <c r="Z139" s="248">
        <f t="shared" ca="1" si="12"/>
        <v>5.4128289443844091</v>
      </c>
      <c r="AA139" s="250">
        <f t="shared" ca="1" si="13"/>
        <v>541.28289443844096</v>
      </c>
    </row>
    <row r="140" spans="5:27" x14ac:dyDescent="0.3">
      <c r="E140" s="241"/>
      <c r="F140" s="241"/>
      <c r="T140" s="254">
        <v>128</v>
      </c>
      <c r="U140" s="248">
        <f t="shared" si="8"/>
        <v>-18.258500000000002</v>
      </c>
      <c r="V140" s="248">
        <f t="shared" si="9"/>
        <v>-587.60850000000005</v>
      </c>
      <c r="W140" s="248">
        <f t="shared" si="10"/>
        <v>609.74</v>
      </c>
      <c r="X140" s="248">
        <f t="shared" si="11"/>
        <v>3.8729999999999336</v>
      </c>
      <c r="Y140" s="248">
        <f t="shared" ref="Y140:Y203" ca="1" si="14">$Y$10*EXP($Y$7*$C$6)-$Y$10</f>
        <v>13.385727699892982</v>
      </c>
      <c r="Z140" s="248">
        <f t="shared" ca="1" si="12"/>
        <v>5.4128289443844091</v>
      </c>
      <c r="AA140" s="250">
        <f t="shared" ca="1" si="13"/>
        <v>541.28289443844096</v>
      </c>
    </row>
    <row r="141" spans="5:27" x14ac:dyDescent="0.3">
      <c r="E141" s="241"/>
      <c r="F141" s="241"/>
      <c r="T141" s="254">
        <v>129</v>
      </c>
      <c r="U141" s="248">
        <f t="shared" ref="U141:U204" si="15">MAX(0,T141-$U$9)-$U$10-$U$11/100</f>
        <v>-18.258500000000002</v>
      </c>
      <c r="V141" s="248">
        <f t="shared" ref="V141:V204" si="16">$V$10-MAX(0,$V$9-T141)-$V$11/100</f>
        <v>-586.60850000000005</v>
      </c>
      <c r="W141" s="248">
        <f t="shared" ref="W141:W204" si="17">$W$10-T141</f>
        <v>608.74</v>
      </c>
      <c r="X141" s="248">
        <f t="shared" ref="X141:X204" si="18">SUM(U141:W141)</f>
        <v>3.8729999999999336</v>
      </c>
      <c r="Y141" s="248">
        <f t="shared" ca="1" si="14"/>
        <v>13.385727699892982</v>
      </c>
      <c r="Z141" s="248">
        <f t="shared" ref="Z141:Z204" ca="1" si="19">EXP(-$E$3*$C$6)*SUM(X141:Y141)</f>
        <v>5.4128289443844091</v>
      </c>
      <c r="AA141" s="250">
        <f t="shared" ref="AA141:AA204" ca="1" si="20">Z141*100</f>
        <v>541.28289443844096</v>
      </c>
    </row>
    <row r="142" spans="5:27" x14ac:dyDescent="0.3">
      <c r="E142" s="241"/>
      <c r="F142" s="241"/>
      <c r="T142" s="254">
        <v>130</v>
      </c>
      <c r="U142" s="248">
        <f t="shared" si="15"/>
        <v>-18.258500000000002</v>
      </c>
      <c r="V142" s="248">
        <f t="shared" si="16"/>
        <v>-585.60850000000005</v>
      </c>
      <c r="W142" s="248">
        <f t="shared" si="17"/>
        <v>607.74</v>
      </c>
      <c r="X142" s="248">
        <f t="shared" si="18"/>
        <v>3.8729999999999336</v>
      </c>
      <c r="Y142" s="248">
        <f t="shared" ca="1" si="14"/>
        <v>13.385727699892982</v>
      </c>
      <c r="Z142" s="248">
        <f t="shared" ca="1" si="19"/>
        <v>5.4128289443844091</v>
      </c>
      <c r="AA142" s="250">
        <f t="shared" ca="1" si="20"/>
        <v>541.28289443844096</v>
      </c>
    </row>
    <row r="143" spans="5:27" x14ac:dyDescent="0.3">
      <c r="E143" s="241"/>
      <c r="F143" s="241"/>
      <c r="T143" s="254">
        <v>131</v>
      </c>
      <c r="U143" s="248">
        <f t="shared" si="15"/>
        <v>-18.258500000000002</v>
      </c>
      <c r="V143" s="248">
        <f t="shared" si="16"/>
        <v>-584.60850000000005</v>
      </c>
      <c r="W143" s="248">
        <f t="shared" si="17"/>
        <v>606.74</v>
      </c>
      <c r="X143" s="248">
        <f t="shared" si="18"/>
        <v>3.8729999999999336</v>
      </c>
      <c r="Y143" s="248">
        <f t="shared" ca="1" si="14"/>
        <v>13.385727699892982</v>
      </c>
      <c r="Z143" s="248">
        <f t="shared" ca="1" si="19"/>
        <v>5.4128289443844091</v>
      </c>
      <c r="AA143" s="250">
        <f t="shared" ca="1" si="20"/>
        <v>541.28289443844096</v>
      </c>
    </row>
    <row r="144" spans="5:27" x14ac:dyDescent="0.3">
      <c r="E144" s="241"/>
      <c r="F144" s="241"/>
      <c r="T144" s="254">
        <v>132</v>
      </c>
      <c r="U144" s="248">
        <f t="shared" si="15"/>
        <v>-18.258500000000002</v>
      </c>
      <c r="V144" s="248">
        <f t="shared" si="16"/>
        <v>-583.60850000000005</v>
      </c>
      <c r="W144" s="248">
        <f t="shared" si="17"/>
        <v>605.74</v>
      </c>
      <c r="X144" s="248">
        <f t="shared" si="18"/>
        <v>3.8729999999999336</v>
      </c>
      <c r="Y144" s="248">
        <f t="shared" ca="1" si="14"/>
        <v>13.385727699892982</v>
      </c>
      <c r="Z144" s="248">
        <f t="shared" ca="1" si="19"/>
        <v>5.4128289443844091</v>
      </c>
      <c r="AA144" s="250">
        <f t="shared" ca="1" si="20"/>
        <v>541.28289443844096</v>
      </c>
    </row>
    <row r="145" spans="5:27" x14ac:dyDescent="0.3">
      <c r="E145" s="241"/>
      <c r="F145" s="241"/>
      <c r="T145" s="254">
        <v>133</v>
      </c>
      <c r="U145" s="248">
        <f t="shared" si="15"/>
        <v>-18.258500000000002</v>
      </c>
      <c r="V145" s="248">
        <f t="shared" si="16"/>
        <v>-582.60850000000005</v>
      </c>
      <c r="W145" s="248">
        <f t="shared" si="17"/>
        <v>604.74</v>
      </c>
      <c r="X145" s="248">
        <f t="shared" si="18"/>
        <v>3.8729999999999336</v>
      </c>
      <c r="Y145" s="248">
        <f t="shared" ca="1" si="14"/>
        <v>13.385727699892982</v>
      </c>
      <c r="Z145" s="248">
        <f t="shared" ca="1" si="19"/>
        <v>5.4128289443844091</v>
      </c>
      <c r="AA145" s="250">
        <f t="shared" ca="1" si="20"/>
        <v>541.28289443844096</v>
      </c>
    </row>
    <row r="146" spans="5:27" x14ac:dyDescent="0.3">
      <c r="E146" s="241"/>
      <c r="F146" s="241"/>
      <c r="T146" s="254">
        <v>134</v>
      </c>
      <c r="U146" s="248">
        <f t="shared" si="15"/>
        <v>-18.258500000000002</v>
      </c>
      <c r="V146" s="248">
        <f t="shared" si="16"/>
        <v>-581.60850000000005</v>
      </c>
      <c r="W146" s="248">
        <f t="shared" si="17"/>
        <v>603.74</v>
      </c>
      <c r="X146" s="248">
        <f t="shared" si="18"/>
        <v>3.8729999999999336</v>
      </c>
      <c r="Y146" s="248">
        <f t="shared" ca="1" si="14"/>
        <v>13.385727699892982</v>
      </c>
      <c r="Z146" s="248">
        <f t="shared" ca="1" si="19"/>
        <v>5.4128289443844091</v>
      </c>
      <c r="AA146" s="250">
        <f t="shared" ca="1" si="20"/>
        <v>541.28289443844096</v>
      </c>
    </row>
    <row r="147" spans="5:27" x14ac:dyDescent="0.3">
      <c r="E147" s="241"/>
      <c r="F147" s="241"/>
      <c r="T147" s="254">
        <v>135</v>
      </c>
      <c r="U147" s="248">
        <f t="shared" si="15"/>
        <v>-18.258500000000002</v>
      </c>
      <c r="V147" s="248">
        <f t="shared" si="16"/>
        <v>-580.60850000000005</v>
      </c>
      <c r="W147" s="248">
        <f t="shared" si="17"/>
        <v>602.74</v>
      </c>
      <c r="X147" s="248">
        <f t="shared" si="18"/>
        <v>3.8729999999999336</v>
      </c>
      <c r="Y147" s="248">
        <f t="shared" ca="1" si="14"/>
        <v>13.385727699892982</v>
      </c>
      <c r="Z147" s="248">
        <f t="shared" ca="1" si="19"/>
        <v>5.4128289443844091</v>
      </c>
      <c r="AA147" s="250">
        <f t="shared" ca="1" si="20"/>
        <v>541.28289443844096</v>
      </c>
    </row>
    <row r="148" spans="5:27" x14ac:dyDescent="0.3">
      <c r="E148" s="241"/>
      <c r="F148" s="241"/>
      <c r="T148" s="254">
        <v>136</v>
      </c>
      <c r="U148" s="248">
        <f t="shared" si="15"/>
        <v>-18.258500000000002</v>
      </c>
      <c r="V148" s="248">
        <f t="shared" si="16"/>
        <v>-579.60850000000005</v>
      </c>
      <c r="W148" s="248">
        <f t="shared" si="17"/>
        <v>601.74</v>
      </c>
      <c r="X148" s="248">
        <f t="shared" si="18"/>
        <v>3.8729999999999336</v>
      </c>
      <c r="Y148" s="248">
        <f t="shared" ca="1" si="14"/>
        <v>13.385727699892982</v>
      </c>
      <c r="Z148" s="248">
        <f t="shared" ca="1" si="19"/>
        <v>5.4128289443844091</v>
      </c>
      <c r="AA148" s="250">
        <f t="shared" ca="1" si="20"/>
        <v>541.28289443844096</v>
      </c>
    </row>
    <row r="149" spans="5:27" x14ac:dyDescent="0.3">
      <c r="E149" s="241"/>
      <c r="F149" s="241"/>
      <c r="T149" s="254">
        <v>137</v>
      </c>
      <c r="U149" s="248">
        <f t="shared" si="15"/>
        <v>-18.258500000000002</v>
      </c>
      <c r="V149" s="248">
        <f t="shared" si="16"/>
        <v>-578.60850000000005</v>
      </c>
      <c r="W149" s="248">
        <f t="shared" si="17"/>
        <v>600.74</v>
      </c>
      <c r="X149" s="248">
        <f t="shared" si="18"/>
        <v>3.8729999999999336</v>
      </c>
      <c r="Y149" s="248">
        <f t="shared" ca="1" si="14"/>
        <v>13.385727699892982</v>
      </c>
      <c r="Z149" s="248">
        <f t="shared" ca="1" si="19"/>
        <v>5.4128289443844091</v>
      </c>
      <c r="AA149" s="250">
        <f t="shared" ca="1" si="20"/>
        <v>541.28289443844096</v>
      </c>
    </row>
    <row r="150" spans="5:27" x14ac:dyDescent="0.3">
      <c r="E150" s="241"/>
      <c r="F150" s="241"/>
      <c r="T150" s="254">
        <v>138</v>
      </c>
      <c r="U150" s="248">
        <f t="shared" si="15"/>
        <v>-18.258500000000002</v>
      </c>
      <c r="V150" s="248">
        <f t="shared" si="16"/>
        <v>-577.60850000000005</v>
      </c>
      <c r="W150" s="248">
        <f t="shared" si="17"/>
        <v>599.74</v>
      </c>
      <c r="X150" s="248">
        <f t="shared" si="18"/>
        <v>3.8729999999999336</v>
      </c>
      <c r="Y150" s="248">
        <f t="shared" ca="1" si="14"/>
        <v>13.385727699892982</v>
      </c>
      <c r="Z150" s="248">
        <f t="shared" ca="1" si="19"/>
        <v>5.4128289443844091</v>
      </c>
      <c r="AA150" s="250">
        <f t="shared" ca="1" si="20"/>
        <v>541.28289443844096</v>
      </c>
    </row>
    <row r="151" spans="5:27" x14ac:dyDescent="0.3">
      <c r="E151" s="241"/>
      <c r="F151" s="241"/>
      <c r="T151" s="254">
        <v>139</v>
      </c>
      <c r="U151" s="248">
        <f t="shared" si="15"/>
        <v>-18.258500000000002</v>
      </c>
      <c r="V151" s="248">
        <f t="shared" si="16"/>
        <v>-576.60850000000005</v>
      </c>
      <c r="W151" s="248">
        <f t="shared" si="17"/>
        <v>598.74</v>
      </c>
      <c r="X151" s="248">
        <f t="shared" si="18"/>
        <v>3.8729999999999336</v>
      </c>
      <c r="Y151" s="248">
        <f t="shared" ca="1" si="14"/>
        <v>13.385727699892982</v>
      </c>
      <c r="Z151" s="248">
        <f t="shared" ca="1" si="19"/>
        <v>5.4128289443844091</v>
      </c>
      <c r="AA151" s="250">
        <f t="shared" ca="1" si="20"/>
        <v>541.28289443844096</v>
      </c>
    </row>
    <row r="152" spans="5:27" x14ac:dyDescent="0.3">
      <c r="E152" s="241"/>
      <c r="F152" s="241"/>
      <c r="T152" s="254">
        <v>140</v>
      </c>
      <c r="U152" s="248">
        <f t="shared" si="15"/>
        <v>-18.258500000000002</v>
      </c>
      <c r="V152" s="248">
        <f t="shared" si="16"/>
        <v>-575.60850000000005</v>
      </c>
      <c r="W152" s="248">
        <f t="shared" si="17"/>
        <v>597.74</v>
      </c>
      <c r="X152" s="248">
        <f t="shared" si="18"/>
        <v>3.8729999999999336</v>
      </c>
      <c r="Y152" s="248">
        <f t="shared" ca="1" si="14"/>
        <v>13.385727699892982</v>
      </c>
      <c r="Z152" s="248">
        <f t="shared" ca="1" si="19"/>
        <v>5.4128289443844091</v>
      </c>
      <c r="AA152" s="250">
        <f t="shared" ca="1" si="20"/>
        <v>541.28289443844096</v>
      </c>
    </row>
    <row r="153" spans="5:27" x14ac:dyDescent="0.3">
      <c r="E153" s="241"/>
      <c r="F153" s="241"/>
      <c r="T153" s="254">
        <v>141</v>
      </c>
      <c r="U153" s="248">
        <f t="shared" si="15"/>
        <v>-18.258500000000002</v>
      </c>
      <c r="V153" s="248">
        <f t="shared" si="16"/>
        <v>-574.60850000000005</v>
      </c>
      <c r="W153" s="248">
        <f t="shared" si="17"/>
        <v>596.74</v>
      </c>
      <c r="X153" s="248">
        <f t="shared" si="18"/>
        <v>3.8729999999999336</v>
      </c>
      <c r="Y153" s="248">
        <f t="shared" ca="1" si="14"/>
        <v>13.385727699892982</v>
      </c>
      <c r="Z153" s="248">
        <f t="shared" ca="1" si="19"/>
        <v>5.4128289443844091</v>
      </c>
      <c r="AA153" s="250">
        <f t="shared" ca="1" si="20"/>
        <v>541.28289443844096</v>
      </c>
    </row>
    <row r="154" spans="5:27" x14ac:dyDescent="0.3">
      <c r="E154" s="241"/>
      <c r="F154" s="241"/>
      <c r="T154" s="254">
        <v>142</v>
      </c>
      <c r="U154" s="248">
        <f t="shared" si="15"/>
        <v>-18.258500000000002</v>
      </c>
      <c r="V154" s="248">
        <f t="shared" si="16"/>
        <v>-573.60850000000005</v>
      </c>
      <c r="W154" s="248">
        <f t="shared" si="17"/>
        <v>595.74</v>
      </c>
      <c r="X154" s="248">
        <f t="shared" si="18"/>
        <v>3.8729999999999336</v>
      </c>
      <c r="Y154" s="248">
        <f t="shared" ca="1" si="14"/>
        <v>13.385727699892982</v>
      </c>
      <c r="Z154" s="248">
        <f t="shared" ca="1" si="19"/>
        <v>5.4128289443844091</v>
      </c>
      <c r="AA154" s="250">
        <f t="shared" ca="1" si="20"/>
        <v>541.28289443844096</v>
      </c>
    </row>
    <row r="155" spans="5:27" x14ac:dyDescent="0.3">
      <c r="E155" s="241"/>
      <c r="F155" s="241"/>
      <c r="T155" s="254">
        <v>143</v>
      </c>
      <c r="U155" s="248">
        <f t="shared" si="15"/>
        <v>-18.258500000000002</v>
      </c>
      <c r="V155" s="248">
        <f t="shared" si="16"/>
        <v>-572.60850000000005</v>
      </c>
      <c r="W155" s="248">
        <f t="shared" si="17"/>
        <v>594.74</v>
      </c>
      <c r="X155" s="248">
        <f t="shared" si="18"/>
        <v>3.8729999999999336</v>
      </c>
      <c r="Y155" s="248">
        <f t="shared" ca="1" si="14"/>
        <v>13.385727699892982</v>
      </c>
      <c r="Z155" s="248">
        <f t="shared" ca="1" si="19"/>
        <v>5.4128289443844091</v>
      </c>
      <c r="AA155" s="250">
        <f t="shared" ca="1" si="20"/>
        <v>541.28289443844096</v>
      </c>
    </row>
    <row r="156" spans="5:27" x14ac:dyDescent="0.3">
      <c r="E156" s="241"/>
      <c r="F156" s="241"/>
      <c r="T156" s="254">
        <v>144</v>
      </c>
      <c r="U156" s="248">
        <f t="shared" si="15"/>
        <v>-18.258500000000002</v>
      </c>
      <c r="V156" s="248">
        <f t="shared" si="16"/>
        <v>-571.60850000000005</v>
      </c>
      <c r="W156" s="248">
        <f t="shared" si="17"/>
        <v>593.74</v>
      </c>
      <c r="X156" s="248">
        <f t="shared" si="18"/>
        <v>3.8729999999999336</v>
      </c>
      <c r="Y156" s="248">
        <f t="shared" ca="1" si="14"/>
        <v>13.385727699892982</v>
      </c>
      <c r="Z156" s="248">
        <f t="shared" ca="1" si="19"/>
        <v>5.4128289443844091</v>
      </c>
      <c r="AA156" s="250">
        <f t="shared" ca="1" si="20"/>
        <v>541.28289443844096</v>
      </c>
    </row>
    <row r="157" spans="5:27" x14ac:dyDescent="0.3">
      <c r="E157" s="241"/>
      <c r="F157" s="241"/>
      <c r="T157" s="254">
        <v>145</v>
      </c>
      <c r="U157" s="248">
        <f t="shared" si="15"/>
        <v>-18.258500000000002</v>
      </c>
      <c r="V157" s="248">
        <f t="shared" si="16"/>
        <v>-570.60850000000005</v>
      </c>
      <c r="W157" s="248">
        <f t="shared" si="17"/>
        <v>592.74</v>
      </c>
      <c r="X157" s="248">
        <f t="shared" si="18"/>
        <v>3.8729999999999336</v>
      </c>
      <c r="Y157" s="248">
        <f t="shared" ca="1" si="14"/>
        <v>13.385727699892982</v>
      </c>
      <c r="Z157" s="248">
        <f t="shared" ca="1" si="19"/>
        <v>5.4128289443844091</v>
      </c>
      <c r="AA157" s="250">
        <f t="shared" ca="1" si="20"/>
        <v>541.28289443844096</v>
      </c>
    </row>
    <row r="158" spans="5:27" x14ac:dyDescent="0.3">
      <c r="E158" s="241"/>
      <c r="F158" s="241"/>
      <c r="T158" s="254">
        <v>146</v>
      </c>
      <c r="U158" s="248">
        <f t="shared" si="15"/>
        <v>-18.258500000000002</v>
      </c>
      <c r="V158" s="248">
        <f t="shared" si="16"/>
        <v>-569.60850000000005</v>
      </c>
      <c r="W158" s="248">
        <f t="shared" si="17"/>
        <v>591.74</v>
      </c>
      <c r="X158" s="248">
        <f t="shared" si="18"/>
        <v>3.8729999999999336</v>
      </c>
      <c r="Y158" s="248">
        <f t="shared" ca="1" si="14"/>
        <v>13.385727699892982</v>
      </c>
      <c r="Z158" s="248">
        <f t="shared" ca="1" si="19"/>
        <v>5.4128289443844091</v>
      </c>
      <c r="AA158" s="250">
        <f t="shared" ca="1" si="20"/>
        <v>541.28289443844096</v>
      </c>
    </row>
    <row r="159" spans="5:27" x14ac:dyDescent="0.3">
      <c r="E159" s="241"/>
      <c r="F159" s="241"/>
      <c r="T159" s="254">
        <v>147</v>
      </c>
      <c r="U159" s="248">
        <f t="shared" si="15"/>
        <v>-18.258500000000002</v>
      </c>
      <c r="V159" s="248">
        <f t="shared" si="16"/>
        <v>-568.60850000000005</v>
      </c>
      <c r="W159" s="248">
        <f t="shared" si="17"/>
        <v>590.74</v>
      </c>
      <c r="X159" s="248">
        <f t="shared" si="18"/>
        <v>3.8729999999999336</v>
      </c>
      <c r="Y159" s="248">
        <f t="shared" ca="1" si="14"/>
        <v>13.385727699892982</v>
      </c>
      <c r="Z159" s="248">
        <f t="shared" ca="1" si="19"/>
        <v>5.4128289443844091</v>
      </c>
      <c r="AA159" s="250">
        <f t="shared" ca="1" si="20"/>
        <v>541.28289443844096</v>
      </c>
    </row>
    <row r="160" spans="5:27" x14ac:dyDescent="0.3">
      <c r="E160" s="241"/>
      <c r="F160" s="241"/>
      <c r="T160" s="254">
        <v>148</v>
      </c>
      <c r="U160" s="248">
        <f t="shared" si="15"/>
        <v>-18.258500000000002</v>
      </c>
      <c r="V160" s="248">
        <f t="shared" si="16"/>
        <v>-567.60850000000005</v>
      </c>
      <c r="W160" s="248">
        <f t="shared" si="17"/>
        <v>589.74</v>
      </c>
      <c r="X160" s="248">
        <f t="shared" si="18"/>
        <v>3.8729999999999336</v>
      </c>
      <c r="Y160" s="248">
        <f t="shared" ca="1" si="14"/>
        <v>13.385727699892982</v>
      </c>
      <c r="Z160" s="248">
        <f t="shared" ca="1" si="19"/>
        <v>5.4128289443844091</v>
      </c>
      <c r="AA160" s="250">
        <f t="shared" ca="1" si="20"/>
        <v>541.28289443844096</v>
      </c>
    </row>
    <row r="161" spans="5:27" x14ac:dyDescent="0.3">
      <c r="E161" s="241"/>
      <c r="F161" s="241"/>
      <c r="T161" s="254">
        <v>149</v>
      </c>
      <c r="U161" s="248">
        <f t="shared" si="15"/>
        <v>-18.258500000000002</v>
      </c>
      <c r="V161" s="248">
        <f t="shared" si="16"/>
        <v>-566.60850000000005</v>
      </c>
      <c r="W161" s="248">
        <f t="shared" si="17"/>
        <v>588.74</v>
      </c>
      <c r="X161" s="248">
        <f t="shared" si="18"/>
        <v>3.8729999999999336</v>
      </c>
      <c r="Y161" s="248">
        <f t="shared" ca="1" si="14"/>
        <v>13.385727699892982</v>
      </c>
      <c r="Z161" s="248">
        <f t="shared" ca="1" si="19"/>
        <v>5.4128289443844091</v>
      </c>
      <c r="AA161" s="250">
        <f t="shared" ca="1" si="20"/>
        <v>541.28289443844096</v>
      </c>
    </row>
    <row r="162" spans="5:27" x14ac:dyDescent="0.3">
      <c r="E162" s="241"/>
      <c r="F162" s="241"/>
      <c r="T162" s="254">
        <v>150</v>
      </c>
      <c r="U162" s="248">
        <f t="shared" si="15"/>
        <v>-18.258500000000002</v>
      </c>
      <c r="V162" s="248">
        <f t="shared" si="16"/>
        <v>-565.60850000000005</v>
      </c>
      <c r="W162" s="248">
        <f t="shared" si="17"/>
        <v>587.74</v>
      </c>
      <c r="X162" s="248">
        <f t="shared" si="18"/>
        <v>3.8729999999999336</v>
      </c>
      <c r="Y162" s="248">
        <f t="shared" ca="1" si="14"/>
        <v>13.385727699892982</v>
      </c>
      <c r="Z162" s="248">
        <f t="shared" ca="1" si="19"/>
        <v>5.4128289443844091</v>
      </c>
      <c r="AA162" s="250">
        <f t="shared" ca="1" si="20"/>
        <v>541.28289443844096</v>
      </c>
    </row>
    <row r="163" spans="5:27" x14ac:dyDescent="0.3">
      <c r="E163" s="241"/>
      <c r="F163" s="241"/>
      <c r="T163" s="254">
        <v>151</v>
      </c>
      <c r="U163" s="248">
        <f t="shared" si="15"/>
        <v>-18.258500000000002</v>
      </c>
      <c r="V163" s="248">
        <f t="shared" si="16"/>
        <v>-564.60850000000005</v>
      </c>
      <c r="W163" s="248">
        <f t="shared" si="17"/>
        <v>586.74</v>
      </c>
      <c r="X163" s="248">
        <f t="shared" si="18"/>
        <v>3.8729999999999336</v>
      </c>
      <c r="Y163" s="248">
        <f t="shared" ca="1" si="14"/>
        <v>13.385727699892982</v>
      </c>
      <c r="Z163" s="248">
        <f t="shared" ca="1" si="19"/>
        <v>5.4128289443844091</v>
      </c>
      <c r="AA163" s="250">
        <f t="shared" ca="1" si="20"/>
        <v>541.28289443844096</v>
      </c>
    </row>
    <row r="164" spans="5:27" x14ac:dyDescent="0.3">
      <c r="E164" s="241"/>
      <c r="F164" s="241"/>
      <c r="T164" s="254">
        <v>152</v>
      </c>
      <c r="U164" s="248">
        <f t="shared" si="15"/>
        <v>-18.258500000000002</v>
      </c>
      <c r="V164" s="248">
        <f t="shared" si="16"/>
        <v>-563.60850000000005</v>
      </c>
      <c r="W164" s="248">
        <f t="shared" si="17"/>
        <v>585.74</v>
      </c>
      <c r="X164" s="248">
        <f t="shared" si="18"/>
        <v>3.8729999999999336</v>
      </c>
      <c r="Y164" s="248">
        <f t="shared" ca="1" si="14"/>
        <v>13.385727699892982</v>
      </c>
      <c r="Z164" s="248">
        <f t="shared" ca="1" si="19"/>
        <v>5.4128289443844091</v>
      </c>
      <c r="AA164" s="250">
        <f t="shared" ca="1" si="20"/>
        <v>541.28289443844096</v>
      </c>
    </row>
    <row r="165" spans="5:27" x14ac:dyDescent="0.3">
      <c r="E165" s="241"/>
      <c r="F165" s="241"/>
      <c r="T165" s="254">
        <v>153</v>
      </c>
      <c r="U165" s="248">
        <f t="shared" si="15"/>
        <v>-18.258500000000002</v>
      </c>
      <c r="V165" s="248">
        <f t="shared" si="16"/>
        <v>-562.60850000000005</v>
      </c>
      <c r="W165" s="248">
        <f t="shared" si="17"/>
        <v>584.74</v>
      </c>
      <c r="X165" s="248">
        <f t="shared" si="18"/>
        <v>3.8729999999999336</v>
      </c>
      <c r="Y165" s="248">
        <f t="shared" ca="1" si="14"/>
        <v>13.385727699892982</v>
      </c>
      <c r="Z165" s="248">
        <f t="shared" ca="1" si="19"/>
        <v>5.4128289443844091</v>
      </c>
      <c r="AA165" s="250">
        <f t="shared" ca="1" si="20"/>
        <v>541.28289443844096</v>
      </c>
    </row>
    <row r="166" spans="5:27" x14ac:dyDescent="0.3">
      <c r="E166" s="241"/>
      <c r="F166" s="241"/>
      <c r="T166" s="254">
        <v>154</v>
      </c>
      <c r="U166" s="248">
        <f t="shared" si="15"/>
        <v>-18.258500000000002</v>
      </c>
      <c r="V166" s="248">
        <f t="shared" si="16"/>
        <v>-561.60850000000005</v>
      </c>
      <c r="W166" s="248">
        <f t="shared" si="17"/>
        <v>583.74</v>
      </c>
      <c r="X166" s="248">
        <f t="shared" si="18"/>
        <v>3.8729999999999336</v>
      </c>
      <c r="Y166" s="248">
        <f t="shared" ca="1" si="14"/>
        <v>13.385727699892982</v>
      </c>
      <c r="Z166" s="248">
        <f t="shared" ca="1" si="19"/>
        <v>5.4128289443844091</v>
      </c>
      <c r="AA166" s="250">
        <f t="shared" ca="1" si="20"/>
        <v>541.28289443844096</v>
      </c>
    </row>
    <row r="167" spans="5:27" x14ac:dyDescent="0.3">
      <c r="E167" s="241"/>
      <c r="F167" s="241"/>
      <c r="T167" s="254">
        <v>155</v>
      </c>
      <c r="U167" s="248">
        <f t="shared" si="15"/>
        <v>-18.258500000000002</v>
      </c>
      <c r="V167" s="248">
        <f t="shared" si="16"/>
        <v>-560.60850000000005</v>
      </c>
      <c r="W167" s="248">
        <f t="shared" si="17"/>
        <v>582.74</v>
      </c>
      <c r="X167" s="248">
        <f t="shared" si="18"/>
        <v>3.8729999999999336</v>
      </c>
      <c r="Y167" s="248">
        <f t="shared" ca="1" si="14"/>
        <v>13.385727699892982</v>
      </c>
      <c r="Z167" s="248">
        <f t="shared" ca="1" si="19"/>
        <v>5.4128289443844091</v>
      </c>
      <c r="AA167" s="250">
        <f t="shared" ca="1" si="20"/>
        <v>541.28289443844096</v>
      </c>
    </row>
    <row r="168" spans="5:27" x14ac:dyDescent="0.3">
      <c r="E168" s="241"/>
      <c r="F168" s="241"/>
      <c r="T168" s="254">
        <v>156</v>
      </c>
      <c r="U168" s="248">
        <f t="shared" si="15"/>
        <v>-18.258500000000002</v>
      </c>
      <c r="V168" s="248">
        <f t="shared" si="16"/>
        <v>-559.60850000000005</v>
      </c>
      <c r="W168" s="248">
        <f t="shared" si="17"/>
        <v>581.74</v>
      </c>
      <c r="X168" s="248">
        <f t="shared" si="18"/>
        <v>3.8729999999999336</v>
      </c>
      <c r="Y168" s="248">
        <f t="shared" ca="1" si="14"/>
        <v>13.385727699892982</v>
      </c>
      <c r="Z168" s="248">
        <f t="shared" ca="1" si="19"/>
        <v>5.4128289443844091</v>
      </c>
      <c r="AA168" s="250">
        <f t="shared" ca="1" si="20"/>
        <v>541.28289443844096</v>
      </c>
    </row>
    <row r="169" spans="5:27" x14ac:dyDescent="0.3">
      <c r="E169" s="241"/>
      <c r="F169" s="241"/>
      <c r="T169" s="254">
        <v>157</v>
      </c>
      <c r="U169" s="248">
        <f t="shared" si="15"/>
        <v>-18.258500000000002</v>
      </c>
      <c r="V169" s="248">
        <f t="shared" si="16"/>
        <v>-558.60850000000005</v>
      </c>
      <c r="W169" s="248">
        <f t="shared" si="17"/>
        <v>580.74</v>
      </c>
      <c r="X169" s="248">
        <f t="shared" si="18"/>
        <v>3.8729999999999336</v>
      </c>
      <c r="Y169" s="248">
        <f t="shared" ca="1" si="14"/>
        <v>13.385727699892982</v>
      </c>
      <c r="Z169" s="248">
        <f t="shared" ca="1" si="19"/>
        <v>5.4128289443844091</v>
      </c>
      <c r="AA169" s="250">
        <f t="shared" ca="1" si="20"/>
        <v>541.28289443844096</v>
      </c>
    </row>
    <row r="170" spans="5:27" x14ac:dyDescent="0.3">
      <c r="E170" s="241"/>
      <c r="F170" s="241"/>
      <c r="T170" s="254">
        <v>158</v>
      </c>
      <c r="U170" s="248">
        <f t="shared" si="15"/>
        <v>-18.258500000000002</v>
      </c>
      <c r="V170" s="248">
        <f t="shared" si="16"/>
        <v>-557.60850000000005</v>
      </c>
      <c r="W170" s="248">
        <f t="shared" si="17"/>
        <v>579.74</v>
      </c>
      <c r="X170" s="248">
        <f t="shared" si="18"/>
        <v>3.8729999999999336</v>
      </c>
      <c r="Y170" s="248">
        <f t="shared" ca="1" si="14"/>
        <v>13.385727699892982</v>
      </c>
      <c r="Z170" s="248">
        <f t="shared" ca="1" si="19"/>
        <v>5.4128289443844091</v>
      </c>
      <c r="AA170" s="250">
        <f t="shared" ca="1" si="20"/>
        <v>541.28289443844096</v>
      </c>
    </row>
    <row r="171" spans="5:27" x14ac:dyDescent="0.3">
      <c r="E171" s="241"/>
      <c r="F171" s="241"/>
      <c r="T171" s="254">
        <v>159</v>
      </c>
      <c r="U171" s="248">
        <f t="shared" si="15"/>
        <v>-18.258500000000002</v>
      </c>
      <c r="V171" s="248">
        <f t="shared" si="16"/>
        <v>-556.60850000000005</v>
      </c>
      <c r="W171" s="248">
        <f t="shared" si="17"/>
        <v>578.74</v>
      </c>
      <c r="X171" s="248">
        <f t="shared" si="18"/>
        <v>3.8729999999999336</v>
      </c>
      <c r="Y171" s="248">
        <f t="shared" ca="1" si="14"/>
        <v>13.385727699892982</v>
      </c>
      <c r="Z171" s="248">
        <f t="shared" ca="1" si="19"/>
        <v>5.4128289443844091</v>
      </c>
      <c r="AA171" s="250">
        <f t="shared" ca="1" si="20"/>
        <v>541.28289443844096</v>
      </c>
    </row>
    <row r="172" spans="5:27" x14ac:dyDescent="0.3">
      <c r="E172" s="241"/>
      <c r="F172" s="241"/>
      <c r="T172" s="254">
        <v>160</v>
      </c>
      <c r="U172" s="248">
        <f t="shared" si="15"/>
        <v>-18.258500000000002</v>
      </c>
      <c r="V172" s="248">
        <f t="shared" si="16"/>
        <v>-555.60850000000005</v>
      </c>
      <c r="W172" s="248">
        <f t="shared" si="17"/>
        <v>577.74</v>
      </c>
      <c r="X172" s="248">
        <f t="shared" si="18"/>
        <v>3.8729999999999336</v>
      </c>
      <c r="Y172" s="248">
        <f t="shared" ca="1" si="14"/>
        <v>13.385727699892982</v>
      </c>
      <c r="Z172" s="248">
        <f t="shared" ca="1" si="19"/>
        <v>5.4128289443844091</v>
      </c>
      <c r="AA172" s="250">
        <f t="shared" ca="1" si="20"/>
        <v>541.28289443844096</v>
      </c>
    </row>
    <row r="173" spans="5:27" x14ac:dyDescent="0.3">
      <c r="E173" s="241"/>
      <c r="F173" s="241"/>
      <c r="T173" s="254">
        <v>161</v>
      </c>
      <c r="U173" s="248">
        <f t="shared" si="15"/>
        <v>-18.258500000000002</v>
      </c>
      <c r="V173" s="248">
        <f t="shared" si="16"/>
        <v>-554.60850000000005</v>
      </c>
      <c r="W173" s="248">
        <f t="shared" si="17"/>
        <v>576.74</v>
      </c>
      <c r="X173" s="248">
        <f t="shared" si="18"/>
        <v>3.8729999999999336</v>
      </c>
      <c r="Y173" s="248">
        <f t="shared" ca="1" si="14"/>
        <v>13.385727699892982</v>
      </c>
      <c r="Z173" s="248">
        <f t="shared" ca="1" si="19"/>
        <v>5.4128289443844091</v>
      </c>
      <c r="AA173" s="250">
        <f t="shared" ca="1" si="20"/>
        <v>541.28289443844096</v>
      </c>
    </row>
    <row r="174" spans="5:27" x14ac:dyDescent="0.3">
      <c r="E174" s="241"/>
      <c r="F174" s="241"/>
      <c r="T174" s="254">
        <v>162</v>
      </c>
      <c r="U174" s="248">
        <f t="shared" si="15"/>
        <v>-18.258500000000002</v>
      </c>
      <c r="V174" s="248">
        <f t="shared" si="16"/>
        <v>-553.60850000000005</v>
      </c>
      <c r="W174" s="248">
        <f t="shared" si="17"/>
        <v>575.74</v>
      </c>
      <c r="X174" s="248">
        <f t="shared" si="18"/>
        <v>3.8729999999999336</v>
      </c>
      <c r="Y174" s="248">
        <f t="shared" ca="1" si="14"/>
        <v>13.385727699892982</v>
      </c>
      <c r="Z174" s="248">
        <f t="shared" ca="1" si="19"/>
        <v>5.4128289443844091</v>
      </c>
      <c r="AA174" s="250">
        <f t="shared" ca="1" si="20"/>
        <v>541.28289443844096</v>
      </c>
    </row>
    <row r="175" spans="5:27" x14ac:dyDescent="0.3">
      <c r="E175" s="241"/>
      <c r="F175" s="241"/>
      <c r="T175" s="254">
        <v>163</v>
      </c>
      <c r="U175" s="248">
        <f t="shared" si="15"/>
        <v>-18.258500000000002</v>
      </c>
      <c r="V175" s="248">
        <f t="shared" si="16"/>
        <v>-552.60850000000005</v>
      </c>
      <c r="W175" s="248">
        <f t="shared" si="17"/>
        <v>574.74</v>
      </c>
      <c r="X175" s="248">
        <f t="shared" si="18"/>
        <v>3.8729999999999336</v>
      </c>
      <c r="Y175" s="248">
        <f t="shared" ca="1" si="14"/>
        <v>13.385727699892982</v>
      </c>
      <c r="Z175" s="248">
        <f t="shared" ca="1" si="19"/>
        <v>5.4128289443844091</v>
      </c>
      <c r="AA175" s="250">
        <f t="shared" ca="1" si="20"/>
        <v>541.28289443844096</v>
      </c>
    </row>
    <row r="176" spans="5:27" x14ac:dyDescent="0.3">
      <c r="E176" s="241"/>
      <c r="F176" s="241"/>
      <c r="T176" s="254">
        <v>164</v>
      </c>
      <c r="U176" s="248">
        <f t="shared" si="15"/>
        <v>-18.258500000000002</v>
      </c>
      <c r="V176" s="248">
        <f t="shared" si="16"/>
        <v>-551.60850000000005</v>
      </c>
      <c r="W176" s="248">
        <f t="shared" si="17"/>
        <v>573.74</v>
      </c>
      <c r="X176" s="248">
        <f t="shared" si="18"/>
        <v>3.8729999999999336</v>
      </c>
      <c r="Y176" s="248">
        <f t="shared" ca="1" si="14"/>
        <v>13.385727699892982</v>
      </c>
      <c r="Z176" s="248">
        <f t="shared" ca="1" si="19"/>
        <v>5.4128289443844091</v>
      </c>
      <c r="AA176" s="250">
        <f t="shared" ca="1" si="20"/>
        <v>541.28289443844096</v>
      </c>
    </row>
    <row r="177" spans="5:27" x14ac:dyDescent="0.3">
      <c r="E177" s="241"/>
      <c r="F177" s="241"/>
      <c r="T177" s="254">
        <v>165</v>
      </c>
      <c r="U177" s="248">
        <f t="shared" si="15"/>
        <v>-18.258500000000002</v>
      </c>
      <c r="V177" s="248">
        <f t="shared" si="16"/>
        <v>-550.60850000000005</v>
      </c>
      <c r="W177" s="248">
        <f t="shared" si="17"/>
        <v>572.74</v>
      </c>
      <c r="X177" s="248">
        <f t="shared" si="18"/>
        <v>3.8729999999999336</v>
      </c>
      <c r="Y177" s="248">
        <f t="shared" ca="1" si="14"/>
        <v>13.385727699892982</v>
      </c>
      <c r="Z177" s="248">
        <f t="shared" ca="1" si="19"/>
        <v>5.4128289443844091</v>
      </c>
      <c r="AA177" s="250">
        <f t="shared" ca="1" si="20"/>
        <v>541.28289443844096</v>
      </c>
    </row>
    <row r="178" spans="5:27" x14ac:dyDescent="0.3">
      <c r="E178" s="241"/>
      <c r="F178" s="241"/>
      <c r="T178" s="254">
        <v>166</v>
      </c>
      <c r="U178" s="248">
        <f t="shared" si="15"/>
        <v>-18.258500000000002</v>
      </c>
      <c r="V178" s="248">
        <f t="shared" si="16"/>
        <v>-549.60850000000005</v>
      </c>
      <c r="W178" s="248">
        <f t="shared" si="17"/>
        <v>571.74</v>
      </c>
      <c r="X178" s="248">
        <f t="shared" si="18"/>
        <v>3.8729999999999336</v>
      </c>
      <c r="Y178" s="248">
        <f t="shared" ca="1" si="14"/>
        <v>13.385727699892982</v>
      </c>
      <c r="Z178" s="248">
        <f t="shared" ca="1" si="19"/>
        <v>5.4128289443844091</v>
      </c>
      <c r="AA178" s="250">
        <f t="shared" ca="1" si="20"/>
        <v>541.28289443844096</v>
      </c>
    </row>
    <row r="179" spans="5:27" x14ac:dyDescent="0.3">
      <c r="E179" s="241"/>
      <c r="F179" s="241"/>
      <c r="T179" s="254">
        <v>167</v>
      </c>
      <c r="U179" s="248">
        <f t="shared" si="15"/>
        <v>-18.258500000000002</v>
      </c>
      <c r="V179" s="248">
        <f t="shared" si="16"/>
        <v>-548.60850000000005</v>
      </c>
      <c r="W179" s="248">
        <f t="shared" si="17"/>
        <v>570.74</v>
      </c>
      <c r="X179" s="248">
        <f t="shared" si="18"/>
        <v>3.8729999999999336</v>
      </c>
      <c r="Y179" s="248">
        <f t="shared" ca="1" si="14"/>
        <v>13.385727699892982</v>
      </c>
      <c r="Z179" s="248">
        <f t="shared" ca="1" si="19"/>
        <v>5.4128289443844091</v>
      </c>
      <c r="AA179" s="250">
        <f t="shared" ca="1" si="20"/>
        <v>541.28289443844096</v>
      </c>
    </row>
    <row r="180" spans="5:27" x14ac:dyDescent="0.3">
      <c r="E180" s="241"/>
      <c r="F180" s="241"/>
      <c r="T180" s="254">
        <v>168</v>
      </c>
      <c r="U180" s="248">
        <f t="shared" si="15"/>
        <v>-18.258500000000002</v>
      </c>
      <c r="V180" s="248">
        <f t="shared" si="16"/>
        <v>-547.60850000000005</v>
      </c>
      <c r="W180" s="248">
        <f t="shared" si="17"/>
        <v>569.74</v>
      </c>
      <c r="X180" s="248">
        <f t="shared" si="18"/>
        <v>3.8729999999999336</v>
      </c>
      <c r="Y180" s="248">
        <f t="shared" ca="1" si="14"/>
        <v>13.385727699892982</v>
      </c>
      <c r="Z180" s="248">
        <f t="shared" ca="1" si="19"/>
        <v>5.4128289443844091</v>
      </c>
      <c r="AA180" s="250">
        <f t="shared" ca="1" si="20"/>
        <v>541.28289443844096</v>
      </c>
    </row>
    <row r="181" spans="5:27" x14ac:dyDescent="0.3">
      <c r="E181" s="241"/>
      <c r="F181" s="241"/>
      <c r="T181" s="254">
        <v>169</v>
      </c>
      <c r="U181" s="248">
        <f t="shared" si="15"/>
        <v>-18.258500000000002</v>
      </c>
      <c r="V181" s="248">
        <f t="shared" si="16"/>
        <v>-546.60850000000005</v>
      </c>
      <c r="W181" s="248">
        <f t="shared" si="17"/>
        <v>568.74</v>
      </c>
      <c r="X181" s="248">
        <f t="shared" si="18"/>
        <v>3.8729999999999336</v>
      </c>
      <c r="Y181" s="248">
        <f t="shared" ca="1" si="14"/>
        <v>13.385727699892982</v>
      </c>
      <c r="Z181" s="248">
        <f t="shared" ca="1" si="19"/>
        <v>5.4128289443844091</v>
      </c>
      <c r="AA181" s="250">
        <f t="shared" ca="1" si="20"/>
        <v>541.28289443844096</v>
      </c>
    </row>
    <row r="182" spans="5:27" x14ac:dyDescent="0.3">
      <c r="E182" s="241"/>
      <c r="F182" s="241"/>
      <c r="T182" s="254">
        <v>170</v>
      </c>
      <c r="U182" s="248">
        <f t="shared" si="15"/>
        <v>-18.258500000000002</v>
      </c>
      <c r="V182" s="248">
        <f t="shared" si="16"/>
        <v>-545.60850000000005</v>
      </c>
      <c r="W182" s="248">
        <f t="shared" si="17"/>
        <v>567.74</v>
      </c>
      <c r="X182" s="248">
        <f t="shared" si="18"/>
        <v>3.8729999999999336</v>
      </c>
      <c r="Y182" s="248">
        <f t="shared" ca="1" si="14"/>
        <v>13.385727699892982</v>
      </c>
      <c r="Z182" s="248">
        <f t="shared" ca="1" si="19"/>
        <v>5.4128289443844091</v>
      </c>
      <c r="AA182" s="250">
        <f t="shared" ca="1" si="20"/>
        <v>541.28289443844096</v>
      </c>
    </row>
    <row r="183" spans="5:27" x14ac:dyDescent="0.3">
      <c r="E183" s="241"/>
      <c r="F183" s="241"/>
      <c r="T183" s="254">
        <v>171</v>
      </c>
      <c r="U183" s="248">
        <f t="shared" si="15"/>
        <v>-18.258500000000002</v>
      </c>
      <c r="V183" s="248">
        <f t="shared" si="16"/>
        <v>-544.60850000000005</v>
      </c>
      <c r="W183" s="248">
        <f t="shared" si="17"/>
        <v>566.74</v>
      </c>
      <c r="X183" s="248">
        <f t="shared" si="18"/>
        <v>3.8729999999999336</v>
      </c>
      <c r="Y183" s="248">
        <f t="shared" ca="1" si="14"/>
        <v>13.385727699892982</v>
      </c>
      <c r="Z183" s="248">
        <f t="shared" ca="1" si="19"/>
        <v>5.4128289443844091</v>
      </c>
      <c r="AA183" s="250">
        <f t="shared" ca="1" si="20"/>
        <v>541.28289443844096</v>
      </c>
    </row>
    <row r="184" spans="5:27" x14ac:dyDescent="0.3">
      <c r="E184" s="241"/>
      <c r="F184" s="241"/>
      <c r="T184" s="254">
        <v>172</v>
      </c>
      <c r="U184" s="248">
        <f t="shared" si="15"/>
        <v>-18.258500000000002</v>
      </c>
      <c r="V184" s="248">
        <f t="shared" si="16"/>
        <v>-543.60850000000005</v>
      </c>
      <c r="W184" s="248">
        <f t="shared" si="17"/>
        <v>565.74</v>
      </c>
      <c r="X184" s="248">
        <f t="shared" si="18"/>
        <v>3.8729999999999336</v>
      </c>
      <c r="Y184" s="248">
        <f t="shared" ca="1" si="14"/>
        <v>13.385727699892982</v>
      </c>
      <c r="Z184" s="248">
        <f t="shared" ca="1" si="19"/>
        <v>5.4128289443844091</v>
      </c>
      <c r="AA184" s="250">
        <f t="shared" ca="1" si="20"/>
        <v>541.28289443844096</v>
      </c>
    </row>
    <row r="185" spans="5:27" x14ac:dyDescent="0.3">
      <c r="E185" s="241"/>
      <c r="F185" s="241"/>
      <c r="T185" s="254">
        <v>173</v>
      </c>
      <c r="U185" s="248">
        <f t="shared" si="15"/>
        <v>-18.258500000000002</v>
      </c>
      <c r="V185" s="248">
        <f t="shared" si="16"/>
        <v>-542.60850000000005</v>
      </c>
      <c r="W185" s="248">
        <f t="shared" si="17"/>
        <v>564.74</v>
      </c>
      <c r="X185" s="248">
        <f t="shared" si="18"/>
        <v>3.8729999999999336</v>
      </c>
      <c r="Y185" s="248">
        <f t="shared" ca="1" si="14"/>
        <v>13.385727699892982</v>
      </c>
      <c r="Z185" s="248">
        <f t="shared" ca="1" si="19"/>
        <v>5.4128289443844091</v>
      </c>
      <c r="AA185" s="250">
        <f t="shared" ca="1" si="20"/>
        <v>541.28289443844096</v>
      </c>
    </row>
    <row r="186" spans="5:27" x14ac:dyDescent="0.3">
      <c r="E186" s="241"/>
      <c r="F186" s="241"/>
      <c r="T186" s="254">
        <v>174</v>
      </c>
      <c r="U186" s="248">
        <f t="shared" si="15"/>
        <v>-18.258500000000002</v>
      </c>
      <c r="V186" s="248">
        <f t="shared" si="16"/>
        <v>-541.60850000000005</v>
      </c>
      <c r="W186" s="248">
        <f t="shared" si="17"/>
        <v>563.74</v>
      </c>
      <c r="X186" s="248">
        <f t="shared" si="18"/>
        <v>3.8729999999999336</v>
      </c>
      <c r="Y186" s="248">
        <f t="shared" ca="1" si="14"/>
        <v>13.385727699892982</v>
      </c>
      <c r="Z186" s="248">
        <f t="shared" ca="1" si="19"/>
        <v>5.4128289443844091</v>
      </c>
      <c r="AA186" s="250">
        <f t="shared" ca="1" si="20"/>
        <v>541.28289443844096</v>
      </c>
    </row>
    <row r="187" spans="5:27" x14ac:dyDescent="0.3">
      <c r="E187" s="241"/>
      <c r="F187" s="241"/>
      <c r="T187" s="254">
        <v>175</v>
      </c>
      <c r="U187" s="248">
        <f t="shared" si="15"/>
        <v>-18.258500000000002</v>
      </c>
      <c r="V187" s="248">
        <f t="shared" si="16"/>
        <v>-540.60850000000005</v>
      </c>
      <c r="W187" s="248">
        <f t="shared" si="17"/>
        <v>562.74</v>
      </c>
      <c r="X187" s="248">
        <f t="shared" si="18"/>
        <v>3.8729999999999336</v>
      </c>
      <c r="Y187" s="248">
        <f t="shared" ca="1" si="14"/>
        <v>13.385727699892982</v>
      </c>
      <c r="Z187" s="248">
        <f t="shared" ca="1" si="19"/>
        <v>5.4128289443844091</v>
      </c>
      <c r="AA187" s="250">
        <f t="shared" ca="1" si="20"/>
        <v>541.28289443844096</v>
      </c>
    </row>
    <row r="188" spans="5:27" x14ac:dyDescent="0.3">
      <c r="E188" s="241"/>
      <c r="F188" s="241"/>
      <c r="T188" s="254">
        <v>176</v>
      </c>
      <c r="U188" s="248">
        <f t="shared" si="15"/>
        <v>-18.258500000000002</v>
      </c>
      <c r="V188" s="248">
        <f t="shared" si="16"/>
        <v>-539.60850000000005</v>
      </c>
      <c r="W188" s="248">
        <f t="shared" si="17"/>
        <v>561.74</v>
      </c>
      <c r="X188" s="248">
        <f t="shared" si="18"/>
        <v>3.8729999999999336</v>
      </c>
      <c r="Y188" s="248">
        <f t="shared" ca="1" si="14"/>
        <v>13.385727699892982</v>
      </c>
      <c r="Z188" s="248">
        <f t="shared" ca="1" si="19"/>
        <v>5.4128289443844091</v>
      </c>
      <c r="AA188" s="250">
        <f t="shared" ca="1" si="20"/>
        <v>541.28289443844096</v>
      </c>
    </row>
    <row r="189" spans="5:27" x14ac:dyDescent="0.3">
      <c r="E189" s="241"/>
      <c r="F189" s="241"/>
      <c r="T189" s="254">
        <v>177</v>
      </c>
      <c r="U189" s="248">
        <f t="shared" si="15"/>
        <v>-18.258500000000002</v>
      </c>
      <c r="V189" s="248">
        <f t="shared" si="16"/>
        <v>-538.60850000000005</v>
      </c>
      <c r="W189" s="248">
        <f t="shared" si="17"/>
        <v>560.74</v>
      </c>
      <c r="X189" s="248">
        <f t="shared" si="18"/>
        <v>3.8729999999999336</v>
      </c>
      <c r="Y189" s="248">
        <f t="shared" ca="1" si="14"/>
        <v>13.385727699892982</v>
      </c>
      <c r="Z189" s="248">
        <f t="shared" ca="1" si="19"/>
        <v>5.4128289443844091</v>
      </c>
      <c r="AA189" s="250">
        <f t="shared" ca="1" si="20"/>
        <v>541.28289443844096</v>
      </c>
    </row>
    <row r="190" spans="5:27" x14ac:dyDescent="0.3">
      <c r="E190" s="241"/>
      <c r="F190" s="241"/>
      <c r="T190" s="254">
        <v>178</v>
      </c>
      <c r="U190" s="248">
        <f t="shared" si="15"/>
        <v>-18.258500000000002</v>
      </c>
      <c r="V190" s="248">
        <f t="shared" si="16"/>
        <v>-537.60850000000005</v>
      </c>
      <c r="W190" s="248">
        <f t="shared" si="17"/>
        <v>559.74</v>
      </c>
      <c r="X190" s="248">
        <f t="shared" si="18"/>
        <v>3.8729999999999336</v>
      </c>
      <c r="Y190" s="248">
        <f t="shared" ca="1" si="14"/>
        <v>13.385727699892982</v>
      </c>
      <c r="Z190" s="248">
        <f t="shared" ca="1" si="19"/>
        <v>5.4128289443844091</v>
      </c>
      <c r="AA190" s="250">
        <f t="shared" ca="1" si="20"/>
        <v>541.28289443844096</v>
      </c>
    </row>
    <row r="191" spans="5:27" x14ac:dyDescent="0.3">
      <c r="E191" s="241"/>
      <c r="F191" s="241"/>
      <c r="T191" s="254">
        <v>179</v>
      </c>
      <c r="U191" s="248">
        <f t="shared" si="15"/>
        <v>-18.258500000000002</v>
      </c>
      <c r="V191" s="248">
        <f t="shared" si="16"/>
        <v>-536.60850000000005</v>
      </c>
      <c r="W191" s="248">
        <f t="shared" si="17"/>
        <v>558.74</v>
      </c>
      <c r="X191" s="248">
        <f t="shared" si="18"/>
        <v>3.8729999999999336</v>
      </c>
      <c r="Y191" s="248">
        <f t="shared" ca="1" si="14"/>
        <v>13.385727699892982</v>
      </c>
      <c r="Z191" s="248">
        <f t="shared" ca="1" si="19"/>
        <v>5.4128289443844091</v>
      </c>
      <c r="AA191" s="250">
        <f t="shared" ca="1" si="20"/>
        <v>541.28289443844096</v>
      </c>
    </row>
    <row r="192" spans="5:27" x14ac:dyDescent="0.3">
      <c r="E192" s="241"/>
      <c r="F192" s="241"/>
      <c r="T192" s="254">
        <v>180</v>
      </c>
      <c r="U192" s="248">
        <f t="shared" si="15"/>
        <v>-18.258500000000002</v>
      </c>
      <c r="V192" s="248">
        <f t="shared" si="16"/>
        <v>-535.60850000000005</v>
      </c>
      <c r="W192" s="248">
        <f t="shared" si="17"/>
        <v>557.74</v>
      </c>
      <c r="X192" s="248">
        <f t="shared" si="18"/>
        <v>3.8729999999999336</v>
      </c>
      <c r="Y192" s="248">
        <f t="shared" ca="1" si="14"/>
        <v>13.385727699892982</v>
      </c>
      <c r="Z192" s="248">
        <f t="shared" ca="1" si="19"/>
        <v>5.4128289443844091</v>
      </c>
      <c r="AA192" s="250">
        <f t="shared" ca="1" si="20"/>
        <v>541.28289443844096</v>
      </c>
    </row>
    <row r="193" spans="5:27" x14ac:dyDescent="0.3">
      <c r="E193" s="241"/>
      <c r="F193" s="241"/>
      <c r="T193" s="254">
        <v>181</v>
      </c>
      <c r="U193" s="248">
        <f t="shared" si="15"/>
        <v>-18.258500000000002</v>
      </c>
      <c r="V193" s="248">
        <f t="shared" si="16"/>
        <v>-534.60850000000005</v>
      </c>
      <c r="W193" s="248">
        <f t="shared" si="17"/>
        <v>556.74</v>
      </c>
      <c r="X193" s="248">
        <f t="shared" si="18"/>
        <v>3.8729999999999336</v>
      </c>
      <c r="Y193" s="248">
        <f t="shared" ca="1" si="14"/>
        <v>13.385727699892982</v>
      </c>
      <c r="Z193" s="248">
        <f t="shared" ca="1" si="19"/>
        <v>5.4128289443844091</v>
      </c>
      <c r="AA193" s="250">
        <f t="shared" ca="1" si="20"/>
        <v>541.28289443844096</v>
      </c>
    </row>
    <row r="194" spans="5:27" x14ac:dyDescent="0.3">
      <c r="E194" s="241"/>
      <c r="F194" s="241"/>
      <c r="T194" s="254">
        <v>182</v>
      </c>
      <c r="U194" s="248">
        <f t="shared" si="15"/>
        <v>-18.258500000000002</v>
      </c>
      <c r="V194" s="248">
        <f t="shared" si="16"/>
        <v>-533.60850000000005</v>
      </c>
      <c r="W194" s="248">
        <f t="shared" si="17"/>
        <v>555.74</v>
      </c>
      <c r="X194" s="248">
        <f t="shared" si="18"/>
        <v>3.8729999999999336</v>
      </c>
      <c r="Y194" s="248">
        <f t="shared" ca="1" si="14"/>
        <v>13.385727699892982</v>
      </c>
      <c r="Z194" s="248">
        <f t="shared" ca="1" si="19"/>
        <v>5.4128289443844091</v>
      </c>
      <c r="AA194" s="250">
        <f t="shared" ca="1" si="20"/>
        <v>541.28289443844096</v>
      </c>
    </row>
    <row r="195" spans="5:27" x14ac:dyDescent="0.3">
      <c r="E195" s="241"/>
      <c r="F195" s="241"/>
      <c r="T195" s="254">
        <v>183</v>
      </c>
      <c r="U195" s="248">
        <f t="shared" si="15"/>
        <v>-18.258500000000002</v>
      </c>
      <c r="V195" s="248">
        <f t="shared" si="16"/>
        <v>-532.60850000000005</v>
      </c>
      <c r="W195" s="248">
        <f t="shared" si="17"/>
        <v>554.74</v>
      </c>
      <c r="X195" s="248">
        <f t="shared" si="18"/>
        <v>3.8729999999999336</v>
      </c>
      <c r="Y195" s="248">
        <f t="shared" ca="1" si="14"/>
        <v>13.385727699892982</v>
      </c>
      <c r="Z195" s="248">
        <f t="shared" ca="1" si="19"/>
        <v>5.4128289443844091</v>
      </c>
      <c r="AA195" s="250">
        <f t="shared" ca="1" si="20"/>
        <v>541.28289443844096</v>
      </c>
    </row>
    <row r="196" spans="5:27" x14ac:dyDescent="0.3">
      <c r="E196" s="241"/>
      <c r="F196" s="241"/>
      <c r="T196" s="254">
        <v>184</v>
      </c>
      <c r="U196" s="248">
        <f t="shared" si="15"/>
        <v>-18.258500000000002</v>
      </c>
      <c r="V196" s="248">
        <f t="shared" si="16"/>
        <v>-531.60850000000005</v>
      </c>
      <c r="W196" s="248">
        <f t="shared" si="17"/>
        <v>553.74</v>
      </c>
      <c r="X196" s="248">
        <f t="shared" si="18"/>
        <v>3.8729999999999336</v>
      </c>
      <c r="Y196" s="248">
        <f t="shared" ca="1" si="14"/>
        <v>13.385727699892982</v>
      </c>
      <c r="Z196" s="248">
        <f t="shared" ca="1" si="19"/>
        <v>5.4128289443844091</v>
      </c>
      <c r="AA196" s="250">
        <f t="shared" ca="1" si="20"/>
        <v>541.28289443844096</v>
      </c>
    </row>
    <row r="197" spans="5:27" x14ac:dyDescent="0.3">
      <c r="E197" s="241"/>
      <c r="F197" s="241"/>
      <c r="T197" s="254">
        <v>185</v>
      </c>
      <c r="U197" s="248">
        <f t="shared" si="15"/>
        <v>-18.258500000000002</v>
      </c>
      <c r="V197" s="248">
        <f t="shared" si="16"/>
        <v>-530.60850000000005</v>
      </c>
      <c r="W197" s="248">
        <f t="shared" si="17"/>
        <v>552.74</v>
      </c>
      <c r="X197" s="248">
        <f t="shared" si="18"/>
        <v>3.8729999999999336</v>
      </c>
      <c r="Y197" s="248">
        <f t="shared" ca="1" si="14"/>
        <v>13.385727699892982</v>
      </c>
      <c r="Z197" s="248">
        <f t="shared" ca="1" si="19"/>
        <v>5.4128289443844091</v>
      </c>
      <c r="AA197" s="250">
        <f t="shared" ca="1" si="20"/>
        <v>541.28289443844096</v>
      </c>
    </row>
    <row r="198" spans="5:27" x14ac:dyDescent="0.3">
      <c r="E198" s="241"/>
      <c r="F198" s="241"/>
      <c r="T198" s="254">
        <v>186</v>
      </c>
      <c r="U198" s="248">
        <f t="shared" si="15"/>
        <v>-18.258500000000002</v>
      </c>
      <c r="V198" s="248">
        <f t="shared" si="16"/>
        <v>-529.60850000000005</v>
      </c>
      <c r="W198" s="248">
        <f t="shared" si="17"/>
        <v>551.74</v>
      </c>
      <c r="X198" s="248">
        <f t="shared" si="18"/>
        <v>3.8729999999999336</v>
      </c>
      <c r="Y198" s="248">
        <f t="shared" ca="1" si="14"/>
        <v>13.385727699892982</v>
      </c>
      <c r="Z198" s="248">
        <f t="shared" ca="1" si="19"/>
        <v>5.4128289443844091</v>
      </c>
      <c r="AA198" s="250">
        <f t="shared" ca="1" si="20"/>
        <v>541.28289443844096</v>
      </c>
    </row>
    <row r="199" spans="5:27" x14ac:dyDescent="0.3">
      <c r="E199" s="241"/>
      <c r="F199" s="241"/>
      <c r="T199" s="254">
        <v>187</v>
      </c>
      <c r="U199" s="248">
        <f t="shared" si="15"/>
        <v>-18.258500000000002</v>
      </c>
      <c r="V199" s="248">
        <f t="shared" si="16"/>
        <v>-528.60850000000005</v>
      </c>
      <c r="W199" s="248">
        <f t="shared" si="17"/>
        <v>550.74</v>
      </c>
      <c r="X199" s="248">
        <f t="shared" si="18"/>
        <v>3.8729999999999336</v>
      </c>
      <c r="Y199" s="248">
        <f t="shared" ca="1" si="14"/>
        <v>13.385727699892982</v>
      </c>
      <c r="Z199" s="248">
        <f t="shared" ca="1" si="19"/>
        <v>5.4128289443844091</v>
      </c>
      <c r="AA199" s="250">
        <f t="shared" ca="1" si="20"/>
        <v>541.28289443844096</v>
      </c>
    </row>
    <row r="200" spans="5:27" x14ac:dyDescent="0.3">
      <c r="E200" s="241"/>
      <c r="F200" s="241"/>
      <c r="T200" s="254">
        <v>188</v>
      </c>
      <c r="U200" s="248">
        <f t="shared" si="15"/>
        <v>-18.258500000000002</v>
      </c>
      <c r="V200" s="248">
        <f t="shared" si="16"/>
        <v>-527.60850000000005</v>
      </c>
      <c r="W200" s="248">
        <f t="shared" si="17"/>
        <v>549.74</v>
      </c>
      <c r="X200" s="248">
        <f t="shared" si="18"/>
        <v>3.8729999999999336</v>
      </c>
      <c r="Y200" s="248">
        <f t="shared" ca="1" si="14"/>
        <v>13.385727699892982</v>
      </c>
      <c r="Z200" s="248">
        <f t="shared" ca="1" si="19"/>
        <v>5.4128289443844091</v>
      </c>
      <c r="AA200" s="250">
        <f t="shared" ca="1" si="20"/>
        <v>541.28289443844096</v>
      </c>
    </row>
    <row r="201" spans="5:27" x14ac:dyDescent="0.3">
      <c r="E201" s="241"/>
      <c r="F201" s="241"/>
      <c r="T201" s="254">
        <v>189</v>
      </c>
      <c r="U201" s="248">
        <f t="shared" si="15"/>
        <v>-18.258500000000002</v>
      </c>
      <c r="V201" s="248">
        <f t="shared" si="16"/>
        <v>-526.60850000000005</v>
      </c>
      <c r="W201" s="248">
        <f t="shared" si="17"/>
        <v>548.74</v>
      </c>
      <c r="X201" s="248">
        <f t="shared" si="18"/>
        <v>3.8729999999999336</v>
      </c>
      <c r="Y201" s="248">
        <f t="shared" ca="1" si="14"/>
        <v>13.385727699892982</v>
      </c>
      <c r="Z201" s="248">
        <f t="shared" ca="1" si="19"/>
        <v>5.4128289443844091</v>
      </c>
      <c r="AA201" s="250">
        <f t="shared" ca="1" si="20"/>
        <v>541.28289443844096</v>
      </c>
    </row>
    <row r="202" spans="5:27" x14ac:dyDescent="0.3">
      <c r="E202" s="241"/>
      <c r="F202" s="241"/>
      <c r="T202" s="254">
        <v>190</v>
      </c>
      <c r="U202" s="248">
        <f t="shared" si="15"/>
        <v>-18.258500000000002</v>
      </c>
      <c r="V202" s="248">
        <f t="shared" si="16"/>
        <v>-525.60850000000005</v>
      </c>
      <c r="W202" s="248">
        <f t="shared" si="17"/>
        <v>547.74</v>
      </c>
      <c r="X202" s="248">
        <f t="shared" si="18"/>
        <v>3.8729999999999336</v>
      </c>
      <c r="Y202" s="248">
        <f t="shared" ca="1" si="14"/>
        <v>13.385727699892982</v>
      </c>
      <c r="Z202" s="248">
        <f t="shared" ca="1" si="19"/>
        <v>5.4128289443844091</v>
      </c>
      <c r="AA202" s="250">
        <f t="shared" ca="1" si="20"/>
        <v>541.28289443844096</v>
      </c>
    </row>
    <row r="203" spans="5:27" x14ac:dyDescent="0.3">
      <c r="E203" s="241"/>
      <c r="F203" s="241"/>
      <c r="T203" s="254">
        <v>191</v>
      </c>
      <c r="U203" s="248">
        <f t="shared" si="15"/>
        <v>-18.258500000000002</v>
      </c>
      <c r="V203" s="248">
        <f t="shared" si="16"/>
        <v>-524.60850000000005</v>
      </c>
      <c r="W203" s="248">
        <f t="shared" si="17"/>
        <v>546.74</v>
      </c>
      <c r="X203" s="248">
        <f t="shared" si="18"/>
        <v>3.8729999999999336</v>
      </c>
      <c r="Y203" s="248">
        <f t="shared" ca="1" si="14"/>
        <v>13.385727699892982</v>
      </c>
      <c r="Z203" s="248">
        <f t="shared" ca="1" si="19"/>
        <v>5.4128289443844091</v>
      </c>
      <c r="AA203" s="250">
        <f t="shared" ca="1" si="20"/>
        <v>541.28289443844096</v>
      </c>
    </row>
    <row r="204" spans="5:27" x14ac:dyDescent="0.3">
      <c r="E204" s="241"/>
      <c r="F204" s="241"/>
      <c r="T204" s="254">
        <v>192</v>
      </c>
      <c r="U204" s="248">
        <f t="shared" si="15"/>
        <v>-18.258500000000002</v>
      </c>
      <c r="V204" s="248">
        <f t="shared" si="16"/>
        <v>-523.60850000000005</v>
      </c>
      <c r="W204" s="248">
        <f t="shared" si="17"/>
        <v>545.74</v>
      </c>
      <c r="X204" s="248">
        <f t="shared" si="18"/>
        <v>3.8729999999999336</v>
      </c>
      <c r="Y204" s="248">
        <f t="shared" ref="Y204:Y267" ca="1" si="21">$Y$10*EXP($Y$7*$C$6)-$Y$10</f>
        <v>13.385727699892982</v>
      </c>
      <c r="Z204" s="248">
        <f t="shared" ca="1" si="19"/>
        <v>5.4128289443844091</v>
      </c>
      <c r="AA204" s="250">
        <f t="shared" ca="1" si="20"/>
        <v>541.28289443844096</v>
      </c>
    </row>
    <row r="205" spans="5:27" x14ac:dyDescent="0.3">
      <c r="E205" s="241"/>
      <c r="F205" s="241"/>
      <c r="T205" s="254">
        <v>193</v>
      </c>
      <c r="U205" s="248">
        <f t="shared" ref="U205:U268" si="22">MAX(0,T205-$U$9)-$U$10-$U$11/100</f>
        <v>-18.258500000000002</v>
      </c>
      <c r="V205" s="248">
        <f t="shared" ref="V205:V268" si="23">$V$10-MAX(0,$V$9-T205)-$V$11/100</f>
        <v>-522.60850000000005</v>
      </c>
      <c r="W205" s="248">
        <f t="shared" ref="W205:W268" si="24">$W$10-T205</f>
        <v>544.74</v>
      </c>
      <c r="X205" s="248">
        <f t="shared" ref="X205:X268" si="25">SUM(U205:W205)</f>
        <v>3.8729999999999336</v>
      </c>
      <c r="Y205" s="248">
        <f t="shared" ca="1" si="21"/>
        <v>13.385727699892982</v>
      </c>
      <c r="Z205" s="248">
        <f t="shared" ref="Z205:Z268" ca="1" si="26">EXP(-$E$3*$C$6)*SUM(X205:Y205)</f>
        <v>5.4128289443844091</v>
      </c>
      <c r="AA205" s="250">
        <f t="shared" ref="AA205:AA268" ca="1" si="27">Z205*100</f>
        <v>541.28289443844096</v>
      </c>
    </row>
    <row r="206" spans="5:27" x14ac:dyDescent="0.3">
      <c r="E206" s="241"/>
      <c r="F206" s="241"/>
      <c r="T206" s="254">
        <v>194</v>
      </c>
      <c r="U206" s="248">
        <f t="shared" si="22"/>
        <v>-18.258500000000002</v>
      </c>
      <c r="V206" s="248">
        <f t="shared" si="23"/>
        <v>-521.60850000000005</v>
      </c>
      <c r="W206" s="248">
        <f t="shared" si="24"/>
        <v>543.74</v>
      </c>
      <c r="X206" s="248">
        <f t="shared" si="25"/>
        <v>3.8729999999999336</v>
      </c>
      <c r="Y206" s="248">
        <f t="shared" ca="1" si="21"/>
        <v>13.385727699892982</v>
      </c>
      <c r="Z206" s="248">
        <f t="shared" ca="1" si="26"/>
        <v>5.4128289443844091</v>
      </c>
      <c r="AA206" s="250">
        <f t="shared" ca="1" si="27"/>
        <v>541.28289443844096</v>
      </c>
    </row>
    <row r="207" spans="5:27" x14ac:dyDescent="0.3">
      <c r="E207" s="241"/>
      <c r="F207" s="241"/>
      <c r="T207" s="254">
        <v>195</v>
      </c>
      <c r="U207" s="248">
        <f t="shared" si="22"/>
        <v>-18.258500000000002</v>
      </c>
      <c r="V207" s="248">
        <f t="shared" si="23"/>
        <v>-520.60850000000005</v>
      </c>
      <c r="W207" s="248">
        <f t="shared" si="24"/>
        <v>542.74</v>
      </c>
      <c r="X207" s="248">
        <f t="shared" si="25"/>
        <v>3.8729999999999336</v>
      </c>
      <c r="Y207" s="248">
        <f t="shared" ca="1" si="21"/>
        <v>13.385727699892982</v>
      </c>
      <c r="Z207" s="248">
        <f t="shared" ca="1" si="26"/>
        <v>5.4128289443844091</v>
      </c>
      <c r="AA207" s="250">
        <f t="shared" ca="1" si="27"/>
        <v>541.28289443844096</v>
      </c>
    </row>
    <row r="208" spans="5:27" x14ac:dyDescent="0.3">
      <c r="E208" s="241"/>
      <c r="F208" s="241"/>
      <c r="T208" s="254">
        <v>196</v>
      </c>
      <c r="U208" s="248">
        <f t="shared" si="22"/>
        <v>-18.258500000000002</v>
      </c>
      <c r="V208" s="248">
        <f t="shared" si="23"/>
        <v>-519.60850000000005</v>
      </c>
      <c r="W208" s="248">
        <f t="shared" si="24"/>
        <v>541.74</v>
      </c>
      <c r="X208" s="248">
        <f t="shared" si="25"/>
        <v>3.8729999999999336</v>
      </c>
      <c r="Y208" s="248">
        <f t="shared" ca="1" si="21"/>
        <v>13.385727699892982</v>
      </c>
      <c r="Z208" s="248">
        <f t="shared" ca="1" si="26"/>
        <v>5.4128289443844091</v>
      </c>
      <c r="AA208" s="250">
        <f t="shared" ca="1" si="27"/>
        <v>541.28289443844096</v>
      </c>
    </row>
    <row r="209" spans="5:27" x14ac:dyDescent="0.3">
      <c r="E209" s="241"/>
      <c r="F209" s="241"/>
      <c r="T209" s="254">
        <v>197</v>
      </c>
      <c r="U209" s="248">
        <f t="shared" si="22"/>
        <v>-18.258500000000002</v>
      </c>
      <c r="V209" s="248">
        <f t="shared" si="23"/>
        <v>-518.60850000000005</v>
      </c>
      <c r="W209" s="248">
        <f t="shared" si="24"/>
        <v>540.74</v>
      </c>
      <c r="X209" s="248">
        <f t="shared" si="25"/>
        <v>3.8729999999999336</v>
      </c>
      <c r="Y209" s="248">
        <f t="shared" ca="1" si="21"/>
        <v>13.385727699892982</v>
      </c>
      <c r="Z209" s="248">
        <f t="shared" ca="1" si="26"/>
        <v>5.4128289443844091</v>
      </c>
      <c r="AA209" s="250">
        <f t="shared" ca="1" si="27"/>
        <v>541.28289443844096</v>
      </c>
    </row>
    <row r="210" spans="5:27" x14ac:dyDescent="0.3">
      <c r="E210" s="241"/>
      <c r="F210" s="241"/>
      <c r="T210" s="254">
        <v>198</v>
      </c>
      <c r="U210" s="248">
        <f t="shared" si="22"/>
        <v>-18.258500000000002</v>
      </c>
      <c r="V210" s="248">
        <f t="shared" si="23"/>
        <v>-517.60850000000005</v>
      </c>
      <c r="W210" s="248">
        <f t="shared" si="24"/>
        <v>539.74</v>
      </c>
      <c r="X210" s="248">
        <f t="shared" si="25"/>
        <v>3.8729999999999336</v>
      </c>
      <c r="Y210" s="248">
        <f t="shared" ca="1" si="21"/>
        <v>13.385727699892982</v>
      </c>
      <c r="Z210" s="248">
        <f t="shared" ca="1" si="26"/>
        <v>5.4128289443844091</v>
      </c>
      <c r="AA210" s="250">
        <f t="shared" ca="1" si="27"/>
        <v>541.28289443844096</v>
      </c>
    </row>
    <row r="211" spans="5:27" x14ac:dyDescent="0.3">
      <c r="E211" s="241"/>
      <c r="F211" s="241"/>
      <c r="T211" s="254">
        <v>199</v>
      </c>
      <c r="U211" s="248">
        <f t="shared" si="22"/>
        <v>-18.258500000000002</v>
      </c>
      <c r="V211" s="248">
        <f t="shared" si="23"/>
        <v>-516.60850000000005</v>
      </c>
      <c r="W211" s="248">
        <f t="shared" si="24"/>
        <v>538.74</v>
      </c>
      <c r="X211" s="248">
        <f t="shared" si="25"/>
        <v>3.8729999999999336</v>
      </c>
      <c r="Y211" s="248">
        <f t="shared" ca="1" si="21"/>
        <v>13.385727699892982</v>
      </c>
      <c r="Z211" s="248">
        <f t="shared" ca="1" si="26"/>
        <v>5.4128289443844091</v>
      </c>
      <c r="AA211" s="250">
        <f t="shared" ca="1" si="27"/>
        <v>541.28289443844096</v>
      </c>
    </row>
    <row r="212" spans="5:27" x14ac:dyDescent="0.3">
      <c r="E212" s="241"/>
      <c r="F212" s="241"/>
      <c r="T212" s="254">
        <v>200</v>
      </c>
      <c r="U212" s="248">
        <f t="shared" si="22"/>
        <v>-18.258500000000002</v>
      </c>
      <c r="V212" s="248">
        <f t="shared" si="23"/>
        <v>-515.60850000000005</v>
      </c>
      <c r="W212" s="248">
        <f t="shared" si="24"/>
        <v>537.74</v>
      </c>
      <c r="X212" s="248">
        <f t="shared" si="25"/>
        <v>3.8729999999999336</v>
      </c>
      <c r="Y212" s="248">
        <f t="shared" ca="1" si="21"/>
        <v>13.385727699892982</v>
      </c>
      <c r="Z212" s="248">
        <f t="shared" ca="1" si="26"/>
        <v>5.4128289443844091</v>
      </c>
      <c r="AA212" s="250">
        <f t="shared" ca="1" si="27"/>
        <v>541.28289443844096</v>
      </c>
    </row>
    <row r="213" spans="5:27" x14ac:dyDescent="0.3">
      <c r="E213" s="241"/>
      <c r="F213" s="241"/>
      <c r="T213" s="254">
        <v>201</v>
      </c>
      <c r="U213" s="248">
        <f t="shared" si="22"/>
        <v>-18.258500000000002</v>
      </c>
      <c r="V213" s="248">
        <f t="shared" si="23"/>
        <v>-514.60850000000005</v>
      </c>
      <c r="W213" s="248">
        <f t="shared" si="24"/>
        <v>536.74</v>
      </c>
      <c r="X213" s="248">
        <f t="shared" si="25"/>
        <v>3.8729999999999336</v>
      </c>
      <c r="Y213" s="248">
        <f t="shared" ca="1" si="21"/>
        <v>13.385727699892982</v>
      </c>
      <c r="Z213" s="248">
        <f t="shared" ca="1" si="26"/>
        <v>5.4128289443844091</v>
      </c>
      <c r="AA213" s="250">
        <f t="shared" ca="1" si="27"/>
        <v>541.28289443844096</v>
      </c>
    </row>
    <row r="214" spans="5:27" x14ac:dyDescent="0.3">
      <c r="E214" s="241"/>
      <c r="F214" s="241"/>
      <c r="T214" s="254">
        <v>202</v>
      </c>
      <c r="U214" s="248">
        <f t="shared" si="22"/>
        <v>-18.258500000000002</v>
      </c>
      <c r="V214" s="248">
        <f t="shared" si="23"/>
        <v>-513.60850000000005</v>
      </c>
      <c r="W214" s="248">
        <f t="shared" si="24"/>
        <v>535.74</v>
      </c>
      <c r="X214" s="248">
        <f t="shared" si="25"/>
        <v>3.8729999999999336</v>
      </c>
      <c r="Y214" s="248">
        <f t="shared" ca="1" si="21"/>
        <v>13.385727699892982</v>
      </c>
      <c r="Z214" s="248">
        <f t="shared" ca="1" si="26"/>
        <v>5.4128289443844091</v>
      </c>
      <c r="AA214" s="250">
        <f t="shared" ca="1" si="27"/>
        <v>541.28289443844096</v>
      </c>
    </row>
    <row r="215" spans="5:27" x14ac:dyDescent="0.3">
      <c r="E215" s="241"/>
      <c r="F215" s="241"/>
      <c r="T215" s="254">
        <v>203</v>
      </c>
      <c r="U215" s="248">
        <f t="shared" si="22"/>
        <v>-18.258500000000002</v>
      </c>
      <c r="V215" s="248">
        <f t="shared" si="23"/>
        <v>-512.60850000000005</v>
      </c>
      <c r="W215" s="248">
        <f t="shared" si="24"/>
        <v>534.74</v>
      </c>
      <c r="X215" s="248">
        <f t="shared" si="25"/>
        <v>3.8729999999999336</v>
      </c>
      <c r="Y215" s="248">
        <f t="shared" ca="1" si="21"/>
        <v>13.385727699892982</v>
      </c>
      <c r="Z215" s="248">
        <f t="shared" ca="1" si="26"/>
        <v>5.4128289443844091</v>
      </c>
      <c r="AA215" s="250">
        <f t="shared" ca="1" si="27"/>
        <v>541.28289443844096</v>
      </c>
    </row>
    <row r="216" spans="5:27" x14ac:dyDescent="0.3">
      <c r="E216" s="241"/>
      <c r="F216" s="241"/>
      <c r="T216" s="254">
        <v>204</v>
      </c>
      <c r="U216" s="248">
        <f t="shared" si="22"/>
        <v>-18.258500000000002</v>
      </c>
      <c r="V216" s="248">
        <f t="shared" si="23"/>
        <v>-511.60850000000005</v>
      </c>
      <c r="W216" s="248">
        <f t="shared" si="24"/>
        <v>533.74</v>
      </c>
      <c r="X216" s="248">
        <f t="shared" si="25"/>
        <v>3.8729999999999336</v>
      </c>
      <c r="Y216" s="248">
        <f t="shared" ca="1" si="21"/>
        <v>13.385727699892982</v>
      </c>
      <c r="Z216" s="248">
        <f t="shared" ca="1" si="26"/>
        <v>5.4128289443844091</v>
      </c>
      <c r="AA216" s="250">
        <f t="shared" ca="1" si="27"/>
        <v>541.28289443844096</v>
      </c>
    </row>
    <row r="217" spans="5:27" x14ac:dyDescent="0.3">
      <c r="E217" s="241"/>
      <c r="F217" s="241"/>
      <c r="T217" s="254">
        <v>205</v>
      </c>
      <c r="U217" s="248">
        <f t="shared" si="22"/>
        <v>-18.258500000000002</v>
      </c>
      <c r="V217" s="248">
        <f t="shared" si="23"/>
        <v>-510.60850000000005</v>
      </c>
      <c r="W217" s="248">
        <f t="shared" si="24"/>
        <v>532.74</v>
      </c>
      <c r="X217" s="248">
        <f t="shared" si="25"/>
        <v>3.8729999999999336</v>
      </c>
      <c r="Y217" s="248">
        <f t="shared" ca="1" si="21"/>
        <v>13.385727699892982</v>
      </c>
      <c r="Z217" s="248">
        <f t="shared" ca="1" si="26"/>
        <v>5.4128289443844091</v>
      </c>
      <c r="AA217" s="250">
        <f t="shared" ca="1" si="27"/>
        <v>541.28289443844096</v>
      </c>
    </row>
    <row r="218" spans="5:27" x14ac:dyDescent="0.3">
      <c r="E218" s="241"/>
      <c r="F218" s="241"/>
      <c r="T218" s="254">
        <v>206</v>
      </c>
      <c r="U218" s="248">
        <f t="shared" si="22"/>
        <v>-18.258500000000002</v>
      </c>
      <c r="V218" s="248">
        <f t="shared" si="23"/>
        <v>-509.60850000000005</v>
      </c>
      <c r="W218" s="248">
        <f t="shared" si="24"/>
        <v>531.74</v>
      </c>
      <c r="X218" s="248">
        <f t="shared" si="25"/>
        <v>3.8729999999999336</v>
      </c>
      <c r="Y218" s="248">
        <f t="shared" ca="1" si="21"/>
        <v>13.385727699892982</v>
      </c>
      <c r="Z218" s="248">
        <f t="shared" ca="1" si="26"/>
        <v>5.4128289443844091</v>
      </c>
      <c r="AA218" s="250">
        <f t="shared" ca="1" si="27"/>
        <v>541.28289443844096</v>
      </c>
    </row>
    <row r="219" spans="5:27" x14ac:dyDescent="0.3">
      <c r="E219" s="241"/>
      <c r="F219" s="241"/>
      <c r="T219" s="254">
        <v>207</v>
      </c>
      <c r="U219" s="248">
        <f t="shared" si="22"/>
        <v>-18.258500000000002</v>
      </c>
      <c r="V219" s="248">
        <f t="shared" si="23"/>
        <v>-508.60850000000005</v>
      </c>
      <c r="W219" s="248">
        <f t="shared" si="24"/>
        <v>530.74</v>
      </c>
      <c r="X219" s="248">
        <f t="shared" si="25"/>
        <v>3.8729999999999336</v>
      </c>
      <c r="Y219" s="248">
        <f t="shared" ca="1" si="21"/>
        <v>13.385727699892982</v>
      </c>
      <c r="Z219" s="248">
        <f t="shared" ca="1" si="26"/>
        <v>5.4128289443844091</v>
      </c>
      <c r="AA219" s="250">
        <f t="shared" ca="1" si="27"/>
        <v>541.28289443844096</v>
      </c>
    </row>
    <row r="220" spans="5:27" x14ac:dyDescent="0.3">
      <c r="E220" s="241"/>
      <c r="F220" s="241"/>
      <c r="T220" s="254">
        <v>208</v>
      </c>
      <c r="U220" s="248">
        <f t="shared" si="22"/>
        <v>-18.258500000000002</v>
      </c>
      <c r="V220" s="248">
        <f t="shared" si="23"/>
        <v>-507.60850000000005</v>
      </c>
      <c r="W220" s="248">
        <f t="shared" si="24"/>
        <v>529.74</v>
      </c>
      <c r="X220" s="248">
        <f t="shared" si="25"/>
        <v>3.8729999999999336</v>
      </c>
      <c r="Y220" s="248">
        <f t="shared" ca="1" si="21"/>
        <v>13.385727699892982</v>
      </c>
      <c r="Z220" s="248">
        <f t="shared" ca="1" si="26"/>
        <v>5.4128289443844091</v>
      </c>
      <c r="AA220" s="250">
        <f t="shared" ca="1" si="27"/>
        <v>541.28289443844096</v>
      </c>
    </row>
    <row r="221" spans="5:27" x14ac:dyDescent="0.3">
      <c r="E221" s="241"/>
      <c r="F221" s="241"/>
      <c r="T221" s="254">
        <v>209</v>
      </c>
      <c r="U221" s="248">
        <f t="shared" si="22"/>
        <v>-18.258500000000002</v>
      </c>
      <c r="V221" s="248">
        <f t="shared" si="23"/>
        <v>-506.60850000000005</v>
      </c>
      <c r="W221" s="248">
        <f t="shared" si="24"/>
        <v>528.74</v>
      </c>
      <c r="X221" s="248">
        <f t="shared" si="25"/>
        <v>3.8729999999999336</v>
      </c>
      <c r="Y221" s="248">
        <f t="shared" ca="1" si="21"/>
        <v>13.385727699892982</v>
      </c>
      <c r="Z221" s="248">
        <f t="shared" ca="1" si="26"/>
        <v>5.4128289443844091</v>
      </c>
      <c r="AA221" s="250">
        <f t="shared" ca="1" si="27"/>
        <v>541.28289443844096</v>
      </c>
    </row>
    <row r="222" spans="5:27" x14ac:dyDescent="0.3">
      <c r="E222" s="241"/>
      <c r="F222" s="241"/>
      <c r="T222" s="254">
        <v>210</v>
      </c>
      <c r="U222" s="248">
        <f t="shared" si="22"/>
        <v>-18.258500000000002</v>
      </c>
      <c r="V222" s="248">
        <f t="shared" si="23"/>
        <v>-505.60850000000005</v>
      </c>
      <c r="W222" s="248">
        <f t="shared" si="24"/>
        <v>527.74</v>
      </c>
      <c r="X222" s="248">
        <f t="shared" si="25"/>
        <v>3.8729999999999336</v>
      </c>
      <c r="Y222" s="248">
        <f t="shared" ca="1" si="21"/>
        <v>13.385727699892982</v>
      </c>
      <c r="Z222" s="248">
        <f t="shared" ca="1" si="26"/>
        <v>5.4128289443844091</v>
      </c>
      <c r="AA222" s="250">
        <f t="shared" ca="1" si="27"/>
        <v>541.28289443844096</v>
      </c>
    </row>
    <row r="223" spans="5:27" x14ac:dyDescent="0.3">
      <c r="E223" s="241"/>
      <c r="F223" s="241"/>
      <c r="T223" s="254">
        <v>211</v>
      </c>
      <c r="U223" s="248">
        <f t="shared" si="22"/>
        <v>-18.258500000000002</v>
      </c>
      <c r="V223" s="248">
        <f t="shared" si="23"/>
        <v>-504.60850000000005</v>
      </c>
      <c r="W223" s="248">
        <f t="shared" si="24"/>
        <v>526.74</v>
      </c>
      <c r="X223" s="248">
        <f t="shared" si="25"/>
        <v>3.8729999999999336</v>
      </c>
      <c r="Y223" s="248">
        <f t="shared" ca="1" si="21"/>
        <v>13.385727699892982</v>
      </c>
      <c r="Z223" s="248">
        <f t="shared" ca="1" si="26"/>
        <v>5.4128289443844091</v>
      </c>
      <c r="AA223" s="250">
        <f t="shared" ca="1" si="27"/>
        <v>541.28289443844096</v>
      </c>
    </row>
    <row r="224" spans="5:27" x14ac:dyDescent="0.3">
      <c r="E224" s="241"/>
      <c r="F224" s="241"/>
      <c r="T224" s="254">
        <v>212</v>
      </c>
      <c r="U224" s="248">
        <f t="shared" si="22"/>
        <v>-18.258500000000002</v>
      </c>
      <c r="V224" s="248">
        <f t="shared" si="23"/>
        <v>-503.60850000000005</v>
      </c>
      <c r="W224" s="248">
        <f t="shared" si="24"/>
        <v>525.74</v>
      </c>
      <c r="X224" s="248">
        <f t="shared" si="25"/>
        <v>3.8729999999999336</v>
      </c>
      <c r="Y224" s="248">
        <f t="shared" ca="1" si="21"/>
        <v>13.385727699892982</v>
      </c>
      <c r="Z224" s="248">
        <f t="shared" ca="1" si="26"/>
        <v>5.4128289443844091</v>
      </c>
      <c r="AA224" s="250">
        <f t="shared" ca="1" si="27"/>
        <v>541.28289443844096</v>
      </c>
    </row>
    <row r="225" spans="5:27" x14ac:dyDescent="0.3">
      <c r="E225" s="241"/>
      <c r="F225" s="241"/>
      <c r="T225" s="254">
        <v>213</v>
      </c>
      <c r="U225" s="248">
        <f t="shared" si="22"/>
        <v>-18.258500000000002</v>
      </c>
      <c r="V225" s="248">
        <f t="shared" si="23"/>
        <v>-502.60850000000005</v>
      </c>
      <c r="W225" s="248">
        <f t="shared" si="24"/>
        <v>524.74</v>
      </c>
      <c r="X225" s="248">
        <f t="shared" si="25"/>
        <v>3.8729999999999336</v>
      </c>
      <c r="Y225" s="248">
        <f t="shared" ca="1" si="21"/>
        <v>13.385727699892982</v>
      </c>
      <c r="Z225" s="248">
        <f t="shared" ca="1" si="26"/>
        <v>5.4128289443844091</v>
      </c>
      <c r="AA225" s="250">
        <f t="shared" ca="1" si="27"/>
        <v>541.28289443844096</v>
      </c>
    </row>
    <row r="226" spans="5:27" x14ac:dyDescent="0.3">
      <c r="E226" s="241"/>
      <c r="F226" s="241"/>
      <c r="T226" s="254">
        <v>214</v>
      </c>
      <c r="U226" s="248">
        <f t="shared" si="22"/>
        <v>-18.258500000000002</v>
      </c>
      <c r="V226" s="248">
        <f t="shared" si="23"/>
        <v>-501.60850000000005</v>
      </c>
      <c r="W226" s="248">
        <f t="shared" si="24"/>
        <v>523.74</v>
      </c>
      <c r="X226" s="248">
        <f t="shared" si="25"/>
        <v>3.8729999999999336</v>
      </c>
      <c r="Y226" s="248">
        <f t="shared" ca="1" si="21"/>
        <v>13.385727699892982</v>
      </c>
      <c r="Z226" s="248">
        <f t="shared" ca="1" si="26"/>
        <v>5.4128289443844091</v>
      </c>
      <c r="AA226" s="250">
        <f t="shared" ca="1" si="27"/>
        <v>541.28289443844096</v>
      </c>
    </row>
    <row r="227" spans="5:27" x14ac:dyDescent="0.3">
      <c r="E227" s="241"/>
      <c r="F227" s="241"/>
      <c r="T227" s="254">
        <v>215</v>
      </c>
      <c r="U227" s="248">
        <f t="shared" si="22"/>
        <v>-18.258500000000002</v>
      </c>
      <c r="V227" s="248">
        <f t="shared" si="23"/>
        <v>-500.60850000000005</v>
      </c>
      <c r="W227" s="248">
        <f t="shared" si="24"/>
        <v>522.74</v>
      </c>
      <c r="X227" s="248">
        <f t="shared" si="25"/>
        <v>3.8729999999999336</v>
      </c>
      <c r="Y227" s="248">
        <f t="shared" ca="1" si="21"/>
        <v>13.385727699892982</v>
      </c>
      <c r="Z227" s="248">
        <f t="shared" ca="1" si="26"/>
        <v>5.4128289443844091</v>
      </c>
      <c r="AA227" s="250">
        <f t="shared" ca="1" si="27"/>
        <v>541.28289443844096</v>
      </c>
    </row>
    <row r="228" spans="5:27" x14ac:dyDescent="0.3">
      <c r="E228" s="241"/>
      <c r="F228" s="241"/>
      <c r="T228" s="254">
        <v>216</v>
      </c>
      <c r="U228" s="248">
        <f t="shared" si="22"/>
        <v>-18.258500000000002</v>
      </c>
      <c r="V228" s="248">
        <f t="shared" si="23"/>
        <v>-499.60850000000005</v>
      </c>
      <c r="W228" s="248">
        <f t="shared" si="24"/>
        <v>521.74</v>
      </c>
      <c r="X228" s="248">
        <f t="shared" si="25"/>
        <v>3.8729999999999336</v>
      </c>
      <c r="Y228" s="248">
        <f t="shared" ca="1" si="21"/>
        <v>13.385727699892982</v>
      </c>
      <c r="Z228" s="248">
        <f t="shared" ca="1" si="26"/>
        <v>5.4128289443844091</v>
      </c>
      <c r="AA228" s="250">
        <f t="shared" ca="1" si="27"/>
        <v>541.28289443844096</v>
      </c>
    </row>
    <row r="229" spans="5:27" x14ac:dyDescent="0.3">
      <c r="E229" s="241"/>
      <c r="F229" s="241"/>
      <c r="T229" s="254">
        <v>217</v>
      </c>
      <c r="U229" s="248">
        <f t="shared" si="22"/>
        <v>-18.258500000000002</v>
      </c>
      <c r="V229" s="248">
        <f t="shared" si="23"/>
        <v>-498.60850000000005</v>
      </c>
      <c r="W229" s="248">
        <f t="shared" si="24"/>
        <v>520.74</v>
      </c>
      <c r="X229" s="248">
        <f t="shared" si="25"/>
        <v>3.8729999999999336</v>
      </c>
      <c r="Y229" s="248">
        <f t="shared" ca="1" si="21"/>
        <v>13.385727699892982</v>
      </c>
      <c r="Z229" s="248">
        <f t="shared" ca="1" si="26"/>
        <v>5.4128289443844091</v>
      </c>
      <c r="AA229" s="250">
        <f t="shared" ca="1" si="27"/>
        <v>541.28289443844096</v>
      </c>
    </row>
    <row r="230" spans="5:27" x14ac:dyDescent="0.3">
      <c r="E230" s="241"/>
      <c r="F230" s="241"/>
      <c r="T230" s="254">
        <v>218</v>
      </c>
      <c r="U230" s="248">
        <f t="shared" si="22"/>
        <v>-18.258500000000002</v>
      </c>
      <c r="V230" s="248">
        <f t="shared" si="23"/>
        <v>-497.60850000000005</v>
      </c>
      <c r="W230" s="248">
        <f t="shared" si="24"/>
        <v>519.74</v>
      </c>
      <c r="X230" s="248">
        <f t="shared" si="25"/>
        <v>3.8729999999999336</v>
      </c>
      <c r="Y230" s="248">
        <f t="shared" ca="1" si="21"/>
        <v>13.385727699892982</v>
      </c>
      <c r="Z230" s="248">
        <f t="shared" ca="1" si="26"/>
        <v>5.4128289443844091</v>
      </c>
      <c r="AA230" s="250">
        <f t="shared" ca="1" si="27"/>
        <v>541.28289443844096</v>
      </c>
    </row>
    <row r="231" spans="5:27" x14ac:dyDescent="0.3">
      <c r="E231" s="241"/>
      <c r="F231" s="241"/>
      <c r="T231" s="254">
        <v>219</v>
      </c>
      <c r="U231" s="248">
        <f t="shared" si="22"/>
        <v>-18.258500000000002</v>
      </c>
      <c r="V231" s="248">
        <f t="shared" si="23"/>
        <v>-496.60850000000005</v>
      </c>
      <c r="W231" s="248">
        <f t="shared" si="24"/>
        <v>518.74</v>
      </c>
      <c r="X231" s="248">
        <f t="shared" si="25"/>
        <v>3.8729999999999336</v>
      </c>
      <c r="Y231" s="248">
        <f t="shared" ca="1" si="21"/>
        <v>13.385727699892982</v>
      </c>
      <c r="Z231" s="248">
        <f t="shared" ca="1" si="26"/>
        <v>5.4128289443844091</v>
      </c>
      <c r="AA231" s="250">
        <f t="shared" ca="1" si="27"/>
        <v>541.28289443844096</v>
      </c>
    </row>
    <row r="232" spans="5:27" x14ac:dyDescent="0.3">
      <c r="E232" s="241"/>
      <c r="F232" s="241"/>
      <c r="T232" s="254">
        <v>220</v>
      </c>
      <c r="U232" s="248">
        <f t="shared" si="22"/>
        <v>-18.258500000000002</v>
      </c>
      <c r="V232" s="248">
        <f t="shared" si="23"/>
        <v>-495.60850000000005</v>
      </c>
      <c r="W232" s="248">
        <f t="shared" si="24"/>
        <v>517.74</v>
      </c>
      <c r="X232" s="248">
        <f t="shared" si="25"/>
        <v>3.8729999999999336</v>
      </c>
      <c r="Y232" s="248">
        <f t="shared" ca="1" si="21"/>
        <v>13.385727699892982</v>
      </c>
      <c r="Z232" s="248">
        <f t="shared" ca="1" si="26"/>
        <v>5.4128289443844091</v>
      </c>
      <c r="AA232" s="250">
        <f t="shared" ca="1" si="27"/>
        <v>541.28289443844096</v>
      </c>
    </row>
    <row r="233" spans="5:27" x14ac:dyDescent="0.3">
      <c r="E233" s="241"/>
      <c r="F233" s="241"/>
      <c r="T233" s="254">
        <v>221</v>
      </c>
      <c r="U233" s="248">
        <f t="shared" si="22"/>
        <v>-18.258500000000002</v>
      </c>
      <c r="V233" s="248">
        <f t="shared" si="23"/>
        <v>-494.60850000000005</v>
      </c>
      <c r="W233" s="248">
        <f t="shared" si="24"/>
        <v>516.74</v>
      </c>
      <c r="X233" s="248">
        <f t="shared" si="25"/>
        <v>3.8729999999999336</v>
      </c>
      <c r="Y233" s="248">
        <f t="shared" ca="1" si="21"/>
        <v>13.385727699892982</v>
      </c>
      <c r="Z233" s="248">
        <f t="shared" ca="1" si="26"/>
        <v>5.4128289443844091</v>
      </c>
      <c r="AA233" s="250">
        <f t="shared" ca="1" si="27"/>
        <v>541.28289443844096</v>
      </c>
    </row>
    <row r="234" spans="5:27" x14ac:dyDescent="0.3">
      <c r="E234" s="241"/>
      <c r="F234" s="241"/>
      <c r="T234" s="254">
        <v>222</v>
      </c>
      <c r="U234" s="248">
        <f t="shared" si="22"/>
        <v>-18.258500000000002</v>
      </c>
      <c r="V234" s="248">
        <f t="shared" si="23"/>
        <v>-493.60850000000005</v>
      </c>
      <c r="W234" s="248">
        <f t="shared" si="24"/>
        <v>515.74</v>
      </c>
      <c r="X234" s="248">
        <f t="shared" si="25"/>
        <v>3.8729999999999336</v>
      </c>
      <c r="Y234" s="248">
        <f t="shared" ca="1" si="21"/>
        <v>13.385727699892982</v>
      </c>
      <c r="Z234" s="248">
        <f t="shared" ca="1" si="26"/>
        <v>5.4128289443844091</v>
      </c>
      <c r="AA234" s="250">
        <f t="shared" ca="1" si="27"/>
        <v>541.28289443844096</v>
      </c>
    </row>
    <row r="235" spans="5:27" x14ac:dyDescent="0.3">
      <c r="E235" s="241"/>
      <c r="F235" s="241"/>
      <c r="T235" s="254">
        <v>223</v>
      </c>
      <c r="U235" s="248">
        <f t="shared" si="22"/>
        <v>-18.258500000000002</v>
      </c>
      <c r="V235" s="248">
        <f t="shared" si="23"/>
        <v>-492.60850000000005</v>
      </c>
      <c r="W235" s="248">
        <f t="shared" si="24"/>
        <v>514.74</v>
      </c>
      <c r="X235" s="248">
        <f t="shared" si="25"/>
        <v>3.8729999999999336</v>
      </c>
      <c r="Y235" s="248">
        <f t="shared" ca="1" si="21"/>
        <v>13.385727699892982</v>
      </c>
      <c r="Z235" s="248">
        <f t="shared" ca="1" si="26"/>
        <v>5.4128289443844091</v>
      </c>
      <c r="AA235" s="250">
        <f t="shared" ca="1" si="27"/>
        <v>541.28289443844096</v>
      </c>
    </row>
    <row r="236" spans="5:27" x14ac:dyDescent="0.3">
      <c r="E236" s="241"/>
      <c r="F236" s="241"/>
      <c r="T236" s="254">
        <v>224</v>
      </c>
      <c r="U236" s="248">
        <f t="shared" si="22"/>
        <v>-18.258500000000002</v>
      </c>
      <c r="V236" s="248">
        <f t="shared" si="23"/>
        <v>-491.60850000000005</v>
      </c>
      <c r="W236" s="248">
        <f t="shared" si="24"/>
        <v>513.74</v>
      </c>
      <c r="X236" s="248">
        <f t="shared" si="25"/>
        <v>3.8729999999999336</v>
      </c>
      <c r="Y236" s="248">
        <f t="shared" ca="1" si="21"/>
        <v>13.385727699892982</v>
      </c>
      <c r="Z236" s="248">
        <f t="shared" ca="1" si="26"/>
        <v>5.4128289443844091</v>
      </c>
      <c r="AA236" s="250">
        <f t="shared" ca="1" si="27"/>
        <v>541.28289443844096</v>
      </c>
    </row>
    <row r="237" spans="5:27" x14ac:dyDescent="0.3">
      <c r="E237" s="241"/>
      <c r="F237" s="241"/>
      <c r="T237" s="254">
        <v>225</v>
      </c>
      <c r="U237" s="248">
        <f t="shared" si="22"/>
        <v>-18.258500000000002</v>
      </c>
      <c r="V237" s="248">
        <f t="shared" si="23"/>
        <v>-490.60850000000005</v>
      </c>
      <c r="W237" s="248">
        <f t="shared" si="24"/>
        <v>512.74</v>
      </c>
      <c r="X237" s="248">
        <f t="shared" si="25"/>
        <v>3.8729999999999336</v>
      </c>
      <c r="Y237" s="248">
        <f t="shared" ca="1" si="21"/>
        <v>13.385727699892982</v>
      </c>
      <c r="Z237" s="248">
        <f t="shared" ca="1" si="26"/>
        <v>5.4128289443844091</v>
      </c>
      <c r="AA237" s="250">
        <f t="shared" ca="1" si="27"/>
        <v>541.28289443844096</v>
      </c>
    </row>
    <row r="238" spans="5:27" x14ac:dyDescent="0.3">
      <c r="E238" s="241"/>
      <c r="F238" s="241"/>
      <c r="T238" s="254">
        <v>226</v>
      </c>
      <c r="U238" s="248">
        <f t="shared" si="22"/>
        <v>-18.258500000000002</v>
      </c>
      <c r="V238" s="248">
        <f t="shared" si="23"/>
        <v>-489.60850000000005</v>
      </c>
      <c r="W238" s="248">
        <f t="shared" si="24"/>
        <v>511.74</v>
      </c>
      <c r="X238" s="248">
        <f t="shared" si="25"/>
        <v>3.8729999999999336</v>
      </c>
      <c r="Y238" s="248">
        <f t="shared" ca="1" si="21"/>
        <v>13.385727699892982</v>
      </c>
      <c r="Z238" s="248">
        <f t="shared" ca="1" si="26"/>
        <v>5.4128289443844091</v>
      </c>
      <c r="AA238" s="250">
        <f t="shared" ca="1" si="27"/>
        <v>541.28289443844096</v>
      </c>
    </row>
    <row r="239" spans="5:27" x14ac:dyDescent="0.3">
      <c r="E239" s="241"/>
      <c r="F239" s="241"/>
      <c r="T239" s="254">
        <v>227</v>
      </c>
      <c r="U239" s="248">
        <f t="shared" si="22"/>
        <v>-18.258500000000002</v>
      </c>
      <c r="V239" s="248">
        <f t="shared" si="23"/>
        <v>-488.60850000000005</v>
      </c>
      <c r="W239" s="248">
        <f t="shared" si="24"/>
        <v>510.74</v>
      </c>
      <c r="X239" s="248">
        <f t="shared" si="25"/>
        <v>3.8729999999999336</v>
      </c>
      <c r="Y239" s="248">
        <f t="shared" ca="1" si="21"/>
        <v>13.385727699892982</v>
      </c>
      <c r="Z239" s="248">
        <f t="shared" ca="1" si="26"/>
        <v>5.4128289443844091</v>
      </c>
      <c r="AA239" s="250">
        <f t="shared" ca="1" si="27"/>
        <v>541.28289443844096</v>
      </c>
    </row>
    <row r="240" spans="5:27" x14ac:dyDescent="0.3">
      <c r="E240" s="241"/>
      <c r="F240" s="241"/>
      <c r="T240" s="254">
        <v>228</v>
      </c>
      <c r="U240" s="248">
        <f t="shared" si="22"/>
        <v>-18.258500000000002</v>
      </c>
      <c r="V240" s="248">
        <f t="shared" si="23"/>
        <v>-487.60850000000005</v>
      </c>
      <c r="W240" s="248">
        <f t="shared" si="24"/>
        <v>509.74</v>
      </c>
      <c r="X240" s="248">
        <f t="shared" si="25"/>
        <v>3.8729999999999336</v>
      </c>
      <c r="Y240" s="248">
        <f t="shared" ca="1" si="21"/>
        <v>13.385727699892982</v>
      </c>
      <c r="Z240" s="248">
        <f t="shared" ca="1" si="26"/>
        <v>5.4128289443844091</v>
      </c>
      <c r="AA240" s="250">
        <f t="shared" ca="1" si="27"/>
        <v>541.28289443844096</v>
      </c>
    </row>
    <row r="241" spans="5:27" x14ac:dyDescent="0.3">
      <c r="E241" s="241"/>
      <c r="F241" s="241"/>
      <c r="T241" s="254">
        <v>229</v>
      </c>
      <c r="U241" s="248">
        <f t="shared" si="22"/>
        <v>-18.258500000000002</v>
      </c>
      <c r="V241" s="248">
        <f t="shared" si="23"/>
        <v>-486.60850000000005</v>
      </c>
      <c r="W241" s="248">
        <f t="shared" si="24"/>
        <v>508.74</v>
      </c>
      <c r="X241" s="248">
        <f t="shared" si="25"/>
        <v>3.8729999999999336</v>
      </c>
      <c r="Y241" s="248">
        <f t="shared" ca="1" si="21"/>
        <v>13.385727699892982</v>
      </c>
      <c r="Z241" s="248">
        <f t="shared" ca="1" si="26"/>
        <v>5.4128289443844091</v>
      </c>
      <c r="AA241" s="250">
        <f t="shared" ca="1" si="27"/>
        <v>541.28289443844096</v>
      </c>
    </row>
    <row r="242" spans="5:27" x14ac:dyDescent="0.3">
      <c r="E242" s="241"/>
      <c r="F242" s="241"/>
      <c r="T242" s="254">
        <v>230</v>
      </c>
      <c r="U242" s="248">
        <f t="shared" si="22"/>
        <v>-18.258500000000002</v>
      </c>
      <c r="V242" s="248">
        <f t="shared" si="23"/>
        <v>-485.60850000000005</v>
      </c>
      <c r="W242" s="248">
        <f t="shared" si="24"/>
        <v>507.74</v>
      </c>
      <c r="X242" s="248">
        <f t="shared" si="25"/>
        <v>3.8729999999999336</v>
      </c>
      <c r="Y242" s="248">
        <f t="shared" ca="1" si="21"/>
        <v>13.385727699892982</v>
      </c>
      <c r="Z242" s="248">
        <f t="shared" ca="1" si="26"/>
        <v>5.4128289443844091</v>
      </c>
      <c r="AA242" s="250">
        <f t="shared" ca="1" si="27"/>
        <v>541.28289443844096</v>
      </c>
    </row>
    <row r="243" spans="5:27" x14ac:dyDescent="0.3">
      <c r="E243" s="241"/>
      <c r="F243" s="241"/>
      <c r="T243" s="254">
        <v>231</v>
      </c>
      <c r="U243" s="248">
        <f t="shared" si="22"/>
        <v>-18.258500000000002</v>
      </c>
      <c r="V243" s="248">
        <f t="shared" si="23"/>
        <v>-484.60850000000005</v>
      </c>
      <c r="W243" s="248">
        <f t="shared" si="24"/>
        <v>506.74</v>
      </c>
      <c r="X243" s="248">
        <f t="shared" si="25"/>
        <v>3.8729999999999336</v>
      </c>
      <c r="Y243" s="248">
        <f t="shared" ca="1" si="21"/>
        <v>13.385727699892982</v>
      </c>
      <c r="Z243" s="248">
        <f t="shared" ca="1" si="26"/>
        <v>5.4128289443844091</v>
      </c>
      <c r="AA243" s="250">
        <f t="shared" ca="1" si="27"/>
        <v>541.28289443844096</v>
      </c>
    </row>
    <row r="244" spans="5:27" x14ac:dyDescent="0.3">
      <c r="E244" s="241"/>
      <c r="F244" s="241"/>
      <c r="T244" s="254">
        <v>232</v>
      </c>
      <c r="U244" s="248">
        <f t="shared" si="22"/>
        <v>-18.258500000000002</v>
      </c>
      <c r="V244" s="248">
        <f t="shared" si="23"/>
        <v>-483.60850000000005</v>
      </c>
      <c r="W244" s="248">
        <f t="shared" si="24"/>
        <v>505.74</v>
      </c>
      <c r="X244" s="248">
        <f t="shared" si="25"/>
        <v>3.8729999999999336</v>
      </c>
      <c r="Y244" s="248">
        <f t="shared" ca="1" si="21"/>
        <v>13.385727699892982</v>
      </c>
      <c r="Z244" s="248">
        <f t="shared" ca="1" si="26"/>
        <v>5.4128289443844091</v>
      </c>
      <c r="AA244" s="250">
        <f t="shared" ca="1" si="27"/>
        <v>541.28289443844096</v>
      </c>
    </row>
    <row r="245" spans="5:27" x14ac:dyDescent="0.3">
      <c r="E245" s="241"/>
      <c r="F245" s="241"/>
      <c r="T245" s="254">
        <v>233</v>
      </c>
      <c r="U245" s="248">
        <f t="shared" si="22"/>
        <v>-18.258500000000002</v>
      </c>
      <c r="V245" s="248">
        <f t="shared" si="23"/>
        <v>-482.60850000000005</v>
      </c>
      <c r="W245" s="248">
        <f t="shared" si="24"/>
        <v>504.74</v>
      </c>
      <c r="X245" s="248">
        <f t="shared" si="25"/>
        <v>3.8729999999999336</v>
      </c>
      <c r="Y245" s="248">
        <f t="shared" ca="1" si="21"/>
        <v>13.385727699892982</v>
      </c>
      <c r="Z245" s="248">
        <f t="shared" ca="1" si="26"/>
        <v>5.4128289443844091</v>
      </c>
      <c r="AA245" s="250">
        <f t="shared" ca="1" si="27"/>
        <v>541.28289443844096</v>
      </c>
    </row>
    <row r="246" spans="5:27" x14ac:dyDescent="0.3">
      <c r="E246" s="241"/>
      <c r="F246" s="241"/>
      <c r="T246" s="254">
        <v>234</v>
      </c>
      <c r="U246" s="248">
        <f t="shared" si="22"/>
        <v>-18.258500000000002</v>
      </c>
      <c r="V246" s="248">
        <f t="shared" si="23"/>
        <v>-481.60850000000005</v>
      </c>
      <c r="W246" s="248">
        <f t="shared" si="24"/>
        <v>503.74</v>
      </c>
      <c r="X246" s="248">
        <f t="shared" si="25"/>
        <v>3.8729999999999336</v>
      </c>
      <c r="Y246" s="248">
        <f t="shared" ca="1" si="21"/>
        <v>13.385727699892982</v>
      </c>
      <c r="Z246" s="248">
        <f t="shared" ca="1" si="26"/>
        <v>5.4128289443844091</v>
      </c>
      <c r="AA246" s="250">
        <f t="shared" ca="1" si="27"/>
        <v>541.28289443844096</v>
      </c>
    </row>
    <row r="247" spans="5:27" x14ac:dyDescent="0.3">
      <c r="E247" s="241"/>
      <c r="F247" s="241"/>
      <c r="T247" s="254">
        <v>235</v>
      </c>
      <c r="U247" s="248">
        <f t="shared" si="22"/>
        <v>-18.258500000000002</v>
      </c>
      <c r="V247" s="248">
        <f t="shared" si="23"/>
        <v>-480.60850000000005</v>
      </c>
      <c r="W247" s="248">
        <f t="shared" si="24"/>
        <v>502.74</v>
      </c>
      <c r="X247" s="248">
        <f t="shared" si="25"/>
        <v>3.8729999999999336</v>
      </c>
      <c r="Y247" s="248">
        <f t="shared" ca="1" si="21"/>
        <v>13.385727699892982</v>
      </c>
      <c r="Z247" s="248">
        <f t="shared" ca="1" si="26"/>
        <v>5.4128289443844091</v>
      </c>
      <c r="AA247" s="250">
        <f t="shared" ca="1" si="27"/>
        <v>541.28289443844096</v>
      </c>
    </row>
    <row r="248" spans="5:27" x14ac:dyDescent="0.3">
      <c r="E248" s="241"/>
      <c r="F248" s="241"/>
      <c r="T248" s="254">
        <v>236</v>
      </c>
      <c r="U248" s="248">
        <f t="shared" si="22"/>
        <v>-18.258500000000002</v>
      </c>
      <c r="V248" s="248">
        <f t="shared" si="23"/>
        <v>-479.60850000000005</v>
      </c>
      <c r="W248" s="248">
        <f t="shared" si="24"/>
        <v>501.74</v>
      </c>
      <c r="X248" s="248">
        <f t="shared" si="25"/>
        <v>3.8729999999999336</v>
      </c>
      <c r="Y248" s="248">
        <f t="shared" ca="1" si="21"/>
        <v>13.385727699892982</v>
      </c>
      <c r="Z248" s="248">
        <f t="shared" ca="1" si="26"/>
        <v>5.4128289443844091</v>
      </c>
      <c r="AA248" s="250">
        <f t="shared" ca="1" si="27"/>
        <v>541.28289443844096</v>
      </c>
    </row>
    <row r="249" spans="5:27" x14ac:dyDescent="0.3">
      <c r="E249" s="241"/>
      <c r="F249" s="241"/>
      <c r="T249" s="254">
        <v>237</v>
      </c>
      <c r="U249" s="248">
        <f t="shared" si="22"/>
        <v>-18.258500000000002</v>
      </c>
      <c r="V249" s="248">
        <f t="shared" si="23"/>
        <v>-478.60850000000005</v>
      </c>
      <c r="W249" s="248">
        <f t="shared" si="24"/>
        <v>500.74</v>
      </c>
      <c r="X249" s="248">
        <f t="shared" si="25"/>
        <v>3.8729999999999336</v>
      </c>
      <c r="Y249" s="248">
        <f t="shared" ca="1" si="21"/>
        <v>13.385727699892982</v>
      </c>
      <c r="Z249" s="248">
        <f t="shared" ca="1" si="26"/>
        <v>5.4128289443844091</v>
      </c>
      <c r="AA249" s="250">
        <f t="shared" ca="1" si="27"/>
        <v>541.28289443844096</v>
      </c>
    </row>
    <row r="250" spans="5:27" x14ac:dyDescent="0.3">
      <c r="E250" s="241"/>
      <c r="F250" s="241"/>
      <c r="T250" s="254">
        <v>238</v>
      </c>
      <c r="U250" s="248">
        <f t="shared" si="22"/>
        <v>-18.258500000000002</v>
      </c>
      <c r="V250" s="248">
        <f t="shared" si="23"/>
        <v>-477.60850000000005</v>
      </c>
      <c r="W250" s="248">
        <f t="shared" si="24"/>
        <v>499.74</v>
      </c>
      <c r="X250" s="248">
        <f t="shared" si="25"/>
        <v>3.8729999999999336</v>
      </c>
      <c r="Y250" s="248">
        <f t="shared" ca="1" si="21"/>
        <v>13.385727699892982</v>
      </c>
      <c r="Z250" s="248">
        <f t="shared" ca="1" si="26"/>
        <v>5.4128289443844091</v>
      </c>
      <c r="AA250" s="250">
        <f t="shared" ca="1" si="27"/>
        <v>541.28289443844096</v>
      </c>
    </row>
    <row r="251" spans="5:27" x14ac:dyDescent="0.3">
      <c r="E251" s="241"/>
      <c r="F251" s="241"/>
      <c r="T251" s="254">
        <v>239</v>
      </c>
      <c r="U251" s="248">
        <f t="shared" si="22"/>
        <v>-18.258500000000002</v>
      </c>
      <c r="V251" s="248">
        <f t="shared" si="23"/>
        <v>-476.60850000000005</v>
      </c>
      <c r="W251" s="248">
        <f t="shared" si="24"/>
        <v>498.74</v>
      </c>
      <c r="X251" s="248">
        <f t="shared" si="25"/>
        <v>3.8729999999999336</v>
      </c>
      <c r="Y251" s="248">
        <f t="shared" ca="1" si="21"/>
        <v>13.385727699892982</v>
      </c>
      <c r="Z251" s="248">
        <f t="shared" ca="1" si="26"/>
        <v>5.4128289443844091</v>
      </c>
      <c r="AA251" s="250">
        <f t="shared" ca="1" si="27"/>
        <v>541.28289443844096</v>
      </c>
    </row>
    <row r="252" spans="5:27" x14ac:dyDescent="0.3">
      <c r="E252" s="241"/>
      <c r="F252" s="241"/>
      <c r="T252" s="254">
        <v>240</v>
      </c>
      <c r="U252" s="248">
        <f t="shared" si="22"/>
        <v>-18.258500000000002</v>
      </c>
      <c r="V252" s="248">
        <f t="shared" si="23"/>
        <v>-475.60850000000005</v>
      </c>
      <c r="W252" s="248">
        <f t="shared" si="24"/>
        <v>497.74</v>
      </c>
      <c r="X252" s="248">
        <f t="shared" si="25"/>
        <v>3.8729999999999336</v>
      </c>
      <c r="Y252" s="248">
        <f t="shared" ca="1" si="21"/>
        <v>13.385727699892982</v>
      </c>
      <c r="Z252" s="248">
        <f t="shared" ca="1" si="26"/>
        <v>5.4128289443844091</v>
      </c>
      <c r="AA252" s="250">
        <f t="shared" ca="1" si="27"/>
        <v>541.28289443844096</v>
      </c>
    </row>
    <row r="253" spans="5:27" x14ac:dyDescent="0.3">
      <c r="E253" s="241"/>
      <c r="F253" s="241"/>
      <c r="T253" s="254">
        <v>241</v>
      </c>
      <c r="U253" s="248">
        <f t="shared" si="22"/>
        <v>-18.258500000000002</v>
      </c>
      <c r="V253" s="248">
        <f t="shared" si="23"/>
        <v>-474.60850000000005</v>
      </c>
      <c r="W253" s="248">
        <f t="shared" si="24"/>
        <v>496.74</v>
      </c>
      <c r="X253" s="248">
        <f t="shared" si="25"/>
        <v>3.8729999999999336</v>
      </c>
      <c r="Y253" s="248">
        <f t="shared" ca="1" si="21"/>
        <v>13.385727699892982</v>
      </c>
      <c r="Z253" s="248">
        <f t="shared" ca="1" si="26"/>
        <v>5.4128289443844091</v>
      </c>
      <c r="AA253" s="250">
        <f t="shared" ca="1" si="27"/>
        <v>541.28289443844096</v>
      </c>
    </row>
    <row r="254" spans="5:27" x14ac:dyDescent="0.3">
      <c r="E254" s="241"/>
      <c r="F254" s="241"/>
      <c r="T254" s="254">
        <v>242</v>
      </c>
      <c r="U254" s="248">
        <f t="shared" si="22"/>
        <v>-18.258500000000002</v>
      </c>
      <c r="V254" s="248">
        <f t="shared" si="23"/>
        <v>-473.60850000000005</v>
      </c>
      <c r="W254" s="248">
        <f t="shared" si="24"/>
        <v>495.74</v>
      </c>
      <c r="X254" s="248">
        <f t="shared" si="25"/>
        <v>3.8729999999999336</v>
      </c>
      <c r="Y254" s="248">
        <f t="shared" ca="1" si="21"/>
        <v>13.385727699892982</v>
      </c>
      <c r="Z254" s="248">
        <f t="shared" ca="1" si="26"/>
        <v>5.4128289443844091</v>
      </c>
      <c r="AA254" s="250">
        <f t="shared" ca="1" si="27"/>
        <v>541.28289443844096</v>
      </c>
    </row>
    <row r="255" spans="5:27" x14ac:dyDescent="0.3">
      <c r="E255" s="241"/>
      <c r="F255" s="241"/>
      <c r="T255" s="254">
        <v>243</v>
      </c>
      <c r="U255" s="248">
        <f t="shared" si="22"/>
        <v>-18.258500000000002</v>
      </c>
      <c r="V255" s="248">
        <f t="shared" si="23"/>
        <v>-472.60850000000005</v>
      </c>
      <c r="W255" s="248">
        <f t="shared" si="24"/>
        <v>494.74</v>
      </c>
      <c r="X255" s="248">
        <f t="shared" si="25"/>
        <v>3.8729999999999336</v>
      </c>
      <c r="Y255" s="248">
        <f t="shared" ca="1" si="21"/>
        <v>13.385727699892982</v>
      </c>
      <c r="Z255" s="248">
        <f t="shared" ca="1" si="26"/>
        <v>5.4128289443844091</v>
      </c>
      <c r="AA255" s="250">
        <f t="shared" ca="1" si="27"/>
        <v>541.28289443844096</v>
      </c>
    </row>
    <row r="256" spans="5:27" x14ac:dyDescent="0.3">
      <c r="E256" s="241"/>
      <c r="F256" s="241"/>
      <c r="T256" s="254">
        <v>244</v>
      </c>
      <c r="U256" s="248">
        <f t="shared" si="22"/>
        <v>-18.258500000000002</v>
      </c>
      <c r="V256" s="248">
        <f t="shared" si="23"/>
        <v>-471.60850000000005</v>
      </c>
      <c r="W256" s="248">
        <f t="shared" si="24"/>
        <v>493.74</v>
      </c>
      <c r="X256" s="248">
        <f t="shared" si="25"/>
        <v>3.8729999999999336</v>
      </c>
      <c r="Y256" s="248">
        <f t="shared" ca="1" si="21"/>
        <v>13.385727699892982</v>
      </c>
      <c r="Z256" s="248">
        <f t="shared" ca="1" si="26"/>
        <v>5.4128289443844091</v>
      </c>
      <c r="AA256" s="250">
        <f t="shared" ca="1" si="27"/>
        <v>541.28289443844096</v>
      </c>
    </row>
    <row r="257" spans="5:27" x14ac:dyDescent="0.3">
      <c r="E257" s="241"/>
      <c r="F257" s="241"/>
      <c r="T257" s="254">
        <v>245</v>
      </c>
      <c r="U257" s="248">
        <f t="shared" si="22"/>
        <v>-18.258500000000002</v>
      </c>
      <c r="V257" s="248">
        <f t="shared" si="23"/>
        <v>-470.60850000000005</v>
      </c>
      <c r="W257" s="248">
        <f t="shared" si="24"/>
        <v>492.74</v>
      </c>
      <c r="X257" s="248">
        <f t="shared" si="25"/>
        <v>3.8729999999999336</v>
      </c>
      <c r="Y257" s="248">
        <f t="shared" ca="1" si="21"/>
        <v>13.385727699892982</v>
      </c>
      <c r="Z257" s="248">
        <f t="shared" ca="1" si="26"/>
        <v>5.4128289443844091</v>
      </c>
      <c r="AA257" s="250">
        <f t="shared" ca="1" si="27"/>
        <v>541.28289443844096</v>
      </c>
    </row>
    <row r="258" spans="5:27" x14ac:dyDescent="0.3">
      <c r="E258" s="241"/>
      <c r="F258" s="241"/>
      <c r="T258" s="254">
        <v>246</v>
      </c>
      <c r="U258" s="248">
        <f t="shared" si="22"/>
        <v>-18.258500000000002</v>
      </c>
      <c r="V258" s="248">
        <f t="shared" si="23"/>
        <v>-469.60850000000005</v>
      </c>
      <c r="W258" s="248">
        <f t="shared" si="24"/>
        <v>491.74</v>
      </c>
      <c r="X258" s="248">
        <f t="shared" si="25"/>
        <v>3.8729999999999336</v>
      </c>
      <c r="Y258" s="248">
        <f t="shared" ca="1" si="21"/>
        <v>13.385727699892982</v>
      </c>
      <c r="Z258" s="248">
        <f t="shared" ca="1" si="26"/>
        <v>5.4128289443844091</v>
      </c>
      <c r="AA258" s="250">
        <f t="shared" ca="1" si="27"/>
        <v>541.28289443844096</v>
      </c>
    </row>
    <row r="259" spans="5:27" x14ac:dyDescent="0.3">
      <c r="E259" s="241"/>
      <c r="F259" s="241"/>
      <c r="T259" s="254">
        <v>247</v>
      </c>
      <c r="U259" s="248">
        <f t="shared" si="22"/>
        <v>-18.258500000000002</v>
      </c>
      <c r="V259" s="248">
        <f t="shared" si="23"/>
        <v>-468.60850000000005</v>
      </c>
      <c r="W259" s="248">
        <f t="shared" si="24"/>
        <v>490.74</v>
      </c>
      <c r="X259" s="248">
        <f t="shared" si="25"/>
        <v>3.8729999999999336</v>
      </c>
      <c r="Y259" s="248">
        <f t="shared" ca="1" si="21"/>
        <v>13.385727699892982</v>
      </c>
      <c r="Z259" s="248">
        <f t="shared" ca="1" si="26"/>
        <v>5.4128289443844091</v>
      </c>
      <c r="AA259" s="250">
        <f t="shared" ca="1" si="27"/>
        <v>541.28289443844096</v>
      </c>
    </row>
    <row r="260" spans="5:27" x14ac:dyDescent="0.3">
      <c r="E260" s="241"/>
      <c r="F260" s="241"/>
      <c r="T260" s="254">
        <v>248</v>
      </c>
      <c r="U260" s="248">
        <f t="shared" si="22"/>
        <v>-18.258500000000002</v>
      </c>
      <c r="V260" s="248">
        <f t="shared" si="23"/>
        <v>-467.60850000000005</v>
      </c>
      <c r="W260" s="248">
        <f t="shared" si="24"/>
        <v>489.74</v>
      </c>
      <c r="X260" s="248">
        <f t="shared" si="25"/>
        <v>3.8729999999999336</v>
      </c>
      <c r="Y260" s="248">
        <f t="shared" ca="1" si="21"/>
        <v>13.385727699892982</v>
      </c>
      <c r="Z260" s="248">
        <f t="shared" ca="1" si="26"/>
        <v>5.4128289443844091</v>
      </c>
      <c r="AA260" s="250">
        <f t="shared" ca="1" si="27"/>
        <v>541.28289443844096</v>
      </c>
    </row>
    <row r="261" spans="5:27" x14ac:dyDescent="0.3">
      <c r="E261" s="241"/>
      <c r="F261" s="241"/>
      <c r="T261" s="254">
        <v>249</v>
      </c>
      <c r="U261" s="248">
        <f t="shared" si="22"/>
        <v>-18.258500000000002</v>
      </c>
      <c r="V261" s="248">
        <f t="shared" si="23"/>
        <v>-466.60850000000005</v>
      </c>
      <c r="W261" s="248">
        <f t="shared" si="24"/>
        <v>488.74</v>
      </c>
      <c r="X261" s="248">
        <f t="shared" si="25"/>
        <v>3.8729999999999336</v>
      </c>
      <c r="Y261" s="248">
        <f t="shared" ca="1" si="21"/>
        <v>13.385727699892982</v>
      </c>
      <c r="Z261" s="248">
        <f t="shared" ca="1" si="26"/>
        <v>5.4128289443844091</v>
      </c>
      <c r="AA261" s="250">
        <f t="shared" ca="1" si="27"/>
        <v>541.28289443844096</v>
      </c>
    </row>
    <row r="262" spans="5:27" x14ac:dyDescent="0.3">
      <c r="E262" s="241"/>
      <c r="F262" s="241"/>
      <c r="T262" s="254">
        <v>250</v>
      </c>
      <c r="U262" s="248">
        <f t="shared" si="22"/>
        <v>-18.258500000000002</v>
      </c>
      <c r="V262" s="248">
        <f t="shared" si="23"/>
        <v>-465.60850000000005</v>
      </c>
      <c r="W262" s="248">
        <f t="shared" si="24"/>
        <v>487.74</v>
      </c>
      <c r="X262" s="248">
        <f t="shared" si="25"/>
        <v>3.8729999999999336</v>
      </c>
      <c r="Y262" s="248">
        <f t="shared" ca="1" si="21"/>
        <v>13.385727699892982</v>
      </c>
      <c r="Z262" s="248">
        <f t="shared" ca="1" si="26"/>
        <v>5.4128289443844091</v>
      </c>
      <c r="AA262" s="250">
        <f t="shared" ca="1" si="27"/>
        <v>541.28289443844096</v>
      </c>
    </row>
    <row r="263" spans="5:27" x14ac:dyDescent="0.3">
      <c r="E263" s="241"/>
      <c r="F263" s="241"/>
      <c r="T263" s="254">
        <v>251</v>
      </c>
      <c r="U263" s="248">
        <f t="shared" si="22"/>
        <v>-18.258500000000002</v>
      </c>
      <c r="V263" s="248">
        <f t="shared" si="23"/>
        <v>-464.60850000000005</v>
      </c>
      <c r="W263" s="248">
        <f t="shared" si="24"/>
        <v>486.74</v>
      </c>
      <c r="X263" s="248">
        <f t="shared" si="25"/>
        <v>3.8729999999999336</v>
      </c>
      <c r="Y263" s="248">
        <f t="shared" ca="1" si="21"/>
        <v>13.385727699892982</v>
      </c>
      <c r="Z263" s="248">
        <f t="shared" ca="1" si="26"/>
        <v>5.4128289443844091</v>
      </c>
      <c r="AA263" s="250">
        <f t="shared" ca="1" si="27"/>
        <v>541.28289443844096</v>
      </c>
    </row>
    <row r="264" spans="5:27" x14ac:dyDescent="0.3">
      <c r="E264" s="241"/>
      <c r="F264" s="241"/>
      <c r="T264" s="254">
        <v>252</v>
      </c>
      <c r="U264" s="248">
        <f t="shared" si="22"/>
        <v>-18.258500000000002</v>
      </c>
      <c r="V264" s="248">
        <f t="shared" si="23"/>
        <v>-463.60850000000005</v>
      </c>
      <c r="W264" s="248">
        <f t="shared" si="24"/>
        <v>485.74</v>
      </c>
      <c r="X264" s="248">
        <f t="shared" si="25"/>
        <v>3.8729999999999336</v>
      </c>
      <c r="Y264" s="248">
        <f t="shared" ca="1" si="21"/>
        <v>13.385727699892982</v>
      </c>
      <c r="Z264" s="248">
        <f t="shared" ca="1" si="26"/>
        <v>5.4128289443844091</v>
      </c>
      <c r="AA264" s="250">
        <f t="shared" ca="1" si="27"/>
        <v>541.28289443844096</v>
      </c>
    </row>
    <row r="265" spans="5:27" x14ac:dyDescent="0.3">
      <c r="E265" s="241"/>
      <c r="F265" s="241"/>
      <c r="T265" s="254">
        <v>253</v>
      </c>
      <c r="U265" s="248">
        <f t="shared" si="22"/>
        <v>-18.258500000000002</v>
      </c>
      <c r="V265" s="248">
        <f t="shared" si="23"/>
        <v>-462.60850000000005</v>
      </c>
      <c r="W265" s="248">
        <f t="shared" si="24"/>
        <v>484.74</v>
      </c>
      <c r="X265" s="248">
        <f t="shared" si="25"/>
        <v>3.8729999999999336</v>
      </c>
      <c r="Y265" s="248">
        <f t="shared" ca="1" si="21"/>
        <v>13.385727699892982</v>
      </c>
      <c r="Z265" s="248">
        <f t="shared" ca="1" si="26"/>
        <v>5.4128289443844091</v>
      </c>
      <c r="AA265" s="250">
        <f t="shared" ca="1" si="27"/>
        <v>541.28289443844096</v>
      </c>
    </row>
    <row r="266" spans="5:27" x14ac:dyDescent="0.3">
      <c r="E266" s="241"/>
      <c r="F266" s="241"/>
      <c r="T266" s="254">
        <v>254</v>
      </c>
      <c r="U266" s="248">
        <f t="shared" si="22"/>
        <v>-18.258500000000002</v>
      </c>
      <c r="V266" s="248">
        <f t="shared" si="23"/>
        <v>-461.60850000000005</v>
      </c>
      <c r="W266" s="248">
        <f t="shared" si="24"/>
        <v>483.74</v>
      </c>
      <c r="X266" s="248">
        <f t="shared" si="25"/>
        <v>3.8729999999999336</v>
      </c>
      <c r="Y266" s="248">
        <f t="shared" ca="1" si="21"/>
        <v>13.385727699892982</v>
      </c>
      <c r="Z266" s="248">
        <f t="shared" ca="1" si="26"/>
        <v>5.4128289443844091</v>
      </c>
      <c r="AA266" s="250">
        <f t="shared" ca="1" si="27"/>
        <v>541.28289443844096</v>
      </c>
    </row>
    <row r="267" spans="5:27" x14ac:dyDescent="0.3">
      <c r="E267" s="241"/>
      <c r="F267" s="241"/>
      <c r="T267" s="254">
        <v>255</v>
      </c>
      <c r="U267" s="248">
        <f t="shared" si="22"/>
        <v>-18.258500000000002</v>
      </c>
      <c r="V267" s="248">
        <f t="shared" si="23"/>
        <v>-460.60850000000005</v>
      </c>
      <c r="W267" s="248">
        <f t="shared" si="24"/>
        <v>482.74</v>
      </c>
      <c r="X267" s="248">
        <f t="shared" si="25"/>
        <v>3.8729999999999336</v>
      </c>
      <c r="Y267" s="248">
        <f t="shared" ca="1" si="21"/>
        <v>13.385727699892982</v>
      </c>
      <c r="Z267" s="248">
        <f t="shared" ca="1" si="26"/>
        <v>5.4128289443844091</v>
      </c>
      <c r="AA267" s="250">
        <f t="shared" ca="1" si="27"/>
        <v>541.28289443844096</v>
      </c>
    </row>
    <row r="268" spans="5:27" x14ac:dyDescent="0.3">
      <c r="E268" s="241"/>
      <c r="F268" s="241"/>
      <c r="T268" s="254">
        <v>256</v>
      </c>
      <c r="U268" s="248">
        <f t="shared" si="22"/>
        <v>-18.258500000000002</v>
      </c>
      <c r="V268" s="248">
        <f t="shared" si="23"/>
        <v>-459.60850000000005</v>
      </c>
      <c r="W268" s="248">
        <f t="shared" si="24"/>
        <v>481.74</v>
      </c>
      <c r="X268" s="248">
        <f t="shared" si="25"/>
        <v>3.8729999999999336</v>
      </c>
      <c r="Y268" s="248">
        <f t="shared" ref="Y268:Y331" ca="1" si="28">$Y$10*EXP($Y$7*$C$6)-$Y$10</f>
        <v>13.385727699892982</v>
      </c>
      <c r="Z268" s="248">
        <f t="shared" ca="1" si="26"/>
        <v>5.4128289443844091</v>
      </c>
      <c r="AA268" s="250">
        <f t="shared" ca="1" si="27"/>
        <v>541.28289443844096</v>
      </c>
    </row>
    <row r="269" spans="5:27" x14ac:dyDescent="0.3">
      <c r="E269" s="241"/>
      <c r="F269" s="241"/>
      <c r="T269" s="254">
        <v>257</v>
      </c>
      <c r="U269" s="248">
        <f t="shared" ref="U269:U332" si="29">MAX(0,T269-$U$9)-$U$10-$U$11/100</f>
        <v>-18.258500000000002</v>
      </c>
      <c r="V269" s="248">
        <f t="shared" ref="V269:V332" si="30">$V$10-MAX(0,$V$9-T269)-$V$11/100</f>
        <v>-458.60850000000005</v>
      </c>
      <c r="W269" s="248">
        <f t="shared" ref="W269:W332" si="31">$W$10-T269</f>
        <v>480.74</v>
      </c>
      <c r="X269" s="248">
        <f t="shared" ref="X269:X332" si="32">SUM(U269:W269)</f>
        <v>3.8729999999999336</v>
      </c>
      <c r="Y269" s="248">
        <f t="shared" ca="1" si="28"/>
        <v>13.385727699892982</v>
      </c>
      <c r="Z269" s="248">
        <f t="shared" ref="Z269:Z332" ca="1" si="33">EXP(-$E$3*$C$6)*SUM(X269:Y269)</f>
        <v>5.4128289443844091</v>
      </c>
      <c r="AA269" s="250">
        <f t="shared" ref="AA269:AA332" ca="1" si="34">Z269*100</f>
        <v>541.28289443844096</v>
      </c>
    </row>
    <row r="270" spans="5:27" x14ac:dyDescent="0.3">
      <c r="E270" s="241"/>
      <c r="F270" s="241"/>
      <c r="T270" s="254">
        <v>258</v>
      </c>
      <c r="U270" s="248">
        <f t="shared" si="29"/>
        <v>-18.258500000000002</v>
      </c>
      <c r="V270" s="248">
        <f t="shared" si="30"/>
        <v>-457.60850000000005</v>
      </c>
      <c r="W270" s="248">
        <f t="shared" si="31"/>
        <v>479.74</v>
      </c>
      <c r="X270" s="248">
        <f t="shared" si="32"/>
        <v>3.8729999999999336</v>
      </c>
      <c r="Y270" s="248">
        <f t="shared" ca="1" si="28"/>
        <v>13.385727699892982</v>
      </c>
      <c r="Z270" s="248">
        <f t="shared" ca="1" si="33"/>
        <v>5.4128289443844091</v>
      </c>
      <c r="AA270" s="250">
        <f t="shared" ca="1" si="34"/>
        <v>541.28289443844096</v>
      </c>
    </row>
    <row r="271" spans="5:27" x14ac:dyDescent="0.3">
      <c r="E271" s="241"/>
      <c r="F271" s="241"/>
      <c r="T271" s="254">
        <v>259</v>
      </c>
      <c r="U271" s="248">
        <f t="shared" si="29"/>
        <v>-18.258500000000002</v>
      </c>
      <c r="V271" s="248">
        <f t="shared" si="30"/>
        <v>-456.60850000000005</v>
      </c>
      <c r="W271" s="248">
        <f t="shared" si="31"/>
        <v>478.74</v>
      </c>
      <c r="X271" s="248">
        <f t="shared" si="32"/>
        <v>3.8729999999999336</v>
      </c>
      <c r="Y271" s="248">
        <f t="shared" ca="1" si="28"/>
        <v>13.385727699892982</v>
      </c>
      <c r="Z271" s="248">
        <f t="shared" ca="1" si="33"/>
        <v>5.4128289443844091</v>
      </c>
      <c r="AA271" s="250">
        <f t="shared" ca="1" si="34"/>
        <v>541.28289443844096</v>
      </c>
    </row>
    <row r="272" spans="5:27" x14ac:dyDescent="0.3">
      <c r="E272" s="241"/>
      <c r="F272" s="241"/>
      <c r="T272" s="254">
        <v>260</v>
      </c>
      <c r="U272" s="248">
        <f t="shared" si="29"/>
        <v>-18.258500000000002</v>
      </c>
      <c r="V272" s="248">
        <f t="shared" si="30"/>
        <v>-455.60850000000005</v>
      </c>
      <c r="W272" s="248">
        <f t="shared" si="31"/>
        <v>477.74</v>
      </c>
      <c r="X272" s="248">
        <f t="shared" si="32"/>
        <v>3.8729999999999336</v>
      </c>
      <c r="Y272" s="248">
        <f t="shared" ca="1" si="28"/>
        <v>13.385727699892982</v>
      </c>
      <c r="Z272" s="248">
        <f t="shared" ca="1" si="33"/>
        <v>5.4128289443844091</v>
      </c>
      <c r="AA272" s="250">
        <f t="shared" ca="1" si="34"/>
        <v>541.28289443844096</v>
      </c>
    </row>
    <row r="273" spans="5:27" x14ac:dyDescent="0.3">
      <c r="E273" s="241"/>
      <c r="F273" s="241"/>
      <c r="T273" s="254">
        <v>261</v>
      </c>
      <c r="U273" s="248">
        <f t="shared" si="29"/>
        <v>-18.258500000000002</v>
      </c>
      <c r="V273" s="248">
        <f t="shared" si="30"/>
        <v>-454.60850000000005</v>
      </c>
      <c r="W273" s="248">
        <f t="shared" si="31"/>
        <v>476.74</v>
      </c>
      <c r="X273" s="248">
        <f t="shared" si="32"/>
        <v>3.8729999999999336</v>
      </c>
      <c r="Y273" s="248">
        <f t="shared" ca="1" si="28"/>
        <v>13.385727699892982</v>
      </c>
      <c r="Z273" s="248">
        <f t="shared" ca="1" si="33"/>
        <v>5.4128289443844091</v>
      </c>
      <c r="AA273" s="250">
        <f t="shared" ca="1" si="34"/>
        <v>541.28289443844096</v>
      </c>
    </row>
    <row r="274" spans="5:27" x14ac:dyDescent="0.3">
      <c r="E274" s="241"/>
      <c r="F274" s="241"/>
      <c r="T274" s="254">
        <v>262</v>
      </c>
      <c r="U274" s="248">
        <f t="shared" si="29"/>
        <v>-18.258500000000002</v>
      </c>
      <c r="V274" s="248">
        <f t="shared" si="30"/>
        <v>-453.60850000000005</v>
      </c>
      <c r="W274" s="248">
        <f t="shared" si="31"/>
        <v>475.74</v>
      </c>
      <c r="X274" s="248">
        <f t="shared" si="32"/>
        <v>3.8729999999999336</v>
      </c>
      <c r="Y274" s="248">
        <f t="shared" ca="1" si="28"/>
        <v>13.385727699892982</v>
      </c>
      <c r="Z274" s="248">
        <f t="shared" ca="1" si="33"/>
        <v>5.4128289443844091</v>
      </c>
      <c r="AA274" s="250">
        <f t="shared" ca="1" si="34"/>
        <v>541.28289443844096</v>
      </c>
    </row>
    <row r="275" spans="5:27" x14ac:dyDescent="0.3">
      <c r="E275" s="241"/>
      <c r="F275" s="241"/>
      <c r="T275" s="254">
        <v>263</v>
      </c>
      <c r="U275" s="248">
        <f t="shared" si="29"/>
        <v>-18.258500000000002</v>
      </c>
      <c r="V275" s="248">
        <f t="shared" si="30"/>
        <v>-452.60850000000005</v>
      </c>
      <c r="W275" s="248">
        <f t="shared" si="31"/>
        <v>474.74</v>
      </c>
      <c r="X275" s="248">
        <f t="shared" si="32"/>
        <v>3.8729999999999336</v>
      </c>
      <c r="Y275" s="248">
        <f t="shared" ca="1" si="28"/>
        <v>13.385727699892982</v>
      </c>
      <c r="Z275" s="248">
        <f t="shared" ca="1" si="33"/>
        <v>5.4128289443844091</v>
      </c>
      <c r="AA275" s="250">
        <f t="shared" ca="1" si="34"/>
        <v>541.28289443844096</v>
      </c>
    </row>
    <row r="276" spans="5:27" x14ac:dyDescent="0.3">
      <c r="E276" s="241"/>
      <c r="F276" s="241"/>
      <c r="T276" s="254">
        <v>264</v>
      </c>
      <c r="U276" s="248">
        <f t="shared" si="29"/>
        <v>-18.258500000000002</v>
      </c>
      <c r="V276" s="248">
        <f t="shared" si="30"/>
        <v>-451.60850000000005</v>
      </c>
      <c r="W276" s="248">
        <f t="shared" si="31"/>
        <v>473.74</v>
      </c>
      <c r="X276" s="248">
        <f t="shared" si="32"/>
        <v>3.8729999999999336</v>
      </c>
      <c r="Y276" s="248">
        <f t="shared" ca="1" si="28"/>
        <v>13.385727699892982</v>
      </c>
      <c r="Z276" s="248">
        <f t="shared" ca="1" si="33"/>
        <v>5.4128289443844091</v>
      </c>
      <c r="AA276" s="250">
        <f t="shared" ca="1" si="34"/>
        <v>541.28289443844096</v>
      </c>
    </row>
    <row r="277" spans="5:27" x14ac:dyDescent="0.3">
      <c r="E277" s="241"/>
      <c r="F277" s="241"/>
      <c r="T277" s="254">
        <v>265</v>
      </c>
      <c r="U277" s="248">
        <f t="shared" si="29"/>
        <v>-18.258500000000002</v>
      </c>
      <c r="V277" s="248">
        <f t="shared" si="30"/>
        <v>-450.60850000000005</v>
      </c>
      <c r="W277" s="248">
        <f t="shared" si="31"/>
        <v>472.74</v>
      </c>
      <c r="X277" s="248">
        <f t="shared" si="32"/>
        <v>3.8729999999999336</v>
      </c>
      <c r="Y277" s="248">
        <f t="shared" ca="1" si="28"/>
        <v>13.385727699892982</v>
      </c>
      <c r="Z277" s="248">
        <f t="shared" ca="1" si="33"/>
        <v>5.4128289443844091</v>
      </c>
      <c r="AA277" s="250">
        <f t="shared" ca="1" si="34"/>
        <v>541.28289443844096</v>
      </c>
    </row>
    <row r="278" spans="5:27" x14ac:dyDescent="0.3">
      <c r="E278" s="241"/>
      <c r="F278" s="241"/>
      <c r="T278" s="254">
        <v>266</v>
      </c>
      <c r="U278" s="248">
        <f t="shared" si="29"/>
        <v>-18.258500000000002</v>
      </c>
      <c r="V278" s="248">
        <f t="shared" si="30"/>
        <v>-449.60850000000005</v>
      </c>
      <c r="W278" s="248">
        <f t="shared" si="31"/>
        <v>471.74</v>
      </c>
      <c r="X278" s="248">
        <f t="shared" si="32"/>
        <v>3.8729999999999336</v>
      </c>
      <c r="Y278" s="248">
        <f t="shared" ca="1" si="28"/>
        <v>13.385727699892982</v>
      </c>
      <c r="Z278" s="248">
        <f t="shared" ca="1" si="33"/>
        <v>5.4128289443844091</v>
      </c>
      <c r="AA278" s="250">
        <f t="shared" ca="1" si="34"/>
        <v>541.28289443844096</v>
      </c>
    </row>
    <row r="279" spans="5:27" x14ac:dyDescent="0.3">
      <c r="E279" s="241"/>
      <c r="F279" s="241"/>
      <c r="T279" s="254">
        <v>267</v>
      </c>
      <c r="U279" s="248">
        <f t="shared" si="29"/>
        <v>-18.258500000000002</v>
      </c>
      <c r="V279" s="248">
        <f t="shared" si="30"/>
        <v>-448.60850000000005</v>
      </c>
      <c r="W279" s="248">
        <f t="shared" si="31"/>
        <v>470.74</v>
      </c>
      <c r="X279" s="248">
        <f t="shared" si="32"/>
        <v>3.8729999999999336</v>
      </c>
      <c r="Y279" s="248">
        <f t="shared" ca="1" si="28"/>
        <v>13.385727699892982</v>
      </c>
      <c r="Z279" s="248">
        <f t="shared" ca="1" si="33"/>
        <v>5.4128289443844091</v>
      </c>
      <c r="AA279" s="250">
        <f t="shared" ca="1" si="34"/>
        <v>541.28289443844096</v>
      </c>
    </row>
    <row r="280" spans="5:27" x14ac:dyDescent="0.3">
      <c r="E280" s="241"/>
      <c r="F280" s="241"/>
      <c r="T280" s="254">
        <v>268</v>
      </c>
      <c r="U280" s="248">
        <f t="shared" si="29"/>
        <v>-18.258500000000002</v>
      </c>
      <c r="V280" s="248">
        <f t="shared" si="30"/>
        <v>-447.60850000000005</v>
      </c>
      <c r="W280" s="248">
        <f t="shared" si="31"/>
        <v>469.74</v>
      </c>
      <c r="X280" s="248">
        <f t="shared" si="32"/>
        <v>3.8729999999999336</v>
      </c>
      <c r="Y280" s="248">
        <f t="shared" ca="1" si="28"/>
        <v>13.385727699892982</v>
      </c>
      <c r="Z280" s="248">
        <f t="shared" ca="1" si="33"/>
        <v>5.4128289443844091</v>
      </c>
      <c r="AA280" s="250">
        <f t="shared" ca="1" si="34"/>
        <v>541.28289443844096</v>
      </c>
    </row>
    <row r="281" spans="5:27" x14ac:dyDescent="0.3">
      <c r="E281" s="241"/>
      <c r="F281" s="241"/>
      <c r="T281" s="254">
        <v>269</v>
      </c>
      <c r="U281" s="248">
        <f t="shared" si="29"/>
        <v>-18.258500000000002</v>
      </c>
      <c r="V281" s="248">
        <f t="shared" si="30"/>
        <v>-446.60850000000005</v>
      </c>
      <c r="W281" s="248">
        <f t="shared" si="31"/>
        <v>468.74</v>
      </c>
      <c r="X281" s="248">
        <f t="shared" si="32"/>
        <v>3.8729999999999336</v>
      </c>
      <c r="Y281" s="248">
        <f t="shared" ca="1" si="28"/>
        <v>13.385727699892982</v>
      </c>
      <c r="Z281" s="248">
        <f t="shared" ca="1" si="33"/>
        <v>5.4128289443844091</v>
      </c>
      <c r="AA281" s="250">
        <f t="shared" ca="1" si="34"/>
        <v>541.28289443844096</v>
      </c>
    </row>
    <row r="282" spans="5:27" x14ac:dyDescent="0.3">
      <c r="E282" s="241"/>
      <c r="F282" s="241"/>
      <c r="T282" s="254">
        <v>270</v>
      </c>
      <c r="U282" s="248">
        <f t="shared" si="29"/>
        <v>-18.258500000000002</v>
      </c>
      <c r="V282" s="248">
        <f t="shared" si="30"/>
        <v>-445.60850000000005</v>
      </c>
      <c r="W282" s="248">
        <f t="shared" si="31"/>
        <v>467.74</v>
      </c>
      <c r="X282" s="248">
        <f t="shared" si="32"/>
        <v>3.8729999999999336</v>
      </c>
      <c r="Y282" s="248">
        <f t="shared" ca="1" si="28"/>
        <v>13.385727699892982</v>
      </c>
      <c r="Z282" s="248">
        <f t="shared" ca="1" si="33"/>
        <v>5.4128289443844091</v>
      </c>
      <c r="AA282" s="250">
        <f t="shared" ca="1" si="34"/>
        <v>541.28289443844096</v>
      </c>
    </row>
    <row r="283" spans="5:27" x14ac:dyDescent="0.3">
      <c r="E283" s="241"/>
      <c r="F283" s="241"/>
      <c r="T283" s="254">
        <v>271</v>
      </c>
      <c r="U283" s="248">
        <f t="shared" si="29"/>
        <v>-18.258500000000002</v>
      </c>
      <c r="V283" s="248">
        <f t="shared" si="30"/>
        <v>-444.60850000000005</v>
      </c>
      <c r="W283" s="248">
        <f t="shared" si="31"/>
        <v>466.74</v>
      </c>
      <c r="X283" s="248">
        <f t="shared" si="32"/>
        <v>3.8729999999999336</v>
      </c>
      <c r="Y283" s="248">
        <f t="shared" ca="1" si="28"/>
        <v>13.385727699892982</v>
      </c>
      <c r="Z283" s="248">
        <f t="shared" ca="1" si="33"/>
        <v>5.4128289443844091</v>
      </c>
      <c r="AA283" s="250">
        <f t="shared" ca="1" si="34"/>
        <v>541.28289443844096</v>
      </c>
    </row>
    <row r="284" spans="5:27" x14ac:dyDescent="0.3">
      <c r="E284" s="241"/>
      <c r="F284" s="241"/>
      <c r="T284" s="254">
        <v>272</v>
      </c>
      <c r="U284" s="248">
        <f t="shared" si="29"/>
        <v>-18.258500000000002</v>
      </c>
      <c r="V284" s="248">
        <f t="shared" si="30"/>
        <v>-443.60850000000005</v>
      </c>
      <c r="W284" s="248">
        <f t="shared" si="31"/>
        <v>465.74</v>
      </c>
      <c r="X284" s="248">
        <f t="shared" si="32"/>
        <v>3.8729999999999336</v>
      </c>
      <c r="Y284" s="248">
        <f t="shared" ca="1" si="28"/>
        <v>13.385727699892982</v>
      </c>
      <c r="Z284" s="248">
        <f t="shared" ca="1" si="33"/>
        <v>5.4128289443844091</v>
      </c>
      <c r="AA284" s="250">
        <f t="shared" ca="1" si="34"/>
        <v>541.28289443844096</v>
      </c>
    </row>
    <row r="285" spans="5:27" x14ac:dyDescent="0.3">
      <c r="E285" s="241"/>
      <c r="F285" s="241"/>
      <c r="T285" s="254">
        <v>273</v>
      </c>
      <c r="U285" s="248">
        <f t="shared" si="29"/>
        <v>-18.258500000000002</v>
      </c>
      <c r="V285" s="248">
        <f t="shared" si="30"/>
        <v>-442.60850000000005</v>
      </c>
      <c r="W285" s="248">
        <f t="shared" si="31"/>
        <v>464.74</v>
      </c>
      <c r="X285" s="248">
        <f t="shared" si="32"/>
        <v>3.8729999999999336</v>
      </c>
      <c r="Y285" s="248">
        <f t="shared" ca="1" si="28"/>
        <v>13.385727699892982</v>
      </c>
      <c r="Z285" s="248">
        <f t="shared" ca="1" si="33"/>
        <v>5.4128289443844091</v>
      </c>
      <c r="AA285" s="250">
        <f t="shared" ca="1" si="34"/>
        <v>541.28289443844096</v>
      </c>
    </row>
    <row r="286" spans="5:27" x14ac:dyDescent="0.3">
      <c r="E286" s="241"/>
      <c r="F286" s="241"/>
      <c r="T286" s="254">
        <v>274</v>
      </c>
      <c r="U286" s="248">
        <f t="shared" si="29"/>
        <v>-18.258500000000002</v>
      </c>
      <c r="V286" s="248">
        <f t="shared" si="30"/>
        <v>-441.60850000000005</v>
      </c>
      <c r="W286" s="248">
        <f t="shared" si="31"/>
        <v>463.74</v>
      </c>
      <c r="X286" s="248">
        <f t="shared" si="32"/>
        <v>3.8729999999999336</v>
      </c>
      <c r="Y286" s="248">
        <f t="shared" ca="1" si="28"/>
        <v>13.385727699892982</v>
      </c>
      <c r="Z286" s="248">
        <f t="shared" ca="1" si="33"/>
        <v>5.4128289443844091</v>
      </c>
      <c r="AA286" s="250">
        <f t="shared" ca="1" si="34"/>
        <v>541.28289443844096</v>
      </c>
    </row>
    <row r="287" spans="5:27" x14ac:dyDescent="0.3">
      <c r="E287" s="241"/>
      <c r="F287" s="241"/>
      <c r="T287" s="254">
        <v>275</v>
      </c>
      <c r="U287" s="248">
        <f t="shared" si="29"/>
        <v>-18.258500000000002</v>
      </c>
      <c r="V287" s="248">
        <f t="shared" si="30"/>
        <v>-440.60850000000005</v>
      </c>
      <c r="W287" s="248">
        <f t="shared" si="31"/>
        <v>462.74</v>
      </c>
      <c r="X287" s="248">
        <f t="shared" si="32"/>
        <v>3.8729999999999336</v>
      </c>
      <c r="Y287" s="248">
        <f t="shared" ca="1" si="28"/>
        <v>13.385727699892982</v>
      </c>
      <c r="Z287" s="248">
        <f t="shared" ca="1" si="33"/>
        <v>5.4128289443844091</v>
      </c>
      <c r="AA287" s="250">
        <f t="shared" ca="1" si="34"/>
        <v>541.28289443844096</v>
      </c>
    </row>
    <row r="288" spans="5:27" x14ac:dyDescent="0.3">
      <c r="E288" s="241"/>
      <c r="F288" s="241"/>
      <c r="T288" s="254">
        <v>276</v>
      </c>
      <c r="U288" s="248">
        <f t="shared" si="29"/>
        <v>-18.258500000000002</v>
      </c>
      <c r="V288" s="248">
        <f t="shared" si="30"/>
        <v>-439.60850000000005</v>
      </c>
      <c r="W288" s="248">
        <f t="shared" si="31"/>
        <v>461.74</v>
      </c>
      <c r="X288" s="248">
        <f t="shared" si="32"/>
        <v>3.8729999999999336</v>
      </c>
      <c r="Y288" s="248">
        <f t="shared" ca="1" si="28"/>
        <v>13.385727699892982</v>
      </c>
      <c r="Z288" s="248">
        <f t="shared" ca="1" si="33"/>
        <v>5.4128289443844091</v>
      </c>
      <c r="AA288" s="250">
        <f t="shared" ca="1" si="34"/>
        <v>541.28289443844096</v>
      </c>
    </row>
    <row r="289" spans="5:27" x14ac:dyDescent="0.3">
      <c r="E289" s="241"/>
      <c r="F289" s="241"/>
      <c r="T289" s="254">
        <v>277</v>
      </c>
      <c r="U289" s="248">
        <f t="shared" si="29"/>
        <v>-18.258500000000002</v>
      </c>
      <c r="V289" s="248">
        <f t="shared" si="30"/>
        <v>-438.60850000000005</v>
      </c>
      <c r="W289" s="248">
        <f t="shared" si="31"/>
        <v>460.74</v>
      </c>
      <c r="X289" s="248">
        <f t="shared" si="32"/>
        <v>3.8729999999999336</v>
      </c>
      <c r="Y289" s="248">
        <f t="shared" ca="1" si="28"/>
        <v>13.385727699892982</v>
      </c>
      <c r="Z289" s="248">
        <f t="shared" ca="1" si="33"/>
        <v>5.4128289443844091</v>
      </c>
      <c r="AA289" s="250">
        <f t="shared" ca="1" si="34"/>
        <v>541.28289443844096</v>
      </c>
    </row>
    <row r="290" spans="5:27" x14ac:dyDescent="0.3">
      <c r="E290" s="241"/>
      <c r="F290" s="241"/>
      <c r="T290" s="254">
        <v>278</v>
      </c>
      <c r="U290" s="248">
        <f t="shared" si="29"/>
        <v>-18.258500000000002</v>
      </c>
      <c r="V290" s="248">
        <f t="shared" si="30"/>
        <v>-437.60850000000005</v>
      </c>
      <c r="W290" s="248">
        <f t="shared" si="31"/>
        <v>459.74</v>
      </c>
      <c r="X290" s="248">
        <f t="shared" si="32"/>
        <v>3.8729999999999336</v>
      </c>
      <c r="Y290" s="248">
        <f t="shared" ca="1" si="28"/>
        <v>13.385727699892982</v>
      </c>
      <c r="Z290" s="248">
        <f t="shared" ca="1" si="33"/>
        <v>5.4128289443844091</v>
      </c>
      <c r="AA290" s="250">
        <f t="shared" ca="1" si="34"/>
        <v>541.28289443844096</v>
      </c>
    </row>
    <row r="291" spans="5:27" x14ac:dyDescent="0.3">
      <c r="E291" s="241"/>
      <c r="F291" s="241"/>
      <c r="T291" s="254">
        <v>279</v>
      </c>
      <c r="U291" s="248">
        <f t="shared" si="29"/>
        <v>-18.258500000000002</v>
      </c>
      <c r="V291" s="248">
        <f t="shared" si="30"/>
        <v>-436.60850000000005</v>
      </c>
      <c r="W291" s="248">
        <f t="shared" si="31"/>
        <v>458.74</v>
      </c>
      <c r="X291" s="248">
        <f t="shared" si="32"/>
        <v>3.8729999999999336</v>
      </c>
      <c r="Y291" s="248">
        <f t="shared" ca="1" si="28"/>
        <v>13.385727699892982</v>
      </c>
      <c r="Z291" s="248">
        <f t="shared" ca="1" si="33"/>
        <v>5.4128289443844091</v>
      </c>
      <c r="AA291" s="250">
        <f t="shared" ca="1" si="34"/>
        <v>541.28289443844096</v>
      </c>
    </row>
    <row r="292" spans="5:27" x14ac:dyDescent="0.3">
      <c r="E292" s="241"/>
      <c r="F292" s="241"/>
      <c r="T292" s="254">
        <v>280</v>
      </c>
      <c r="U292" s="248">
        <f t="shared" si="29"/>
        <v>-18.258500000000002</v>
      </c>
      <c r="V292" s="248">
        <f t="shared" si="30"/>
        <v>-435.60850000000005</v>
      </c>
      <c r="W292" s="248">
        <f t="shared" si="31"/>
        <v>457.74</v>
      </c>
      <c r="X292" s="248">
        <f t="shared" si="32"/>
        <v>3.8729999999999336</v>
      </c>
      <c r="Y292" s="248">
        <f t="shared" ca="1" si="28"/>
        <v>13.385727699892982</v>
      </c>
      <c r="Z292" s="248">
        <f t="shared" ca="1" si="33"/>
        <v>5.4128289443844091</v>
      </c>
      <c r="AA292" s="250">
        <f t="shared" ca="1" si="34"/>
        <v>541.28289443844096</v>
      </c>
    </row>
    <row r="293" spans="5:27" x14ac:dyDescent="0.3">
      <c r="E293" s="241"/>
      <c r="F293" s="241"/>
      <c r="T293" s="254">
        <v>281</v>
      </c>
      <c r="U293" s="248">
        <f t="shared" si="29"/>
        <v>-18.258500000000002</v>
      </c>
      <c r="V293" s="248">
        <f t="shared" si="30"/>
        <v>-434.60850000000005</v>
      </c>
      <c r="W293" s="248">
        <f t="shared" si="31"/>
        <v>456.74</v>
      </c>
      <c r="X293" s="248">
        <f t="shared" si="32"/>
        <v>3.8729999999999336</v>
      </c>
      <c r="Y293" s="248">
        <f t="shared" ca="1" si="28"/>
        <v>13.385727699892982</v>
      </c>
      <c r="Z293" s="248">
        <f t="shared" ca="1" si="33"/>
        <v>5.4128289443844091</v>
      </c>
      <c r="AA293" s="250">
        <f t="shared" ca="1" si="34"/>
        <v>541.28289443844096</v>
      </c>
    </row>
    <row r="294" spans="5:27" x14ac:dyDescent="0.3">
      <c r="E294" s="241"/>
      <c r="F294" s="241"/>
      <c r="T294" s="254">
        <v>282</v>
      </c>
      <c r="U294" s="248">
        <f t="shared" si="29"/>
        <v>-18.258500000000002</v>
      </c>
      <c r="V294" s="248">
        <f t="shared" si="30"/>
        <v>-433.60850000000005</v>
      </c>
      <c r="W294" s="248">
        <f t="shared" si="31"/>
        <v>455.74</v>
      </c>
      <c r="X294" s="248">
        <f t="shared" si="32"/>
        <v>3.8729999999999336</v>
      </c>
      <c r="Y294" s="248">
        <f t="shared" ca="1" si="28"/>
        <v>13.385727699892982</v>
      </c>
      <c r="Z294" s="248">
        <f t="shared" ca="1" si="33"/>
        <v>5.4128289443844091</v>
      </c>
      <c r="AA294" s="250">
        <f t="shared" ca="1" si="34"/>
        <v>541.28289443844096</v>
      </c>
    </row>
    <row r="295" spans="5:27" x14ac:dyDescent="0.3">
      <c r="E295" s="241"/>
      <c r="F295" s="241"/>
      <c r="T295" s="254">
        <v>283</v>
      </c>
      <c r="U295" s="248">
        <f t="shared" si="29"/>
        <v>-18.258500000000002</v>
      </c>
      <c r="V295" s="248">
        <f t="shared" si="30"/>
        <v>-432.60850000000005</v>
      </c>
      <c r="W295" s="248">
        <f t="shared" si="31"/>
        <v>454.74</v>
      </c>
      <c r="X295" s="248">
        <f t="shared" si="32"/>
        <v>3.8729999999999336</v>
      </c>
      <c r="Y295" s="248">
        <f t="shared" ca="1" si="28"/>
        <v>13.385727699892982</v>
      </c>
      <c r="Z295" s="248">
        <f t="shared" ca="1" si="33"/>
        <v>5.4128289443844091</v>
      </c>
      <c r="AA295" s="250">
        <f t="shared" ca="1" si="34"/>
        <v>541.28289443844096</v>
      </c>
    </row>
    <row r="296" spans="5:27" x14ac:dyDescent="0.3">
      <c r="E296" s="241"/>
      <c r="F296" s="241"/>
      <c r="T296" s="254">
        <v>284</v>
      </c>
      <c r="U296" s="248">
        <f t="shared" si="29"/>
        <v>-18.258500000000002</v>
      </c>
      <c r="V296" s="248">
        <f t="shared" si="30"/>
        <v>-431.60850000000005</v>
      </c>
      <c r="W296" s="248">
        <f t="shared" si="31"/>
        <v>453.74</v>
      </c>
      <c r="X296" s="248">
        <f t="shared" si="32"/>
        <v>3.8729999999999336</v>
      </c>
      <c r="Y296" s="248">
        <f t="shared" ca="1" si="28"/>
        <v>13.385727699892982</v>
      </c>
      <c r="Z296" s="248">
        <f t="shared" ca="1" si="33"/>
        <v>5.4128289443844091</v>
      </c>
      <c r="AA296" s="250">
        <f t="shared" ca="1" si="34"/>
        <v>541.28289443844096</v>
      </c>
    </row>
    <row r="297" spans="5:27" x14ac:dyDescent="0.3">
      <c r="E297" s="241"/>
      <c r="F297" s="241"/>
      <c r="T297" s="254">
        <v>285</v>
      </c>
      <c r="U297" s="248">
        <f t="shared" si="29"/>
        <v>-18.258500000000002</v>
      </c>
      <c r="V297" s="248">
        <f t="shared" si="30"/>
        <v>-430.60850000000005</v>
      </c>
      <c r="W297" s="248">
        <f t="shared" si="31"/>
        <v>452.74</v>
      </c>
      <c r="X297" s="248">
        <f t="shared" si="32"/>
        <v>3.8729999999999336</v>
      </c>
      <c r="Y297" s="248">
        <f t="shared" ca="1" si="28"/>
        <v>13.385727699892982</v>
      </c>
      <c r="Z297" s="248">
        <f t="shared" ca="1" si="33"/>
        <v>5.4128289443844091</v>
      </c>
      <c r="AA297" s="250">
        <f t="shared" ca="1" si="34"/>
        <v>541.28289443844096</v>
      </c>
    </row>
    <row r="298" spans="5:27" x14ac:dyDescent="0.3">
      <c r="E298" s="241"/>
      <c r="F298" s="241"/>
      <c r="T298" s="254">
        <v>286</v>
      </c>
      <c r="U298" s="248">
        <f t="shared" si="29"/>
        <v>-18.258500000000002</v>
      </c>
      <c r="V298" s="248">
        <f t="shared" si="30"/>
        <v>-429.60850000000005</v>
      </c>
      <c r="W298" s="248">
        <f t="shared" si="31"/>
        <v>451.74</v>
      </c>
      <c r="X298" s="248">
        <f t="shared" si="32"/>
        <v>3.8729999999999336</v>
      </c>
      <c r="Y298" s="248">
        <f t="shared" ca="1" si="28"/>
        <v>13.385727699892982</v>
      </c>
      <c r="Z298" s="248">
        <f t="shared" ca="1" si="33"/>
        <v>5.4128289443844091</v>
      </c>
      <c r="AA298" s="250">
        <f t="shared" ca="1" si="34"/>
        <v>541.28289443844096</v>
      </c>
    </row>
    <row r="299" spans="5:27" x14ac:dyDescent="0.3">
      <c r="E299" s="241"/>
      <c r="F299" s="241"/>
      <c r="T299" s="254">
        <v>287</v>
      </c>
      <c r="U299" s="248">
        <f t="shared" si="29"/>
        <v>-18.258500000000002</v>
      </c>
      <c r="V299" s="248">
        <f t="shared" si="30"/>
        <v>-428.60850000000005</v>
      </c>
      <c r="W299" s="248">
        <f t="shared" si="31"/>
        <v>450.74</v>
      </c>
      <c r="X299" s="248">
        <f t="shared" si="32"/>
        <v>3.8729999999999336</v>
      </c>
      <c r="Y299" s="248">
        <f t="shared" ca="1" si="28"/>
        <v>13.385727699892982</v>
      </c>
      <c r="Z299" s="248">
        <f t="shared" ca="1" si="33"/>
        <v>5.4128289443844091</v>
      </c>
      <c r="AA299" s="250">
        <f t="shared" ca="1" si="34"/>
        <v>541.28289443844096</v>
      </c>
    </row>
    <row r="300" spans="5:27" x14ac:dyDescent="0.3">
      <c r="E300" s="241"/>
      <c r="F300" s="241"/>
      <c r="T300" s="254">
        <v>288</v>
      </c>
      <c r="U300" s="248">
        <f t="shared" si="29"/>
        <v>-18.258500000000002</v>
      </c>
      <c r="V300" s="248">
        <f t="shared" si="30"/>
        <v>-427.60850000000005</v>
      </c>
      <c r="W300" s="248">
        <f t="shared" si="31"/>
        <v>449.74</v>
      </c>
      <c r="X300" s="248">
        <f t="shared" si="32"/>
        <v>3.8729999999999336</v>
      </c>
      <c r="Y300" s="248">
        <f t="shared" ca="1" si="28"/>
        <v>13.385727699892982</v>
      </c>
      <c r="Z300" s="248">
        <f t="shared" ca="1" si="33"/>
        <v>5.4128289443844091</v>
      </c>
      <c r="AA300" s="250">
        <f t="shared" ca="1" si="34"/>
        <v>541.28289443844096</v>
      </c>
    </row>
    <row r="301" spans="5:27" x14ac:dyDescent="0.3">
      <c r="E301" s="241"/>
      <c r="F301" s="241"/>
      <c r="T301" s="254">
        <v>289</v>
      </c>
      <c r="U301" s="248">
        <f t="shared" si="29"/>
        <v>-18.258500000000002</v>
      </c>
      <c r="V301" s="248">
        <f t="shared" si="30"/>
        <v>-426.60850000000005</v>
      </c>
      <c r="W301" s="248">
        <f t="shared" si="31"/>
        <v>448.74</v>
      </c>
      <c r="X301" s="248">
        <f t="shared" si="32"/>
        <v>3.8729999999999336</v>
      </c>
      <c r="Y301" s="248">
        <f t="shared" ca="1" si="28"/>
        <v>13.385727699892982</v>
      </c>
      <c r="Z301" s="248">
        <f t="shared" ca="1" si="33"/>
        <v>5.4128289443844091</v>
      </c>
      <c r="AA301" s="250">
        <f t="shared" ca="1" si="34"/>
        <v>541.28289443844096</v>
      </c>
    </row>
    <row r="302" spans="5:27" x14ac:dyDescent="0.3">
      <c r="E302" s="241"/>
      <c r="F302" s="241"/>
      <c r="T302" s="254">
        <v>290</v>
      </c>
      <c r="U302" s="248">
        <f t="shared" si="29"/>
        <v>-18.258500000000002</v>
      </c>
      <c r="V302" s="248">
        <f t="shared" si="30"/>
        <v>-425.60850000000005</v>
      </c>
      <c r="W302" s="248">
        <f t="shared" si="31"/>
        <v>447.74</v>
      </c>
      <c r="X302" s="248">
        <f t="shared" si="32"/>
        <v>3.8729999999999336</v>
      </c>
      <c r="Y302" s="248">
        <f t="shared" ca="1" si="28"/>
        <v>13.385727699892982</v>
      </c>
      <c r="Z302" s="248">
        <f t="shared" ca="1" si="33"/>
        <v>5.4128289443844091</v>
      </c>
      <c r="AA302" s="250">
        <f t="shared" ca="1" si="34"/>
        <v>541.28289443844096</v>
      </c>
    </row>
    <row r="303" spans="5:27" x14ac:dyDescent="0.3">
      <c r="E303" s="241"/>
      <c r="F303" s="241"/>
      <c r="T303" s="254">
        <v>291</v>
      </c>
      <c r="U303" s="248">
        <f t="shared" si="29"/>
        <v>-18.258500000000002</v>
      </c>
      <c r="V303" s="248">
        <f t="shared" si="30"/>
        <v>-424.60850000000005</v>
      </c>
      <c r="W303" s="248">
        <f t="shared" si="31"/>
        <v>446.74</v>
      </c>
      <c r="X303" s="248">
        <f t="shared" si="32"/>
        <v>3.8729999999999336</v>
      </c>
      <c r="Y303" s="248">
        <f t="shared" ca="1" si="28"/>
        <v>13.385727699892982</v>
      </c>
      <c r="Z303" s="248">
        <f t="shared" ca="1" si="33"/>
        <v>5.4128289443844091</v>
      </c>
      <c r="AA303" s="250">
        <f t="shared" ca="1" si="34"/>
        <v>541.28289443844096</v>
      </c>
    </row>
    <row r="304" spans="5:27" x14ac:dyDescent="0.3">
      <c r="E304" s="241"/>
      <c r="F304" s="241"/>
      <c r="T304" s="254">
        <v>292</v>
      </c>
      <c r="U304" s="248">
        <f t="shared" si="29"/>
        <v>-18.258500000000002</v>
      </c>
      <c r="V304" s="248">
        <f t="shared" si="30"/>
        <v>-423.60850000000005</v>
      </c>
      <c r="W304" s="248">
        <f t="shared" si="31"/>
        <v>445.74</v>
      </c>
      <c r="X304" s="248">
        <f t="shared" si="32"/>
        <v>3.8729999999999336</v>
      </c>
      <c r="Y304" s="248">
        <f t="shared" ca="1" si="28"/>
        <v>13.385727699892982</v>
      </c>
      <c r="Z304" s="248">
        <f t="shared" ca="1" si="33"/>
        <v>5.4128289443844091</v>
      </c>
      <c r="AA304" s="250">
        <f t="shared" ca="1" si="34"/>
        <v>541.28289443844096</v>
      </c>
    </row>
    <row r="305" spans="5:27" x14ac:dyDescent="0.3">
      <c r="E305" s="241"/>
      <c r="F305" s="241"/>
      <c r="T305" s="254">
        <v>293</v>
      </c>
      <c r="U305" s="248">
        <f t="shared" si="29"/>
        <v>-18.258500000000002</v>
      </c>
      <c r="V305" s="248">
        <f t="shared" si="30"/>
        <v>-422.60850000000005</v>
      </c>
      <c r="W305" s="248">
        <f t="shared" si="31"/>
        <v>444.74</v>
      </c>
      <c r="X305" s="248">
        <f t="shared" si="32"/>
        <v>3.8729999999999336</v>
      </c>
      <c r="Y305" s="248">
        <f t="shared" ca="1" si="28"/>
        <v>13.385727699892982</v>
      </c>
      <c r="Z305" s="248">
        <f t="shared" ca="1" si="33"/>
        <v>5.4128289443844091</v>
      </c>
      <c r="AA305" s="250">
        <f t="shared" ca="1" si="34"/>
        <v>541.28289443844096</v>
      </c>
    </row>
    <row r="306" spans="5:27" x14ac:dyDescent="0.3">
      <c r="E306" s="241"/>
      <c r="F306" s="241"/>
      <c r="T306" s="254">
        <v>294</v>
      </c>
      <c r="U306" s="248">
        <f t="shared" si="29"/>
        <v>-18.258500000000002</v>
      </c>
      <c r="V306" s="248">
        <f t="shared" si="30"/>
        <v>-421.60850000000005</v>
      </c>
      <c r="W306" s="248">
        <f t="shared" si="31"/>
        <v>443.74</v>
      </c>
      <c r="X306" s="248">
        <f t="shared" si="32"/>
        <v>3.8729999999999336</v>
      </c>
      <c r="Y306" s="248">
        <f t="shared" ca="1" si="28"/>
        <v>13.385727699892982</v>
      </c>
      <c r="Z306" s="248">
        <f t="shared" ca="1" si="33"/>
        <v>5.4128289443844091</v>
      </c>
      <c r="AA306" s="250">
        <f t="shared" ca="1" si="34"/>
        <v>541.28289443844096</v>
      </c>
    </row>
    <row r="307" spans="5:27" x14ac:dyDescent="0.3">
      <c r="E307" s="241"/>
      <c r="F307" s="241"/>
      <c r="T307" s="254">
        <v>295</v>
      </c>
      <c r="U307" s="248">
        <f t="shared" si="29"/>
        <v>-18.258500000000002</v>
      </c>
      <c r="V307" s="248">
        <f t="shared" si="30"/>
        <v>-420.60850000000005</v>
      </c>
      <c r="W307" s="248">
        <f t="shared" si="31"/>
        <v>442.74</v>
      </c>
      <c r="X307" s="248">
        <f t="shared" si="32"/>
        <v>3.8729999999999336</v>
      </c>
      <c r="Y307" s="248">
        <f t="shared" ca="1" si="28"/>
        <v>13.385727699892982</v>
      </c>
      <c r="Z307" s="248">
        <f t="shared" ca="1" si="33"/>
        <v>5.4128289443844091</v>
      </c>
      <c r="AA307" s="250">
        <f t="shared" ca="1" si="34"/>
        <v>541.28289443844096</v>
      </c>
    </row>
    <row r="308" spans="5:27" x14ac:dyDescent="0.3">
      <c r="E308" s="241"/>
      <c r="F308" s="241"/>
      <c r="T308" s="254">
        <v>296</v>
      </c>
      <c r="U308" s="248">
        <f t="shared" si="29"/>
        <v>-18.258500000000002</v>
      </c>
      <c r="V308" s="248">
        <f t="shared" si="30"/>
        <v>-419.60850000000005</v>
      </c>
      <c r="W308" s="248">
        <f t="shared" si="31"/>
        <v>441.74</v>
      </c>
      <c r="X308" s="248">
        <f t="shared" si="32"/>
        <v>3.8729999999999336</v>
      </c>
      <c r="Y308" s="248">
        <f t="shared" ca="1" si="28"/>
        <v>13.385727699892982</v>
      </c>
      <c r="Z308" s="248">
        <f t="shared" ca="1" si="33"/>
        <v>5.4128289443844091</v>
      </c>
      <c r="AA308" s="250">
        <f t="shared" ca="1" si="34"/>
        <v>541.28289443844096</v>
      </c>
    </row>
    <row r="309" spans="5:27" x14ac:dyDescent="0.3">
      <c r="E309" s="241"/>
      <c r="F309" s="241"/>
      <c r="T309" s="254">
        <v>297</v>
      </c>
      <c r="U309" s="248">
        <f t="shared" si="29"/>
        <v>-18.258500000000002</v>
      </c>
      <c r="V309" s="248">
        <f t="shared" si="30"/>
        <v>-418.60850000000005</v>
      </c>
      <c r="W309" s="248">
        <f t="shared" si="31"/>
        <v>440.74</v>
      </c>
      <c r="X309" s="248">
        <f t="shared" si="32"/>
        <v>3.8729999999999336</v>
      </c>
      <c r="Y309" s="248">
        <f t="shared" ca="1" si="28"/>
        <v>13.385727699892982</v>
      </c>
      <c r="Z309" s="248">
        <f t="shared" ca="1" si="33"/>
        <v>5.4128289443844091</v>
      </c>
      <c r="AA309" s="250">
        <f t="shared" ca="1" si="34"/>
        <v>541.28289443844096</v>
      </c>
    </row>
    <row r="310" spans="5:27" x14ac:dyDescent="0.3">
      <c r="E310" s="241"/>
      <c r="F310" s="241"/>
      <c r="T310" s="254">
        <v>298</v>
      </c>
      <c r="U310" s="248">
        <f t="shared" si="29"/>
        <v>-18.258500000000002</v>
      </c>
      <c r="V310" s="248">
        <f t="shared" si="30"/>
        <v>-417.60850000000005</v>
      </c>
      <c r="W310" s="248">
        <f t="shared" si="31"/>
        <v>439.74</v>
      </c>
      <c r="X310" s="248">
        <f t="shared" si="32"/>
        <v>3.8729999999999336</v>
      </c>
      <c r="Y310" s="248">
        <f t="shared" ca="1" si="28"/>
        <v>13.385727699892982</v>
      </c>
      <c r="Z310" s="248">
        <f t="shared" ca="1" si="33"/>
        <v>5.4128289443844091</v>
      </c>
      <c r="AA310" s="250">
        <f t="shared" ca="1" si="34"/>
        <v>541.28289443844096</v>
      </c>
    </row>
    <row r="311" spans="5:27" x14ac:dyDescent="0.3">
      <c r="E311" s="241"/>
      <c r="F311" s="241"/>
      <c r="T311" s="254">
        <v>299</v>
      </c>
      <c r="U311" s="248">
        <f t="shared" si="29"/>
        <v>-18.258500000000002</v>
      </c>
      <c r="V311" s="248">
        <f t="shared" si="30"/>
        <v>-416.60850000000005</v>
      </c>
      <c r="W311" s="248">
        <f t="shared" si="31"/>
        <v>438.74</v>
      </c>
      <c r="X311" s="248">
        <f t="shared" si="32"/>
        <v>3.8729999999999336</v>
      </c>
      <c r="Y311" s="248">
        <f t="shared" ca="1" si="28"/>
        <v>13.385727699892982</v>
      </c>
      <c r="Z311" s="248">
        <f t="shared" ca="1" si="33"/>
        <v>5.4128289443844091</v>
      </c>
      <c r="AA311" s="250">
        <f t="shared" ca="1" si="34"/>
        <v>541.28289443844096</v>
      </c>
    </row>
    <row r="312" spans="5:27" x14ac:dyDescent="0.3">
      <c r="E312" s="241"/>
      <c r="F312" s="241"/>
      <c r="T312" s="254">
        <v>300</v>
      </c>
      <c r="U312" s="248">
        <f t="shared" si="29"/>
        <v>-18.258500000000002</v>
      </c>
      <c r="V312" s="248">
        <f t="shared" si="30"/>
        <v>-415.60850000000005</v>
      </c>
      <c r="W312" s="248">
        <f t="shared" si="31"/>
        <v>437.74</v>
      </c>
      <c r="X312" s="248">
        <f t="shared" si="32"/>
        <v>3.8729999999999336</v>
      </c>
      <c r="Y312" s="248">
        <f t="shared" ca="1" si="28"/>
        <v>13.385727699892982</v>
      </c>
      <c r="Z312" s="248">
        <f t="shared" ca="1" si="33"/>
        <v>5.4128289443844091</v>
      </c>
      <c r="AA312" s="250">
        <f t="shared" ca="1" si="34"/>
        <v>541.28289443844096</v>
      </c>
    </row>
    <row r="313" spans="5:27" x14ac:dyDescent="0.3">
      <c r="E313" s="241"/>
      <c r="F313" s="241"/>
      <c r="T313" s="254">
        <v>301</v>
      </c>
      <c r="U313" s="248">
        <f t="shared" si="29"/>
        <v>-18.258500000000002</v>
      </c>
      <c r="V313" s="248">
        <f t="shared" si="30"/>
        <v>-414.60850000000005</v>
      </c>
      <c r="W313" s="248">
        <f t="shared" si="31"/>
        <v>436.74</v>
      </c>
      <c r="X313" s="248">
        <f t="shared" si="32"/>
        <v>3.8729999999999336</v>
      </c>
      <c r="Y313" s="248">
        <f t="shared" ca="1" si="28"/>
        <v>13.385727699892982</v>
      </c>
      <c r="Z313" s="248">
        <f t="shared" ca="1" si="33"/>
        <v>5.4128289443844091</v>
      </c>
      <c r="AA313" s="250">
        <f t="shared" ca="1" si="34"/>
        <v>541.28289443844096</v>
      </c>
    </row>
    <row r="314" spans="5:27" x14ac:dyDescent="0.3">
      <c r="E314" s="241"/>
      <c r="F314" s="241"/>
      <c r="T314" s="254">
        <v>302</v>
      </c>
      <c r="U314" s="248">
        <f t="shared" si="29"/>
        <v>-18.258500000000002</v>
      </c>
      <c r="V314" s="248">
        <f t="shared" si="30"/>
        <v>-413.60850000000005</v>
      </c>
      <c r="W314" s="248">
        <f t="shared" si="31"/>
        <v>435.74</v>
      </c>
      <c r="X314" s="248">
        <f t="shared" si="32"/>
        <v>3.8729999999999336</v>
      </c>
      <c r="Y314" s="248">
        <f t="shared" ca="1" si="28"/>
        <v>13.385727699892982</v>
      </c>
      <c r="Z314" s="248">
        <f t="shared" ca="1" si="33"/>
        <v>5.4128289443844091</v>
      </c>
      <c r="AA314" s="250">
        <f t="shared" ca="1" si="34"/>
        <v>541.28289443844096</v>
      </c>
    </row>
    <row r="315" spans="5:27" x14ac:dyDescent="0.3">
      <c r="E315" s="241"/>
      <c r="F315" s="241"/>
      <c r="T315" s="254">
        <v>303</v>
      </c>
      <c r="U315" s="248">
        <f t="shared" si="29"/>
        <v>-18.258500000000002</v>
      </c>
      <c r="V315" s="248">
        <f t="shared" si="30"/>
        <v>-412.60850000000005</v>
      </c>
      <c r="W315" s="248">
        <f t="shared" si="31"/>
        <v>434.74</v>
      </c>
      <c r="X315" s="248">
        <f t="shared" si="32"/>
        <v>3.8729999999999336</v>
      </c>
      <c r="Y315" s="248">
        <f t="shared" ca="1" si="28"/>
        <v>13.385727699892982</v>
      </c>
      <c r="Z315" s="248">
        <f t="shared" ca="1" si="33"/>
        <v>5.4128289443844091</v>
      </c>
      <c r="AA315" s="250">
        <f t="shared" ca="1" si="34"/>
        <v>541.28289443844096</v>
      </c>
    </row>
    <row r="316" spans="5:27" x14ac:dyDescent="0.3">
      <c r="E316" s="241"/>
      <c r="F316" s="241"/>
      <c r="T316" s="254">
        <v>304</v>
      </c>
      <c r="U316" s="248">
        <f t="shared" si="29"/>
        <v>-18.258500000000002</v>
      </c>
      <c r="V316" s="248">
        <f t="shared" si="30"/>
        <v>-411.60850000000005</v>
      </c>
      <c r="W316" s="248">
        <f t="shared" si="31"/>
        <v>433.74</v>
      </c>
      <c r="X316" s="248">
        <f t="shared" si="32"/>
        <v>3.8729999999999336</v>
      </c>
      <c r="Y316" s="248">
        <f t="shared" ca="1" si="28"/>
        <v>13.385727699892982</v>
      </c>
      <c r="Z316" s="248">
        <f t="shared" ca="1" si="33"/>
        <v>5.4128289443844091</v>
      </c>
      <c r="AA316" s="250">
        <f t="shared" ca="1" si="34"/>
        <v>541.28289443844096</v>
      </c>
    </row>
    <row r="317" spans="5:27" x14ac:dyDescent="0.3">
      <c r="E317" s="241"/>
      <c r="F317" s="241"/>
      <c r="T317" s="254">
        <v>305</v>
      </c>
      <c r="U317" s="248">
        <f t="shared" si="29"/>
        <v>-18.258500000000002</v>
      </c>
      <c r="V317" s="248">
        <f t="shared" si="30"/>
        <v>-410.60850000000005</v>
      </c>
      <c r="W317" s="248">
        <f t="shared" si="31"/>
        <v>432.74</v>
      </c>
      <c r="X317" s="248">
        <f t="shared" si="32"/>
        <v>3.8729999999999336</v>
      </c>
      <c r="Y317" s="248">
        <f t="shared" ca="1" si="28"/>
        <v>13.385727699892982</v>
      </c>
      <c r="Z317" s="248">
        <f t="shared" ca="1" si="33"/>
        <v>5.4128289443844091</v>
      </c>
      <c r="AA317" s="250">
        <f t="shared" ca="1" si="34"/>
        <v>541.28289443844096</v>
      </c>
    </row>
    <row r="318" spans="5:27" x14ac:dyDescent="0.3">
      <c r="E318" s="241"/>
      <c r="F318" s="241"/>
      <c r="T318" s="254">
        <v>306</v>
      </c>
      <c r="U318" s="248">
        <f t="shared" si="29"/>
        <v>-18.258500000000002</v>
      </c>
      <c r="V318" s="248">
        <f t="shared" si="30"/>
        <v>-409.60850000000005</v>
      </c>
      <c r="W318" s="248">
        <f t="shared" si="31"/>
        <v>431.74</v>
      </c>
      <c r="X318" s="248">
        <f t="shared" si="32"/>
        <v>3.8729999999999336</v>
      </c>
      <c r="Y318" s="248">
        <f t="shared" ca="1" si="28"/>
        <v>13.385727699892982</v>
      </c>
      <c r="Z318" s="248">
        <f t="shared" ca="1" si="33"/>
        <v>5.4128289443844091</v>
      </c>
      <c r="AA318" s="250">
        <f t="shared" ca="1" si="34"/>
        <v>541.28289443844096</v>
      </c>
    </row>
    <row r="319" spans="5:27" x14ac:dyDescent="0.3">
      <c r="E319" s="241"/>
      <c r="F319" s="241"/>
      <c r="T319" s="254">
        <v>307</v>
      </c>
      <c r="U319" s="248">
        <f t="shared" si="29"/>
        <v>-18.258500000000002</v>
      </c>
      <c r="V319" s="248">
        <f t="shared" si="30"/>
        <v>-408.60850000000005</v>
      </c>
      <c r="W319" s="248">
        <f t="shared" si="31"/>
        <v>430.74</v>
      </c>
      <c r="X319" s="248">
        <f t="shared" si="32"/>
        <v>3.8729999999999336</v>
      </c>
      <c r="Y319" s="248">
        <f t="shared" ca="1" si="28"/>
        <v>13.385727699892982</v>
      </c>
      <c r="Z319" s="248">
        <f t="shared" ca="1" si="33"/>
        <v>5.4128289443844091</v>
      </c>
      <c r="AA319" s="250">
        <f t="shared" ca="1" si="34"/>
        <v>541.28289443844096</v>
      </c>
    </row>
    <row r="320" spans="5:27" x14ac:dyDescent="0.3">
      <c r="E320" s="241"/>
      <c r="F320" s="241"/>
      <c r="T320" s="254">
        <v>308</v>
      </c>
      <c r="U320" s="248">
        <f t="shared" si="29"/>
        <v>-18.258500000000002</v>
      </c>
      <c r="V320" s="248">
        <f t="shared" si="30"/>
        <v>-407.60850000000005</v>
      </c>
      <c r="W320" s="248">
        <f t="shared" si="31"/>
        <v>429.74</v>
      </c>
      <c r="X320" s="248">
        <f t="shared" si="32"/>
        <v>3.8729999999999336</v>
      </c>
      <c r="Y320" s="248">
        <f t="shared" ca="1" si="28"/>
        <v>13.385727699892982</v>
      </c>
      <c r="Z320" s="248">
        <f t="shared" ca="1" si="33"/>
        <v>5.4128289443844091</v>
      </c>
      <c r="AA320" s="250">
        <f t="shared" ca="1" si="34"/>
        <v>541.28289443844096</v>
      </c>
    </row>
    <row r="321" spans="5:27" x14ac:dyDescent="0.3">
      <c r="E321" s="241"/>
      <c r="F321" s="241"/>
      <c r="T321" s="254">
        <v>309</v>
      </c>
      <c r="U321" s="248">
        <f t="shared" si="29"/>
        <v>-18.258500000000002</v>
      </c>
      <c r="V321" s="248">
        <f t="shared" si="30"/>
        <v>-406.60850000000005</v>
      </c>
      <c r="W321" s="248">
        <f t="shared" si="31"/>
        <v>428.74</v>
      </c>
      <c r="X321" s="248">
        <f t="shared" si="32"/>
        <v>3.8729999999999336</v>
      </c>
      <c r="Y321" s="248">
        <f t="shared" ca="1" si="28"/>
        <v>13.385727699892982</v>
      </c>
      <c r="Z321" s="248">
        <f t="shared" ca="1" si="33"/>
        <v>5.4128289443844091</v>
      </c>
      <c r="AA321" s="250">
        <f t="shared" ca="1" si="34"/>
        <v>541.28289443844096</v>
      </c>
    </row>
    <row r="322" spans="5:27" x14ac:dyDescent="0.3">
      <c r="E322" s="241"/>
      <c r="F322" s="241"/>
      <c r="T322" s="254">
        <v>310</v>
      </c>
      <c r="U322" s="248">
        <f t="shared" si="29"/>
        <v>-18.258500000000002</v>
      </c>
      <c r="V322" s="248">
        <f t="shared" si="30"/>
        <v>-405.60850000000005</v>
      </c>
      <c r="W322" s="248">
        <f t="shared" si="31"/>
        <v>427.74</v>
      </c>
      <c r="X322" s="248">
        <f t="shared" si="32"/>
        <v>3.8729999999999336</v>
      </c>
      <c r="Y322" s="248">
        <f t="shared" ca="1" si="28"/>
        <v>13.385727699892982</v>
      </c>
      <c r="Z322" s="248">
        <f t="shared" ca="1" si="33"/>
        <v>5.4128289443844091</v>
      </c>
      <c r="AA322" s="250">
        <f t="shared" ca="1" si="34"/>
        <v>541.28289443844096</v>
      </c>
    </row>
    <row r="323" spans="5:27" x14ac:dyDescent="0.3">
      <c r="E323" s="241"/>
      <c r="F323" s="241"/>
      <c r="T323" s="254">
        <v>311</v>
      </c>
      <c r="U323" s="248">
        <f t="shared" si="29"/>
        <v>-18.258500000000002</v>
      </c>
      <c r="V323" s="248">
        <f t="shared" si="30"/>
        <v>-404.60850000000005</v>
      </c>
      <c r="W323" s="248">
        <f t="shared" si="31"/>
        <v>426.74</v>
      </c>
      <c r="X323" s="248">
        <f t="shared" si="32"/>
        <v>3.8729999999999336</v>
      </c>
      <c r="Y323" s="248">
        <f t="shared" ca="1" si="28"/>
        <v>13.385727699892982</v>
      </c>
      <c r="Z323" s="248">
        <f t="shared" ca="1" si="33"/>
        <v>5.4128289443844091</v>
      </c>
      <c r="AA323" s="250">
        <f t="shared" ca="1" si="34"/>
        <v>541.28289443844096</v>
      </c>
    </row>
    <row r="324" spans="5:27" x14ac:dyDescent="0.3">
      <c r="E324" s="241"/>
      <c r="F324" s="241"/>
      <c r="T324" s="254">
        <v>312</v>
      </c>
      <c r="U324" s="248">
        <f t="shared" si="29"/>
        <v>-18.258500000000002</v>
      </c>
      <c r="V324" s="248">
        <f t="shared" si="30"/>
        <v>-403.60850000000005</v>
      </c>
      <c r="W324" s="248">
        <f t="shared" si="31"/>
        <v>425.74</v>
      </c>
      <c r="X324" s="248">
        <f t="shared" si="32"/>
        <v>3.8729999999999336</v>
      </c>
      <c r="Y324" s="248">
        <f t="shared" ca="1" si="28"/>
        <v>13.385727699892982</v>
      </c>
      <c r="Z324" s="248">
        <f t="shared" ca="1" si="33"/>
        <v>5.4128289443844091</v>
      </c>
      <c r="AA324" s="250">
        <f t="shared" ca="1" si="34"/>
        <v>541.28289443844096</v>
      </c>
    </row>
    <row r="325" spans="5:27" x14ac:dyDescent="0.3">
      <c r="E325" s="241"/>
      <c r="F325" s="241"/>
      <c r="T325" s="254">
        <v>313</v>
      </c>
      <c r="U325" s="248">
        <f t="shared" si="29"/>
        <v>-18.258500000000002</v>
      </c>
      <c r="V325" s="248">
        <f t="shared" si="30"/>
        <v>-402.60850000000005</v>
      </c>
      <c r="W325" s="248">
        <f t="shared" si="31"/>
        <v>424.74</v>
      </c>
      <c r="X325" s="248">
        <f t="shared" si="32"/>
        <v>3.8729999999999336</v>
      </c>
      <c r="Y325" s="248">
        <f t="shared" ca="1" si="28"/>
        <v>13.385727699892982</v>
      </c>
      <c r="Z325" s="248">
        <f t="shared" ca="1" si="33"/>
        <v>5.4128289443844091</v>
      </c>
      <c r="AA325" s="250">
        <f t="shared" ca="1" si="34"/>
        <v>541.28289443844096</v>
      </c>
    </row>
    <row r="326" spans="5:27" x14ac:dyDescent="0.3">
      <c r="E326" s="241"/>
      <c r="F326" s="241"/>
      <c r="T326" s="254">
        <v>314</v>
      </c>
      <c r="U326" s="248">
        <f t="shared" si="29"/>
        <v>-18.258500000000002</v>
      </c>
      <c r="V326" s="248">
        <f t="shared" si="30"/>
        <v>-401.60850000000005</v>
      </c>
      <c r="W326" s="248">
        <f t="shared" si="31"/>
        <v>423.74</v>
      </c>
      <c r="X326" s="248">
        <f t="shared" si="32"/>
        <v>3.8729999999999336</v>
      </c>
      <c r="Y326" s="248">
        <f t="shared" ca="1" si="28"/>
        <v>13.385727699892982</v>
      </c>
      <c r="Z326" s="248">
        <f t="shared" ca="1" si="33"/>
        <v>5.4128289443844091</v>
      </c>
      <c r="AA326" s="250">
        <f t="shared" ca="1" si="34"/>
        <v>541.28289443844096</v>
      </c>
    </row>
    <row r="327" spans="5:27" x14ac:dyDescent="0.3">
      <c r="E327" s="241"/>
      <c r="F327" s="241"/>
      <c r="T327" s="254">
        <v>315</v>
      </c>
      <c r="U327" s="248">
        <f t="shared" si="29"/>
        <v>-18.258500000000002</v>
      </c>
      <c r="V327" s="248">
        <f t="shared" si="30"/>
        <v>-400.60850000000005</v>
      </c>
      <c r="W327" s="248">
        <f t="shared" si="31"/>
        <v>422.74</v>
      </c>
      <c r="X327" s="248">
        <f t="shared" si="32"/>
        <v>3.8729999999999336</v>
      </c>
      <c r="Y327" s="248">
        <f t="shared" ca="1" si="28"/>
        <v>13.385727699892982</v>
      </c>
      <c r="Z327" s="248">
        <f t="shared" ca="1" si="33"/>
        <v>5.4128289443844091</v>
      </c>
      <c r="AA327" s="250">
        <f t="shared" ca="1" si="34"/>
        <v>541.28289443844096</v>
      </c>
    </row>
    <row r="328" spans="5:27" x14ac:dyDescent="0.3">
      <c r="E328" s="241"/>
      <c r="F328" s="241"/>
      <c r="T328" s="254">
        <v>316</v>
      </c>
      <c r="U328" s="248">
        <f t="shared" si="29"/>
        <v>-18.258500000000002</v>
      </c>
      <c r="V328" s="248">
        <f t="shared" si="30"/>
        <v>-399.60850000000005</v>
      </c>
      <c r="W328" s="248">
        <f t="shared" si="31"/>
        <v>421.74</v>
      </c>
      <c r="X328" s="248">
        <f t="shared" si="32"/>
        <v>3.8729999999999336</v>
      </c>
      <c r="Y328" s="248">
        <f t="shared" ca="1" si="28"/>
        <v>13.385727699892982</v>
      </c>
      <c r="Z328" s="248">
        <f t="shared" ca="1" si="33"/>
        <v>5.4128289443844091</v>
      </c>
      <c r="AA328" s="250">
        <f t="shared" ca="1" si="34"/>
        <v>541.28289443844096</v>
      </c>
    </row>
    <row r="329" spans="5:27" x14ac:dyDescent="0.3">
      <c r="E329" s="241"/>
      <c r="F329" s="241"/>
      <c r="T329" s="254">
        <v>317</v>
      </c>
      <c r="U329" s="248">
        <f t="shared" si="29"/>
        <v>-18.258500000000002</v>
      </c>
      <c r="V329" s="248">
        <f t="shared" si="30"/>
        <v>-398.60850000000005</v>
      </c>
      <c r="W329" s="248">
        <f t="shared" si="31"/>
        <v>420.74</v>
      </c>
      <c r="X329" s="248">
        <f t="shared" si="32"/>
        <v>3.8729999999999336</v>
      </c>
      <c r="Y329" s="248">
        <f t="shared" ca="1" si="28"/>
        <v>13.385727699892982</v>
      </c>
      <c r="Z329" s="248">
        <f t="shared" ca="1" si="33"/>
        <v>5.4128289443844091</v>
      </c>
      <c r="AA329" s="250">
        <f t="shared" ca="1" si="34"/>
        <v>541.28289443844096</v>
      </c>
    </row>
    <row r="330" spans="5:27" x14ac:dyDescent="0.3">
      <c r="E330" s="241"/>
      <c r="F330" s="241"/>
      <c r="T330" s="254">
        <v>318</v>
      </c>
      <c r="U330" s="248">
        <f t="shared" si="29"/>
        <v>-18.258500000000002</v>
      </c>
      <c r="V330" s="248">
        <f t="shared" si="30"/>
        <v>-397.60850000000005</v>
      </c>
      <c r="W330" s="248">
        <f t="shared" si="31"/>
        <v>419.74</v>
      </c>
      <c r="X330" s="248">
        <f t="shared" si="32"/>
        <v>3.8729999999999336</v>
      </c>
      <c r="Y330" s="248">
        <f t="shared" ca="1" si="28"/>
        <v>13.385727699892982</v>
      </c>
      <c r="Z330" s="248">
        <f t="shared" ca="1" si="33"/>
        <v>5.4128289443844091</v>
      </c>
      <c r="AA330" s="250">
        <f t="shared" ca="1" si="34"/>
        <v>541.28289443844096</v>
      </c>
    </row>
    <row r="331" spans="5:27" x14ac:dyDescent="0.3">
      <c r="E331" s="241"/>
      <c r="F331" s="241"/>
      <c r="T331" s="254">
        <v>319</v>
      </c>
      <c r="U331" s="248">
        <f t="shared" si="29"/>
        <v>-18.258500000000002</v>
      </c>
      <c r="V331" s="248">
        <f t="shared" si="30"/>
        <v>-396.60850000000005</v>
      </c>
      <c r="W331" s="248">
        <f t="shared" si="31"/>
        <v>418.74</v>
      </c>
      <c r="X331" s="248">
        <f t="shared" si="32"/>
        <v>3.8729999999999336</v>
      </c>
      <c r="Y331" s="248">
        <f t="shared" ca="1" si="28"/>
        <v>13.385727699892982</v>
      </c>
      <c r="Z331" s="248">
        <f t="shared" ca="1" si="33"/>
        <v>5.4128289443844091</v>
      </c>
      <c r="AA331" s="250">
        <f t="shared" ca="1" si="34"/>
        <v>541.28289443844096</v>
      </c>
    </row>
    <row r="332" spans="5:27" x14ac:dyDescent="0.3">
      <c r="E332" s="241"/>
      <c r="F332" s="241"/>
      <c r="T332" s="254">
        <v>320</v>
      </c>
      <c r="U332" s="248">
        <f t="shared" si="29"/>
        <v>-18.258500000000002</v>
      </c>
      <c r="V332" s="248">
        <f t="shared" si="30"/>
        <v>-395.60850000000005</v>
      </c>
      <c r="W332" s="248">
        <f t="shared" si="31"/>
        <v>417.74</v>
      </c>
      <c r="X332" s="248">
        <f t="shared" si="32"/>
        <v>3.8729999999999336</v>
      </c>
      <c r="Y332" s="248">
        <f t="shared" ref="Y332:Y395" ca="1" si="35">$Y$10*EXP($Y$7*$C$6)-$Y$10</f>
        <v>13.385727699892982</v>
      </c>
      <c r="Z332" s="248">
        <f t="shared" ca="1" si="33"/>
        <v>5.4128289443844091</v>
      </c>
      <c r="AA332" s="250">
        <f t="shared" ca="1" si="34"/>
        <v>541.28289443844096</v>
      </c>
    </row>
    <row r="333" spans="5:27" x14ac:dyDescent="0.3">
      <c r="E333" s="241"/>
      <c r="F333" s="241"/>
      <c r="T333" s="254">
        <v>321</v>
      </c>
      <c r="U333" s="248">
        <f t="shared" ref="U333:U396" si="36">MAX(0,T333-$U$9)-$U$10-$U$11/100</f>
        <v>-18.258500000000002</v>
      </c>
      <c r="V333" s="248">
        <f t="shared" ref="V333:V396" si="37">$V$10-MAX(0,$V$9-T333)-$V$11/100</f>
        <v>-394.60850000000005</v>
      </c>
      <c r="W333" s="248">
        <f t="shared" ref="W333:W396" si="38">$W$10-T333</f>
        <v>416.74</v>
      </c>
      <c r="X333" s="248">
        <f t="shared" ref="X333:X396" si="39">SUM(U333:W333)</f>
        <v>3.8729999999999336</v>
      </c>
      <c r="Y333" s="248">
        <f t="shared" ca="1" si="35"/>
        <v>13.385727699892982</v>
      </c>
      <c r="Z333" s="248">
        <f t="shared" ref="Z333:Z396" ca="1" si="40">EXP(-$E$3*$C$6)*SUM(X333:Y333)</f>
        <v>5.4128289443844091</v>
      </c>
      <c r="AA333" s="250">
        <f t="shared" ref="AA333:AA396" ca="1" si="41">Z333*100</f>
        <v>541.28289443844096</v>
      </c>
    </row>
    <row r="334" spans="5:27" x14ac:dyDescent="0.3">
      <c r="E334" s="241"/>
      <c r="F334" s="241"/>
      <c r="T334" s="254">
        <v>322</v>
      </c>
      <c r="U334" s="248">
        <f t="shared" si="36"/>
        <v>-18.258500000000002</v>
      </c>
      <c r="V334" s="248">
        <f t="shared" si="37"/>
        <v>-393.60850000000005</v>
      </c>
      <c r="W334" s="248">
        <f t="shared" si="38"/>
        <v>415.74</v>
      </c>
      <c r="X334" s="248">
        <f t="shared" si="39"/>
        <v>3.8729999999999336</v>
      </c>
      <c r="Y334" s="248">
        <f t="shared" ca="1" si="35"/>
        <v>13.385727699892982</v>
      </c>
      <c r="Z334" s="248">
        <f t="shared" ca="1" si="40"/>
        <v>5.4128289443844091</v>
      </c>
      <c r="AA334" s="250">
        <f t="shared" ca="1" si="41"/>
        <v>541.28289443844096</v>
      </c>
    </row>
    <row r="335" spans="5:27" x14ac:dyDescent="0.3">
      <c r="E335" s="241"/>
      <c r="F335" s="241"/>
      <c r="T335" s="254">
        <v>323</v>
      </c>
      <c r="U335" s="248">
        <f t="shared" si="36"/>
        <v>-18.258500000000002</v>
      </c>
      <c r="V335" s="248">
        <f t="shared" si="37"/>
        <v>-392.60850000000005</v>
      </c>
      <c r="W335" s="248">
        <f t="shared" si="38"/>
        <v>414.74</v>
      </c>
      <c r="X335" s="248">
        <f t="shared" si="39"/>
        <v>3.8729999999999336</v>
      </c>
      <c r="Y335" s="248">
        <f t="shared" ca="1" si="35"/>
        <v>13.385727699892982</v>
      </c>
      <c r="Z335" s="248">
        <f t="shared" ca="1" si="40"/>
        <v>5.4128289443844091</v>
      </c>
      <c r="AA335" s="250">
        <f t="shared" ca="1" si="41"/>
        <v>541.28289443844096</v>
      </c>
    </row>
    <row r="336" spans="5:27" x14ac:dyDescent="0.3">
      <c r="E336" s="241"/>
      <c r="F336" s="241"/>
      <c r="T336" s="254">
        <v>324</v>
      </c>
      <c r="U336" s="248">
        <f t="shared" si="36"/>
        <v>-18.258500000000002</v>
      </c>
      <c r="V336" s="248">
        <f t="shared" si="37"/>
        <v>-391.60850000000005</v>
      </c>
      <c r="W336" s="248">
        <f t="shared" si="38"/>
        <v>413.74</v>
      </c>
      <c r="X336" s="248">
        <f t="shared" si="39"/>
        <v>3.8729999999999336</v>
      </c>
      <c r="Y336" s="248">
        <f t="shared" ca="1" si="35"/>
        <v>13.385727699892982</v>
      </c>
      <c r="Z336" s="248">
        <f t="shared" ca="1" si="40"/>
        <v>5.4128289443844091</v>
      </c>
      <c r="AA336" s="250">
        <f t="shared" ca="1" si="41"/>
        <v>541.28289443844096</v>
      </c>
    </row>
    <row r="337" spans="5:27" x14ac:dyDescent="0.3">
      <c r="E337" s="241"/>
      <c r="F337" s="241"/>
      <c r="T337" s="254">
        <v>325</v>
      </c>
      <c r="U337" s="248">
        <f t="shared" si="36"/>
        <v>-18.258500000000002</v>
      </c>
      <c r="V337" s="248">
        <f t="shared" si="37"/>
        <v>-390.60850000000005</v>
      </c>
      <c r="W337" s="248">
        <f t="shared" si="38"/>
        <v>412.74</v>
      </c>
      <c r="X337" s="248">
        <f t="shared" si="39"/>
        <v>3.8729999999999336</v>
      </c>
      <c r="Y337" s="248">
        <f t="shared" ca="1" si="35"/>
        <v>13.385727699892982</v>
      </c>
      <c r="Z337" s="248">
        <f t="shared" ca="1" si="40"/>
        <v>5.4128289443844091</v>
      </c>
      <c r="AA337" s="250">
        <f t="shared" ca="1" si="41"/>
        <v>541.28289443844096</v>
      </c>
    </row>
    <row r="338" spans="5:27" x14ac:dyDescent="0.3">
      <c r="E338" s="241"/>
      <c r="F338" s="241"/>
      <c r="T338" s="254">
        <v>326</v>
      </c>
      <c r="U338" s="248">
        <f t="shared" si="36"/>
        <v>-18.258500000000002</v>
      </c>
      <c r="V338" s="248">
        <f t="shared" si="37"/>
        <v>-389.60850000000005</v>
      </c>
      <c r="W338" s="248">
        <f t="shared" si="38"/>
        <v>411.74</v>
      </c>
      <c r="X338" s="248">
        <f t="shared" si="39"/>
        <v>3.8729999999999336</v>
      </c>
      <c r="Y338" s="248">
        <f t="shared" ca="1" si="35"/>
        <v>13.385727699892982</v>
      </c>
      <c r="Z338" s="248">
        <f t="shared" ca="1" si="40"/>
        <v>5.4128289443844091</v>
      </c>
      <c r="AA338" s="250">
        <f t="shared" ca="1" si="41"/>
        <v>541.28289443844096</v>
      </c>
    </row>
    <row r="339" spans="5:27" x14ac:dyDescent="0.3">
      <c r="E339" s="241"/>
      <c r="F339" s="241"/>
      <c r="T339" s="254">
        <v>327</v>
      </c>
      <c r="U339" s="248">
        <f t="shared" si="36"/>
        <v>-18.258500000000002</v>
      </c>
      <c r="V339" s="248">
        <f t="shared" si="37"/>
        <v>-388.60850000000005</v>
      </c>
      <c r="W339" s="248">
        <f t="shared" si="38"/>
        <v>410.74</v>
      </c>
      <c r="X339" s="248">
        <f t="shared" si="39"/>
        <v>3.8729999999999336</v>
      </c>
      <c r="Y339" s="248">
        <f t="shared" ca="1" si="35"/>
        <v>13.385727699892982</v>
      </c>
      <c r="Z339" s="248">
        <f t="shared" ca="1" si="40"/>
        <v>5.4128289443844091</v>
      </c>
      <c r="AA339" s="250">
        <f t="shared" ca="1" si="41"/>
        <v>541.28289443844096</v>
      </c>
    </row>
    <row r="340" spans="5:27" x14ac:dyDescent="0.3">
      <c r="E340" s="241"/>
      <c r="F340" s="241"/>
      <c r="T340" s="254">
        <v>328</v>
      </c>
      <c r="U340" s="248">
        <f t="shared" si="36"/>
        <v>-18.258500000000002</v>
      </c>
      <c r="V340" s="248">
        <f t="shared" si="37"/>
        <v>-387.60850000000005</v>
      </c>
      <c r="W340" s="248">
        <f t="shared" si="38"/>
        <v>409.74</v>
      </c>
      <c r="X340" s="248">
        <f t="shared" si="39"/>
        <v>3.8729999999999336</v>
      </c>
      <c r="Y340" s="248">
        <f t="shared" ca="1" si="35"/>
        <v>13.385727699892982</v>
      </c>
      <c r="Z340" s="248">
        <f t="shared" ca="1" si="40"/>
        <v>5.4128289443844091</v>
      </c>
      <c r="AA340" s="250">
        <f t="shared" ca="1" si="41"/>
        <v>541.28289443844096</v>
      </c>
    </row>
    <row r="341" spans="5:27" x14ac:dyDescent="0.3">
      <c r="E341" s="241"/>
      <c r="F341" s="241"/>
      <c r="T341" s="254">
        <v>329</v>
      </c>
      <c r="U341" s="248">
        <f t="shared" si="36"/>
        <v>-18.258500000000002</v>
      </c>
      <c r="V341" s="248">
        <f t="shared" si="37"/>
        <v>-386.60850000000005</v>
      </c>
      <c r="W341" s="248">
        <f t="shared" si="38"/>
        <v>408.74</v>
      </c>
      <c r="X341" s="248">
        <f t="shared" si="39"/>
        <v>3.8729999999999336</v>
      </c>
      <c r="Y341" s="248">
        <f t="shared" ca="1" si="35"/>
        <v>13.385727699892982</v>
      </c>
      <c r="Z341" s="248">
        <f t="shared" ca="1" si="40"/>
        <v>5.4128289443844091</v>
      </c>
      <c r="AA341" s="250">
        <f t="shared" ca="1" si="41"/>
        <v>541.28289443844096</v>
      </c>
    </row>
    <row r="342" spans="5:27" x14ac:dyDescent="0.3">
      <c r="E342" s="241"/>
      <c r="F342" s="241"/>
      <c r="T342" s="254">
        <v>330</v>
      </c>
      <c r="U342" s="248">
        <f t="shared" si="36"/>
        <v>-18.258500000000002</v>
      </c>
      <c r="V342" s="248">
        <f t="shared" si="37"/>
        <v>-385.60850000000005</v>
      </c>
      <c r="W342" s="248">
        <f t="shared" si="38"/>
        <v>407.74</v>
      </c>
      <c r="X342" s="248">
        <f t="shared" si="39"/>
        <v>3.8729999999999336</v>
      </c>
      <c r="Y342" s="248">
        <f t="shared" ca="1" si="35"/>
        <v>13.385727699892982</v>
      </c>
      <c r="Z342" s="248">
        <f t="shared" ca="1" si="40"/>
        <v>5.4128289443844091</v>
      </c>
      <c r="AA342" s="250">
        <f t="shared" ca="1" si="41"/>
        <v>541.28289443844096</v>
      </c>
    </row>
    <row r="343" spans="5:27" x14ac:dyDescent="0.3">
      <c r="E343" s="241"/>
      <c r="F343" s="241"/>
      <c r="T343" s="254">
        <v>331</v>
      </c>
      <c r="U343" s="248">
        <f t="shared" si="36"/>
        <v>-18.258500000000002</v>
      </c>
      <c r="V343" s="248">
        <f t="shared" si="37"/>
        <v>-384.60850000000005</v>
      </c>
      <c r="W343" s="248">
        <f t="shared" si="38"/>
        <v>406.74</v>
      </c>
      <c r="X343" s="248">
        <f t="shared" si="39"/>
        <v>3.8729999999999336</v>
      </c>
      <c r="Y343" s="248">
        <f t="shared" ca="1" si="35"/>
        <v>13.385727699892982</v>
      </c>
      <c r="Z343" s="248">
        <f t="shared" ca="1" si="40"/>
        <v>5.4128289443844091</v>
      </c>
      <c r="AA343" s="250">
        <f t="shared" ca="1" si="41"/>
        <v>541.28289443844096</v>
      </c>
    </row>
    <row r="344" spans="5:27" x14ac:dyDescent="0.3">
      <c r="E344" s="241"/>
      <c r="F344" s="241"/>
      <c r="T344" s="254">
        <v>332</v>
      </c>
      <c r="U344" s="248">
        <f t="shared" si="36"/>
        <v>-18.258500000000002</v>
      </c>
      <c r="V344" s="248">
        <f t="shared" si="37"/>
        <v>-383.60850000000005</v>
      </c>
      <c r="W344" s="248">
        <f t="shared" si="38"/>
        <v>405.74</v>
      </c>
      <c r="X344" s="248">
        <f t="shared" si="39"/>
        <v>3.8729999999999336</v>
      </c>
      <c r="Y344" s="248">
        <f t="shared" ca="1" si="35"/>
        <v>13.385727699892982</v>
      </c>
      <c r="Z344" s="248">
        <f t="shared" ca="1" si="40"/>
        <v>5.4128289443844091</v>
      </c>
      <c r="AA344" s="250">
        <f t="shared" ca="1" si="41"/>
        <v>541.28289443844096</v>
      </c>
    </row>
    <row r="345" spans="5:27" x14ac:dyDescent="0.3">
      <c r="E345" s="241"/>
      <c r="F345" s="241"/>
      <c r="T345" s="254">
        <v>333</v>
      </c>
      <c r="U345" s="248">
        <f t="shared" si="36"/>
        <v>-18.258500000000002</v>
      </c>
      <c r="V345" s="248">
        <f t="shared" si="37"/>
        <v>-382.60850000000005</v>
      </c>
      <c r="W345" s="248">
        <f t="shared" si="38"/>
        <v>404.74</v>
      </c>
      <c r="X345" s="248">
        <f t="shared" si="39"/>
        <v>3.8729999999999336</v>
      </c>
      <c r="Y345" s="248">
        <f t="shared" ca="1" si="35"/>
        <v>13.385727699892982</v>
      </c>
      <c r="Z345" s="248">
        <f t="shared" ca="1" si="40"/>
        <v>5.4128289443844091</v>
      </c>
      <c r="AA345" s="250">
        <f t="shared" ca="1" si="41"/>
        <v>541.28289443844096</v>
      </c>
    </row>
    <row r="346" spans="5:27" x14ac:dyDescent="0.3">
      <c r="E346" s="241"/>
      <c r="F346" s="241"/>
      <c r="T346" s="254">
        <v>334</v>
      </c>
      <c r="U346" s="248">
        <f t="shared" si="36"/>
        <v>-18.258500000000002</v>
      </c>
      <c r="V346" s="248">
        <f t="shared" si="37"/>
        <v>-381.60850000000005</v>
      </c>
      <c r="W346" s="248">
        <f t="shared" si="38"/>
        <v>403.74</v>
      </c>
      <c r="X346" s="248">
        <f t="shared" si="39"/>
        <v>3.8729999999999336</v>
      </c>
      <c r="Y346" s="248">
        <f t="shared" ca="1" si="35"/>
        <v>13.385727699892982</v>
      </c>
      <c r="Z346" s="248">
        <f t="shared" ca="1" si="40"/>
        <v>5.4128289443844091</v>
      </c>
      <c r="AA346" s="250">
        <f t="shared" ca="1" si="41"/>
        <v>541.28289443844096</v>
      </c>
    </row>
    <row r="347" spans="5:27" x14ac:dyDescent="0.3">
      <c r="E347" s="241"/>
      <c r="F347" s="241"/>
      <c r="T347" s="254">
        <v>335</v>
      </c>
      <c r="U347" s="248">
        <f t="shared" si="36"/>
        <v>-18.258500000000002</v>
      </c>
      <c r="V347" s="248">
        <f t="shared" si="37"/>
        <v>-380.60850000000005</v>
      </c>
      <c r="W347" s="248">
        <f t="shared" si="38"/>
        <v>402.74</v>
      </c>
      <c r="X347" s="248">
        <f t="shared" si="39"/>
        <v>3.8729999999999336</v>
      </c>
      <c r="Y347" s="248">
        <f t="shared" ca="1" si="35"/>
        <v>13.385727699892982</v>
      </c>
      <c r="Z347" s="248">
        <f t="shared" ca="1" si="40"/>
        <v>5.4128289443844091</v>
      </c>
      <c r="AA347" s="250">
        <f t="shared" ca="1" si="41"/>
        <v>541.28289443844096</v>
      </c>
    </row>
    <row r="348" spans="5:27" x14ac:dyDescent="0.3">
      <c r="E348" s="241"/>
      <c r="F348" s="241"/>
      <c r="T348" s="254">
        <v>336</v>
      </c>
      <c r="U348" s="248">
        <f t="shared" si="36"/>
        <v>-18.258500000000002</v>
      </c>
      <c r="V348" s="248">
        <f t="shared" si="37"/>
        <v>-379.60850000000005</v>
      </c>
      <c r="W348" s="248">
        <f t="shared" si="38"/>
        <v>401.74</v>
      </c>
      <c r="X348" s="248">
        <f t="shared" si="39"/>
        <v>3.8729999999999336</v>
      </c>
      <c r="Y348" s="248">
        <f t="shared" ca="1" si="35"/>
        <v>13.385727699892982</v>
      </c>
      <c r="Z348" s="248">
        <f t="shared" ca="1" si="40"/>
        <v>5.4128289443844091</v>
      </c>
      <c r="AA348" s="250">
        <f t="shared" ca="1" si="41"/>
        <v>541.28289443844096</v>
      </c>
    </row>
    <row r="349" spans="5:27" x14ac:dyDescent="0.3">
      <c r="E349" s="241"/>
      <c r="F349" s="241"/>
      <c r="T349" s="254">
        <v>337</v>
      </c>
      <c r="U349" s="248">
        <f t="shared" si="36"/>
        <v>-18.258500000000002</v>
      </c>
      <c r="V349" s="248">
        <f t="shared" si="37"/>
        <v>-378.60850000000005</v>
      </c>
      <c r="W349" s="248">
        <f t="shared" si="38"/>
        <v>400.74</v>
      </c>
      <c r="X349" s="248">
        <f t="shared" si="39"/>
        <v>3.8729999999999336</v>
      </c>
      <c r="Y349" s="248">
        <f t="shared" ca="1" si="35"/>
        <v>13.385727699892982</v>
      </c>
      <c r="Z349" s="248">
        <f t="shared" ca="1" si="40"/>
        <v>5.4128289443844091</v>
      </c>
      <c r="AA349" s="250">
        <f t="shared" ca="1" si="41"/>
        <v>541.28289443844096</v>
      </c>
    </row>
    <row r="350" spans="5:27" x14ac:dyDescent="0.3">
      <c r="E350" s="241"/>
      <c r="F350" s="241"/>
      <c r="T350" s="254">
        <v>338</v>
      </c>
      <c r="U350" s="248">
        <f t="shared" si="36"/>
        <v>-18.258500000000002</v>
      </c>
      <c r="V350" s="248">
        <f t="shared" si="37"/>
        <v>-377.60850000000005</v>
      </c>
      <c r="W350" s="248">
        <f t="shared" si="38"/>
        <v>399.74</v>
      </c>
      <c r="X350" s="248">
        <f t="shared" si="39"/>
        <v>3.8729999999999336</v>
      </c>
      <c r="Y350" s="248">
        <f t="shared" ca="1" si="35"/>
        <v>13.385727699892982</v>
      </c>
      <c r="Z350" s="248">
        <f t="shared" ca="1" si="40"/>
        <v>5.4128289443844091</v>
      </c>
      <c r="AA350" s="250">
        <f t="shared" ca="1" si="41"/>
        <v>541.28289443844096</v>
      </c>
    </row>
    <row r="351" spans="5:27" x14ac:dyDescent="0.3">
      <c r="E351" s="241"/>
      <c r="F351" s="241"/>
      <c r="T351" s="254">
        <v>339</v>
      </c>
      <c r="U351" s="248">
        <f t="shared" si="36"/>
        <v>-18.258500000000002</v>
      </c>
      <c r="V351" s="248">
        <f t="shared" si="37"/>
        <v>-376.60850000000005</v>
      </c>
      <c r="W351" s="248">
        <f t="shared" si="38"/>
        <v>398.74</v>
      </c>
      <c r="X351" s="248">
        <f t="shared" si="39"/>
        <v>3.8729999999999336</v>
      </c>
      <c r="Y351" s="248">
        <f t="shared" ca="1" si="35"/>
        <v>13.385727699892982</v>
      </c>
      <c r="Z351" s="248">
        <f t="shared" ca="1" si="40"/>
        <v>5.4128289443844091</v>
      </c>
      <c r="AA351" s="250">
        <f t="shared" ca="1" si="41"/>
        <v>541.28289443844096</v>
      </c>
    </row>
    <row r="352" spans="5:27" x14ac:dyDescent="0.3">
      <c r="E352" s="241"/>
      <c r="F352" s="241"/>
      <c r="T352" s="254">
        <v>340</v>
      </c>
      <c r="U352" s="248">
        <f t="shared" si="36"/>
        <v>-18.258500000000002</v>
      </c>
      <c r="V352" s="248">
        <f t="shared" si="37"/>
        <v>-375.60850000000005</v>
      </c>
      <c r="W352" s="248">
        <f t="shared" si="38"/>
        <v>397.74</v>
      </c>
      <c r="X352" s="248">
        <f t="shared" si="39"/>
        <v>3.8729999999999336</v>
      </c>
      <c r="Y352" s="248">
        <f t="shared" ca="1" si="35"/>
        <v>13.385727699892982</v>
      </c>
      <c r="Z352" s="248">
        <f t="shared" ca="1" si="40"/>
        <v>5.4128289443844091</v>
      </c>
      <c r="AA352" s="250">
        <f t="shared" ca="1" si="41"/>
        <v>541.28289443844096</v>
      </c>
    </row>
    <row r="353" spans="5:27" x14ac:dyDescent="0.3">
      <c r="E353" s="241"/>
      <c r="F353" s="241"/>
      <c r="T353" s="254">
        <v>341</v>
      </c>
      <c r="U353" s="248">
        <f t="shared" si="36"/>
        <v>-18.258500000000002</v>
      </c>
      <c r="V353" s="248">
        <f t="shared" si="37"/>
        <v>-374.60850000000005</v>
      </c>
      <c r="W353" s="248">
        <f t="shared" si="38"/>
        <v>396.74</v>
      </c>
      <c r="X353" s="248">
        <f t="shared" si="39"/>
        <v>3.8729999999999336</v>
      </c>
      <c r="Y353" s="248">
        <f t="shared" ca="1" si="35"/>
        <v>13.385727699892982</v>
      </c>
      <c r="Z353" s="248">
        <f t="shared" ca="1" si="40"/>
        <v>5.4128289443844091</v>
      </c>
      <c r="AA353" s="250">
        <f t="shared" ca="1" si="41"/>
        <v>541.28289443844096</v>
      </c>
    </row>
    <row r="354" spans="5:27" x14ac:dyDescent="0.3">
      <c r="E354" s="241"/>
      <c r="F354" s="241"/>
      <c r="T354" s="254">
        <v>342</v>
      </c>
      <c r="U354" s="248">
        <f t="shared" si="36"/>
        <v>-18.258500000000002</v>
      </c>
      <c r="V354" s="248">
        <f t="shared" si="37"/>
        <v>-373.60850000000005</v>
      </c>
      <c r="W354" s="248">
        <f t="shared" si="38"/>
        <v>395.74</v>
      </c>
      <c r="X354" s="248">
        <f t="shared" si="39"/>
        <v>3.8729999999999336</v>
      </c>
      <c r="Y354" s="248">
        <f t="shared" ca="1" si="35"/>
        <v>13.385727699892982</v>
      </c>
      <c r="Z354" s="248">
        <f t="shared" ca="1" si="40"/>
        <v>5.4128289443844091</v>
      </c>
      <c r="AA354" s="250">
        <f t="shared" ca="1" si="41"/>
        <v>541.28289443844096</v>
      </c>
    </row>
    <row r="355" spans="5:27" x14ac:dyDescent="0.3">
      <c r="E355" s="241"/>
      <c r="F355" s="241"/>
      <c r="T355" s="254">
        <v>343</v>
      </c>
      <c r="U355" s="248">
        <f t="shared" si="36"/>
        <v>-18.258500000000002</v>
      </c>
      <c r="V355" s="248">
        <f t="shared" si="37"/>
        <v>-372.60850000000005</v>
      </c>
      <c r="W355" s="248">
        <f t="shared" si="38"/>
        <v>394.74</v>
      </c>
      <c r="X355" s="248">
        <f t="shared" si="39"/>
        <v>3.8729999999999336</v>
      </c>
      <c r="Y355" s="248">
        <f t="shared" ca="1" si="35"/>
        <v>13.385727699892982</v>
      </c>
      <c r="Z355" s="248">
        <f t="shared" ca="1" si="40"/>
        <v>5.4128289443844091</v>
      </c>
      <c r="AA355" s="250">
        <f t="shared" ca="1" si="41"/>
        <v>541.28289443844096</v>
      </c>
    </row>
    <row r="356" spans="5:27" x14ac:dyDescent="0.3">
      <c r="E356" s="241"/>
      <c r="F356" s="241"/>
      <c r="T356" s="254">
        <v>344</v>
      </c>
      <c r="U356" s="248">
        <f t="shared" si="36"/>
        <v>-18.258500000000002</v>
      </c>
      <c r="V356" s="248">
        <f t="shared" si="37"/>
        <v>-371.60850000000005</v>
      </c>
      <c r="W356" s="248">
        <f t="shared" si="38"/>
        <v>393.74</v>
      </c>
      <c r="X356" s="248">
        <f t="shared" si="39"/>
        <v>3.8729999999999336</v>
      </c>
      <c r="Y356" s="248">
        <f t="shared" ca="1" si="35"/>
        <v>13.385727699892982</v>
      </c>
      <c r="Z356" s="248">
        <f t="shared" ca="1" si="40"/>
        <v>5.4128289443844091</v>
      </c>
      <c r="AA356" s="250">
        <f t="shared" ca="1" si="41"/>
        <v>541.28289443844096</v>
      </c>
    </row>
    <row r="357" spans="5:27" x14ac:dyDescent="0.3">
      <c r="E357" s="241"/>
      <c r="F357" s="241"/>
      <c r="T357" s="254">
        <v>345</v>
      </c>
      <c r="U357" s="248">
        <f t="shared" si="36"/>
        <v>-18.258500000000002</v>
      </c>
      <c r="V357" s="248">
        <f t="shared" si="37"/>
        <v>-370.60850000000005</v>
      </c>
      <c r="W357" s="248">
        <f t="shared" si="38"/>
        <v>392.74</v>
      </c>
      <c r="X357" s="248">
        <f t="shared" si="39"/>
        <v>3.8729999999999336</v>
      </c>
      <c r="Y357" s="248">
        <f t="shared" ca="1" si="35"/>
        <v>13.385727699892982</v>
      </c>
      <c r="Z357" s="248">
        <f t="shared" ca="1" si="40"/>
        <v>5.4128289443844091</v>
      </c>
      <c r="AA357" s="250">
        <f t="shared" ca="1" si="41"/>
        <v>541.28289443844096</v>
      </c>
    </row>
    <row r="358" spans="5:27" x14ac:dyDescent="0.3">
      <c r="E358" s="241"/>
      <c r="F358" s="241"/>
      <c r="T358" s="254">
        <v>346</v>
      </c>
      <c r="U358" s="248">
        <f t="shared" si="36"/>
        <v>-18.258500000000002</v>
      </c>
      <c r="V358" s="248">
        <f t="shared" si="37"/>
        <v>-369.60850000000005</v>
      </c>
      <c r="W358" s="248">
        <f t="shared" si="38"/>
        <v>391.74</v>
      </c>
      <c r="X358" s="248">
        <f t="shared" si="39"/>
        <v>3.8729999999999336</v>
      </c>
      <c r="Y358" s="248">
        <f t="shared" ca="1" si="35"/>
        <v>13.385727699892982</v>
      </c>
      <c r="Z358" s="248">
        <f t="shared" ca="1" si="40"/>
        <v>5.4128289443844091</v>
      </c>
      <c r="AA358" s="250">
        <f t="shared" ca="1" si="41"/>
        <v>541.28289443844096</v>
      </c>
    </row>
    <row r="359" spans="5:27" x14ac:dyDescent="0.3">
      <c r="E359" s="241"/>
      <c r="F359" s="241"/>
      <c r="T359" s="254">
        <v>347</v>
      </c>
      <c r="U359" s="248">
        <f t="shared" si="36"/>
        <v>-18.258500000000002</v>
      </c>
      <c r="V359" s="248">
        <f t="shared" si="37"/>
        <v>-368.60850000000005</v>
      </c>
      <c r="W359" s="248">
        <f t="shared" si="38"/>
        <v>390.74</v>
      </c>
      <c r="X359" s="248">
        <f t="shared" si="39"/>
        <v>3.8729999999999336</v>
      </c>
      <c r="Y359" s="248">
        <f t="shared" ca="1" si="35"/>
        <v>13.385727699892982</v>
      </c>
      <c r="Z359" s="248">
        <f t="shared" ca="1" si="40"/>
        <v>5.4128289443844091</v>
      </c>
      <c r="AA359" s="250">
        <f t="shared" ca="1" si="41"/>
        <v>541.28289443844096</v>
      </c>
    </row>
    <row r="360" spans="5:27" x14ac:dyDescent="0.3">
      <c r="E360" s="241"/>
      <c r="F360" s="241"/>
      <c r="T360" s="254">
        <v>348</v>
      </c>
      <c r="U360" s="248">
        <f t="shared" si="36"/>
        <v>-18.258500000000002</v>
      </c>
      <c r="V360" s="248">
        <f t="shared" si="37"/>
        <v>-367.60850000000005</v>
      </c>
      <c r="W360" s="248">
        <f t="shared" si="38"/>
        <v>389.74</v>
      </c>
      <c r="X360" s="248">
        <f t="shared" si="39"/>
        <v>3.8729999999999336</v>
      </c>
      <c r="Y360" s="248">
        <f t="shared" ca="1" si="35"/>
        <v>13.385727699892982</v>
      </c>
      <c r="Z360" s="248">
        <f t="shared" ca="1" si="40"/>
        <v>5.4128289443844091</v>
      </c>
      <c r="AA360" s="250">
        <f t="shared" ca="1" si="41"/>
        <v>541.28289443844096</v>
      </c>
    </row>
    <row r="361" spans="5:27" x14ac:dyDescent="0.3">
      <c r="E361" s="241"/>
      <c r="F361" s="241"/>
      <c r="T361" s="254">
        <v>349</v>
      </c>
      <c r="U361" s="248">
        <f t="shared" si="36"/>
        <v>-18.258500000000002</v>
      </c>
      <c r="V361" s="248">
        <f t="shared" si="37"/>
        <v>-366.60850000000005</v>
      </c>
      <c r="W361" s="248">
        <f t="shared" si="38"/>
        <v>388.74</v>
      </c>
      <c r="X361" s="248">
        <f t="shared" si="39"/>
        <v>3.8729999999999336</v>
      </c>
      <c r="Y361" s="248">
        <f t="shared" ca="1" si="35"/>
        <v>13.385727699892982</v>
      </c>
      <c r="Z361" s="248">
        <f t="shared" ca="1" si="40"/>
        <v>5.4128289443844091</v>
      </c>
      <c r="AA361" s="250">
        <f t="shared" ca="1" si="41"/>
        <v>541.28289443844096</v>
      </c>
    </row>
    <row r="362" spans="5:27" x14ac:dyDescent="0.3">
      <c r="E362" s="241"/>
      <c r="F362" s="241"/>
      <c r="T362" s="254">
        <v>350</v>
      </c>
      <c r="U362" s="248">
        <f t="shared" si="36"/>
        <v>-18.258500000000002</v>
      </c>
      <c r="V362" s="248">
        <f t="shared" si="37"/>
        <v>-365.60850000000005</v>
      </c>
      <c r="W362" s="248">
        <f t="shared" si="38"/>
        <v>387.74</v>
      </c>
      <c r="X362" s="248">
        <f t="shared" si="39"/>
        <v>3.8729999999999336</v>
      </c>
      <c r="Y362" s="248">
        <f t="shared" ca="1" si="35"/>
        <v>13.385727699892982</v>
      </c>
      <c r="Z362" s="248">
        <f t="shared" ca="1" si="40"/>
        <v>5.4128289443844091</v>
      </c>
      <c r="AA362" s="250">
        <f t="shared" ca="1" si="41"/>
        <v>541.28289443844096</v>
      </c>
    </row>
    <row r="363" spans="5:27" x14ac:dyDescent="0.3">
      <c r="E363" s="241"/>
      <c r="F363" s="241"/>
      <c r="T363" s="254">
        <v>351</v>
      </c>
      <c r="U363" s="248">
        <f t="shared" si="36"/>
        <v>-18.258500000000002</v>
      </c>
      <c r="V363" s="248">
        <f t="shared" si="37"/>
        <v>-364.60850000000005</v>
      </c>
      <c r="W363" s="248">
        <f t="shared" si="38"/>
        <v>386.74</v>
      </c>
      <c r="X363" s="248">
        <f t="shared" si="39"/>
        <v>3.8729999999999336</v>
      </c>
      <c r="Y363" s="248">
        <f t="shared" ca="1" si="35"/>
        <v>13.385727699892982</v>
      </c>
      <c r="Z363" s="248">
        <f t="shared" ca="1" si="40"/>
        <v>5.4128289443844091</v>
      </c>
      <c r="AA363" s="250">
        <f t="shared" ca="1" si="41"/>
        <v>541.28289443844096</v>
      </c>
    </row>
    <row r="364" spans="5:27" x14ac:dyDescent="0.3">
      <c r="E364" s="241"/>
      <c r="F364" s="241"/>
      <c r="T364" s="254">
        <v>352</v>
      </c>
      <c r="U364" s="248">
        <f t="shared" si="36"/>
        <v>-18.258500000000002</v>
      </c>
      <c r="V364" s="248">
        <f t="shared" si="37"/>
        <v>-363.60850000000005</v>
      </c>
      <c r="W364" s="248">
        <f t="shared" si="38"/>
        <v>385.74</v>
      </c>
      <c r="X364" s="248">
        <f t="shared" si="39"/>
        <v>3.8729999999999336</v>
      </c>
      <c r="Y364" s="248">
        <f t="shared" ca="1" si="35"/>
        <v>13.385727699892982</v>
      </c>
      <c r="Z364" s="248">
        <f t="shared" ca="1" si="40"/>
        <v>5.4128289443844091</v>
      </c>
      <c r="AA364" s="250">
        <f t="shared" ca="1" si="41"/>
        <v>541.28289443844096</v>
      </c>
    </row>
    <row r="365" spans="5:27" x14ac:dyDescent="0.3">
      <c r="E365" s="241"/>
      <c r="F365" s="241"/>
      <c r="T365" s="254">
        <v>353</v>
      </c>
      <c r="U365" s="248">
        <f t="shared" si="36"/>
        <v>-18.258500000000002</v>
      </c>
      <c r="V365" s="248">
        <f t="shared" si="37"/>
        <v>-362.60850000000005</v>
      </c>
      <c r="W365" s="248">
        <f t="shared" si="38"/>
        <v>384.74</v>
      </c>
      <c r="X365" s="248">
        <f t="shared" si="39"/>
        <v>3.8729999999999336</v>
      </c>
      <c r="Y365" s="248">
        <f t="shared" ca="1" si="35"/>
        <v>13.385727699892982</v>
      </c>
      <c r="Z365" s="248">
        <f t="shared" ca="1" si="40"/>
        <v>5.4128289443844091</v>
      </c>
      <c r="AA365" s="250">
        <f t="shared" ca="1" si="41"/>
        <v>541.28289443844096</v>
      </c>
    </row>
    <row r="366" spans="5:27" x14ac:dyDescent="0.3">
      <c r="E366" s="241"/>
      <c r="F366" s="241"/>
      <c r="T366" s="254">
        <v>354</v>
      </c>
      <c r="U366" s="248">
        <f t="shared" si="36"/>
        <v>-18.258500000000002</v>
      </c>
      <c r="V366" s="248">
        <f t="shared" si="37"/>
        <v>-361.60850000000005</v>
      </c>
      <c r="W366" s="248">
        <f t="shared" si="38"/>
        <v>383.74</v>
      </c>
      <c r="X366" s="248">
        <f t="shared" si="39"/>
        <v>3.8729999999999336</v>
      </c>
      <c r="Y366" s="248">
        <f t="shared" ca="1" si="35"/>
        <v>13.385727699892982</v>
      </c>
      <c r="Z366" s="248">
        <f t="shared" ca="1" si="40"/>
        <v>5.4128289443844091</v>
      </c>
      <c r="AA366" s="250">
        <f t="shared" ca="1" si="41"/>
        <v>541.28289443844096</v>
      </c>
    </row>
    <row r="367" spans="5:27" x14ac:dyDescent="0.3">
      <c r="E367" s="241"/>
      <c r="F367" s="241"/>
      <c r="T367" s="254">
        <v>355</v>
      </c>
      <c r="U367" s="248">
        <f t="shared" si="36"/>
        <v>-18.258500000000002</v>
      </c>
      <c r="V367" s="248">
        <f t="shared" si="37"/>
        <v>-360.60850000000005</v>
      </c>
      <c r="W367" s="248">
        <f t="shared" si="38"/>
        <v>382.74</v>
      </c>
      <c r="X367" s="248">
        <f t="shared" si="39"/>
        <v>3.8729999999999336</v>
      </c>
      <c r="Y367" s="248">
        <f t="shared" ca="1" si="35"/>
        <v>13.385727699892982</v>
      </c>
      <c r="Z367" s="248">
        <f t="shared" ca="1" si="40"/>
        <v>5.4128289443844091</v>
      </c>
      <c r="AA367" s="250">
        <f t="shared" ca="1" si="41"/>
        <v>541.28289443844096</v>
      </c>
    </row>
    <row r="368" spans="5:27" x14ac:dyDescent="0.3">
      <c r="E368" s="241"/>
      <c r="F368" s="241"/>
      <c r="T368" s="254">
        <v>356</v>
      </c>
      <c r="U368" s="248">
        <f t="shared" si="36"/>
        <v>-18.258500000000002</v>
      </c>
      <c r="V368" s="248">
        <f t="shared" si="37"/>
        <v>-359.60850000000005</v>
      </c>
      <c r="W368" s="248">
        <f t="shared" si="38"/>
        <v>381.74</v>
      </c>
      <c r="X368" s="248">
        <f t="shared" si="39"/>
        <v>3.8729999999999336</v>
      </c>
      <c r="Y368" s="248">
        <f t="shared" ca="1" si="35"/>
        <v>13.385727699892982</v>
      </c>
      <c r="Z368" s="248">
        <f t="shared" ca="1" si="40"/>
        <v>5.4128289443844091</v>
      </c>
      <c r="AA368" s="250">
        <f t="shared" ca="1" si="41"/>
        <v>541.28289443844096</v>
      </c>
    </row>
    <row r="369" spans="5:27" x14ac:dyDescent="0.3">
      <c r="E369" s="241"/>
      <c r="F369" s="241"/>
      <c r="T369" s="254">
        <v>357</v>
      </c>
      <c r="U369" s="248">
        <f t="shared" si="36"/>
        <v>-18.258500000000002</v>
      </c>
      <c r="V369" s="248">
        <f t="shared" si="37"/>
        <v>-358.60850000000005</v>
      </c>
      <c r="W369" s="248">
        <f t="shared" si="38"/>
        <v>380.74</v>
      </c>
      <c r="X369" s="248">
        <f t="shared" si="39"/>
        <v>3.8729999999999336</v>
      </c>
      <c r="Y369" s="248">
        <f t="shared" ca="1" si="35"/>
        <v>13.385727699892982</v>
      </c>
      <c r="Z369" s="248">
        <f t="shared" ca="1" si="40"/>
        <v>5.4128289443844091</v>
      </c>
      <c r="AA369" s="250">
        <f t="shared" ca="1" si="41"/>
        <v>541.28289443844096</v>
      </c>
    </row>
    <row r="370" spans="5:27" x14ac:dyDescent="0.3">
      <c r="E370" s="241"/>
      <c r="F370" s="241"/>
      <c r="T370" s="254">
        <v>358</v>
      </c>
      <c r="U370" s="248">
        <f t="shared" si="36"/>
        <v>-18.258500000000002</v>
      </c>
      <c r="V370" s="248">
        <f t="shared" si="37"/>
        <v>-357.60850000000005</v>
      </c>
      <c r="W370" s="248">
        <f t="shared" si="38"/>
        <v>379.74</v>
      </c>
      <c r="X370" s="248">
        <f t="shared" si="39"/>
        <v>3.8729999999999336</v>
      </c>
      <c r="Y370" s="248">
        <f t="shared" ca="1" si="35"/>
        <v>13.385727699892982</v>
      </c>
      <c r="Z370" s="248">
        <f t="shared" ca="1" si="40"/>
        <v>5.4128289443844091</v>
      </c>
      <c r="AA370" s="250">
        <f t="shared" ca="1" si="41"/>
        <v>541.28289443844096</v>
      </c>
    </row>
    <row r="371" spans="5:27" x14ac:dyDescent="0.3">
      <c r="E371" s="241"/>
      <c r="F371" s="241"/>
      <c r="T371" s="254">
        <v>359</v>
      </c>
      <c r="U371" s="248">
        <f t="shared" si="36"/>
        <v>-18.258500000000002</v>
      </c>
      <c r="V371" s="248">
        <f t="shared" si="37"/>
        <v>-356.60850000000005</v>
      </c>
      <c r="W371" s="248">
        <f t="shared" si="38"/>
        <v>378.74</v>
      </c>
      <c r="X371" s="248">
        <f t="shared" si="39"/>
        <v>3.8729999999999336</v>
      </c>
      <c r="Y371" s="248">
        <f t="shared" ca="1" si="35"/>
        <v>13.385727699892982</v>
      </c>
      <c r="Z371" s="248">
        <f t="shared" ca="1" si="40"/>
        <v>5.4128289443844091</v>
      </c>
      <c r="AA371" s="250">
        <f t="shared" ca="1" si="41"/>
        <v>541.28289443844096</v>
      </c>
    </row>
    <row r="372" spans="5:27" x14ac:dyDescent="0.3">
      <c r="E372" s="241"/>
      <c r="F372" s="241"/>
      <c r="T372" s="254">
        <v>360</v>
      </c>
      <c r="U372" s="248">
        <f t="shared" si="36"/>
        <v>-18.258500000000002</v>
      </c>
      <c r="V372" s="248">
        <f t="shared" si="37"/>
        <v>-355.60850000000005</v>
      </c>
      <c r="W372" s="248">
        <f t="shared" si="38"/>
        <v>377.74</v>
      </c>
      <c r="X372" s="248">
        <f t="shared" si="39"/>
        <v>3.8729999999999336</v>
      </c>
      <c r="Y372" s="248">
        <f t="shared" ca="1" si="35"/>
        <v>13.385727699892982</v>
      </c>
      <c r="Z372" s="248">
        <f t="shared" ca="1" si="40"/>
        <v>5.4128289443844091</v>
      </c>
      <c r="AA372" s="250">
        <f t="shared" ca="1" si="41"/>
        <v>541.28289443844096</v>
      </c>
    </row>
    <row r="373" spans="5:27" x14ac:dyDescent="0.3">
      <c r="E373" s="241"/>
      <c r="F373" s="241"/>
      <c r="T373" s="254">
        <v>361</v>
      </c>
      <c r="U373" s="248">
        <f t="shared" si="36"/>
        <v>-18.258500000000002</v>
      </c>
      <c r="V373" s="248">
        <f t="shared" si="37"/>
        <v>-354.60850000000005</v>
      </c>
      <c r="W373" s="248">
        <f t="shared" si="38"/>
        <v>376.74</v>
      </c>
      <c r="X373" s="248">
        <f t="shared" si="39"/>
        <v>3.8729999999999336</v>
      </c>
      <c r="Y373" s="248">
        <f t="shared" ca="1" si="35"/>
        <v>13.385727699892982</v>
      </c>
      <c r="Z373" s="248">
        <f t="shared" ca="1" si="40"/>
        <v>5.4128289443844091</v>
      </c>
      <c r="AA373" s="250">
        <f t="shared" ca="1" si="41"/>
        <v>541.28289443844096</v>
      </c>
    </row>
    <row r="374" spans="5:27" x14ac:dyDescent="0.3">
      <c r="E374" s="241"/>
      <c r="F374" s="241"/>
      <c r="T374" s="254">
        <v>362</v>
      </c>
      <c r="U374" s="248">
        <f t="shared" si="36"/>
        <v>-18.258500000000002</v>
      </c>
      <c r="V374" s="248">
        <f t="shared" si="37"/>
        <v>-353.60850000000005</v>
      </c>
      <c r="W374" s="248">
        <f t="shared" si="38"/>
        <v>375.74</v>
      </c>
      <c r="X374" s="248">
        <f t="shared" si="39"/>
        <v>3.8729999999999336</v>
      </c>
      <c r="Y374" s="248">
        <f t="shared" ca="1" si="35"/>
        <v>13.385727699892982</v>
      </c>
      <c r="Z374" s="248">
        <f t="shared" ca="1" si="40"/>
        <v>5.4128289443844091</v>
      </c>
      <c r="AA374" s="250">
        <f t="shared" ca="1" si="41"/>
        <v>541.28289443844096</v>
      </c>
    </row>
    <row r="375" spans="5:27" x14ac:dyDescent="0.3">
      <c r="E375" s="241"/>
      <c r="F375" s="241"/>
      <c r="T375" s="254">
        <v>363</v>
      </c>
      <c r="U375" s="248">
        <f t="shared" si="36"/>
        <v>-18.258500000000002</v>
      </c>
      <c r="V375" s="248">
        <f t="shared" si="37"/>
        <v>-352.60850000000005</v>
      </c>
      <c r="W375" s="248">
        <f t="shared" si="38"/>
        <v>374.74</v>
      </c>
      <c r="X375" s="248">
        <f t="shared" si="39"/>
        <v>3.8729999999999336</v>
      </c>
      <c r="Y375" s="248">
        <f t="shared" ca="1" si="35"/>
        <v>13.385727699892982</v>
      </c>
      <c r="Z375" s="248">
        <f t="shared" ca="1" si="40"/>
        <v>5.4128289443844091</v>
      </c>
      <c r="AA375" s="250">
        <f t="shared" ca="1" si="41"/>
        <v>541.28289443844096</v>
      </c>
    </row>
    <row r="376" spans="5:27" x14ac:dyDescent="0.3">
      <c r="E376" s="241"/>
      <c r="F376" s="241"/>
      <c r="T376" s="254">
        <v>364</v>
      </c>
      <c r="U376" s="248">
        <f t="shared" si="36"/>
        <v>-18.258500000000002</v>
      </c>
      <c r="V376" s="248">
        <f t="shared" si="37"/>
        <v>-351.60850000000005</v>
      </c>
      <c r="W376" s="248">
        <f t="shared" si="38"/>
        <v>373.74</v>
      </c>
      <c r="X376" s="248">
        <f t="shared" si="39"/>
        <v>3.8729999999999336</v>
      </c>
      <c r="Y376" s="248">
        <f t="shared" ca="1" si="35"/>
        <v>13.385727699892982</v>
      </c>
      <c r="Z376" s="248">
        <f t="shared" ca="1" si="40"/>
        <v>5.4128289443844091</v>
      </c>
      <c r="AA376" s="250">
        <f t="shared" ca="1" si="41"/>
        <v>541.28289443844096</v>
      </c>
    </row>
    <row r="377" spans="5:27" x14ac:dyDescent="0.3">
      <c r="E377" s="241"/>
      <c r="F377" s="241"/>
      <c r="T377" s="254">
        <v>365</v>
      </c>
      <c r="U377" s="248">
        <f t="shared" si="36"/>
        <v>-18.258500000000002</v>
      </c>
      <c r="V377" s="248">
        <f t="shared" si="37"/>
        <v>-350.60850000000005</v>
      </c>
      <c r="W377" s="248">
        <f t="shared" si="38"/>
        <v>372.74</v>
      </c>
      <c r="X377" s="248">
        <f t="shared" si="39"/>
        <v>3.8729999999999336</v>
      </c>
      <c r="Y377" s="248">
        <f t="shared" ca="1" si="35"/>
        <v>13.385727699892982</v>
      </c>
      <c r="Z377" s="248">
        <f t="shared" ca="1" si="40"/>
        <v>5.4128289443844091</v>
      </c>
      <c r="AA377" s="250">
        <f t="shared" ca="1" si="41"/>
        <v>541.28289443844096</v>
      </c>
    </row>
    <row r="378" spans="5:27" x14ac:dyDescent="0.3">
      <c r="E378" s="241"/>
      <c r="F378" s="241"/>
      <c r="T378" s="254">
        <v>366</v>
      </c>
      <c r="U378" s="248">
        <f t="shared" si="36"/>
        <v>-18.258500000000002</v>
      </c>
      <c r="V378" s="248">
        <f t="shared" si="37"/>
        <v>-349.60850000000005</v>
      </c>
      <c r="W378" s="248">
        <f t="shared" si="38"/>
        <v>371.74</v>
      </c>
      <c r="X378" s="248">
        <f t="shared" si="39"/>
        <v>3.8729999999999336</v>
      </c>
      <c r="Y378" s="248">
        <f t="shared" ca="1" si="35"/>
        <v>13.385727699892982</v>
      </c>
      <c r="Z378" s="248">
        <f t="shared" ca="1" si="40"/>
        <v>5.4128289443844091</v>
      </c>
      <c r="AA378" s="250">
        <f t="shared" ca="1" si="41"/>
        <v>541.28289443844096</v>
      </c>
    </row>
    <row r="379" spans="5:27" x14ac:dyDescent="0.3">
      <c r="E379" s="241"/>
      <c r="F379" s="241"/>
      <c r="T379" s="254">
        <v>367</v>
      </c>
      <c r="U379" s="248">
        <f t="shared" si="36"/>
        <v>-18.258500000000002</v>
      </c>
      <c r="V379" s="248">
        <f t="shared" si="37"/>
        <v>-348.60850000000005</v>
      </c>
      <c r="W379" s="248">
        <f t="shared" si="38"/>
        <v>370.74</v>
      </c>
      <c r="X379" s="248">
        <f t="shared" si="39"/>
        <v>3.8729999999999336</v>
      </c>
      <c r="Y379" s="248">
        <f t="shared" ca="1" si="35"/>
        <v>13.385727699892982</v>
      </c>
      <c r="Z379" s="248">
        <f t="shared" ca="1" si="40"/>
        <v>5.4128289443844091</v>
      </c>
      <c r="AA379" s="250">
        <f t="shared" ca="1" si="41"/>
        <v>541.28289443844096</v>
      </c>
    </row>
    <row r="380" spans="5:27" x14ac:dyDescent="0.3">
      <c r="E380" s="241"/>
      <c r="F380" s="241"/>
      <c r="T380" s="254">
        <v>368</v>
      </c>
      <c r="U380" s="248">
        <f t="shared" si="36"/>
        <v>-18.258500000000002</v>
      </c>
      <c r="V380" s="248">
        <f t="shared" si="37"/>
        <v>-347.60850000000005</v>
      </c>
      <c r="W380" s="248">
        <f t="shared" si="38"/>
        <v>369.74</v>
      </c>
      <c r="X380" s="248">
        <f t="shared" si="39"/>
        <v>3.8729999999999336</v>
      </c>
      <c r="Y380" s="248">
        <f t="shared" ca="1" si="35"/>
        <v>13.385727699892982</v>
      </c>
      <c r="Z380" s="248">
        <f t="shared" ca="1" si="40"/>
        <v>5.4128289443844091</v>
      </c>
      <c r="AA380" s="250">
        <f t="shared" ca="1" si="41"/>
        <v>541.28289443844096</v>
      </c>
    </row>
    <row r="381" spans="5:27" x14ac:dyDescent="0.3">
      <c r="E381" s="241"/>
      <c r="F381" s="241"/>
      <c r="T381" s="254">
        <v>369</v>
      </c>
      <c r="U381" s="248">
        <f t="shared" si="36"/>
        <v>-18.258500000000002</v>
      </c>
      <c r="V381" s="248">
        <f t="shared" si="37"/>
        <v>-346.60850000000005</v>
      </c>
      <c r="W381" s="248">
        <f t="shared" si="38"/>
        <v>368.74</v>
      </c>
      <c r="X381" s="248">
        <f t="shared" si="39"/>
        <v>3.8729999999999336</v>
      </c>
      <c r="Y381" s="248">
        <f t="shared" ca="1" si="35"/>
        <v>13.385727699892982</v>
      </c>
      <c r="Z381" s="248">
        <f t="shared" ca="1" si="40"/>
        <v>5.4128289443844091</v>
      </c>
      <c r="AA381" s="250">
        <f t="shared" ca="1" si="41"/>
        <v>541.28289443844096</v>
      </c>
    </row>
    <row r="382" spans="5:27" x14ac:dyDescent="0.3">
      <c r="E382" s="241"/>
      <c r="F382" s="241"/>
      <c r="T382" s="254">
        <v>370</v>
      </c>
      <c r="U382" s="248">
        <f t="shared" si="36"/>
        <v>-18.258500000000002</v>
      </c>
      <c r="V382" s="248">
        <f t="shared" si="37"/>
        <v>-345.60850000000005</v>
      </c>
      <c r="W382" s="248">
        <f t="shared" si="38"/>
        <v>367.74</v>
      </c>
      <c r="X382" s="248">
        <f t="shared" si="39"/>
        <v>3.8729999999999336</v>
      </c>
      <c r="Y382" s="248">
        <f t="shared" ca="1" si="35"/>
        <v>13.385727699892982</v>
      </c>
      <c r="Z382" s="248">
        <f t="shared" ca="1" si="40"/>
        <v>5.4128289443844091</v>
      </c>
      <c r="AA382" s="250">
        <f t="shared" ca="1" si="41"/>
        <v>541.28289443844096</v>
      </c>
    </row>
    <row r="383" spans="5:27" x14ac:dyDescent="0.3">
      <c r="E383" s="241"/>
      <c r="F383" s="241"/>
      <c r="T383" s="254">
        <v>371</v>
      </c>
      <c r="U383" s="248">
        <f t="shared" si="36"/>
        <v>-18.258500000000002</v>
      </c>
      <c r="V383" s="248">
        <f t="shared" si="37"/>
        <v>-344.60850000000005</v>
      </c>
      <c r="W383" s="248">
        <f t="shared" si="38"/>
        <v>366.74</v>
      </c>
      <c r="X383" s="248">
        <f t="shared" si="39"/>
        <v>3.8729999999999336</v>
      </c>
      <c r="Y383" s="248">
        <f t="shared" ca="1" si="35"/>
        <v>13.385727699892982</v>
      </c>
      <c r="Z383" s="248">
        <f t="shared" ca="1" si="40"/>
        <v>5.4128289443844091</v>
      </c>
      <c r="AA383" s="250">
        <f t="shared" ca="1" si="41"/>
        <v>541.28289443844096</v>
      </c>
    </row>
    <row r="384" spans="5:27" x14ac:dyDescent="0.3">
      <c r="E384" s="241"/>
      <c r="F384" s="241"/>
      <c r="T384" s="254">
        <v>372</v>
      </c>
      <c r="U384" s="248">
        <f t="shared" si="36"/>
        <v>-18.258500000000002</v>
      </c>
      <c r="V384" s="248">
        <f t="shared" si="37"/>
        <v>-343.60850000000005</v>
      </c>
      <c r="W384" s="248">
        <f t="shared" si="38"/>
        <v>365.74</v>
      </c>
      <c r="X384" s="248">
        <f t="shared" si="39"/>
        <v>3.8729999999999336</v>
      </c>
      <c r="Y384" s="248">
        <f t="shared" ca="1" si="35"/>
        <v>13.385727699892982</v>
      </c>
      <c r="Z384" s="248">
        <f t="shared" ca="1" si="40"/>
        <v>5.4128289443844091</v>
      </c>
      <c r="AA384" s="250">
        <f t="shared" ca="1" si="41"/>
        <v>541.28289443844096</v>
      </c>
    </row>
    <row r="385" spans="5:27" x14ac:dyDescent="0.3">
      <c r="E385" s="241"/>
      <c r="F385" s="241"/>
      <c r="T385" s="254">
        <v>373</v>
      </c>
      <c r="U385" s="248">
        <f t="shared" si="36"/>
        <v>-18.258500000000002</v>
      </c>
      <c r="V385" s="248">
        <f t="shared" si="37"/>
        <v>-342.60850000000005</v>
      </c>
      <c r="W385" s="248">
        <f t="shared" si="38"/>
        <v>364.74</v>
      </c>
      <c r="X385" s="248">
        <f t="shared" si="39"/>
        <v>3.8729999999999336</v>
      </c>
      <c r="Y385" s="248">
        <f t="shared" ca="1" si="35"/>
        <v>13.385727699892982</v>
      </c>
      <c r="Z385" s="248">
        <f t="shared" ca="1" si="40"/>
        <v>5.4128289443844091</v>
      </c>
      <c r="AA385" s="250">
        <f t="shared" ca="1" si="41"/>
        <v>541.28289443844096</v>
      </c>
    </row>
    <row r="386" spans="5:27" x14ac:dyDescent="0.3">
      <c r="E386" s="241"/>
      <c r="F386" s="241"/>
      <c r="T386" s="254">
        <v>374</v>
      </c>
      <c r="U386" s="248">
        <f t="shared" si="36"/>
        <v>-18.258500000000002</v>
      </c>
      <c r="V386" s="248">
        <f t="shared" si="37"/>
        <v>-341.60850000000005</v>
      </c>
      <c r="W386" s="248">
        <f t="shared" si="38"/>
        <v>363.74</v>
      </c>
      <c r="X386" s="248">
        <f t="shared" si="39"/>
        <v>3.8729999999999336</v>
      </c>
      <c r="Y386" s="248">
        <f t="shared" ca="1" si="35"/>
        <v>13.385727699892982</v>
      </c>
      <c r="Z386" s="248">
        <f t="shared" ca="1" si="40"/>
        <v>5.4128289443844091</v>
      </c>
      <c r="AA386" s="250">
        <f t="shared" ca="1" si="41"/>
        <v>541.28289443844096</v>
      </c>
    </row>
    <row r="387" spans="5:27" x14ac:dyDescent="0.3">
      <c r="E387" s="241"/>
      <c r="F387" s="241"/>
      <c r="T387" s="254">
        <v>375</v>
      </c>
      <c r="U387" s="248">
        <f t="shared" si="36"/>
        <v>-18.258500000000002</v>
      </c>
      <c r="V387" s="248">
        <f t="shared" si="37"/>
        <v>-340.60850000000005</v>
      </c>
      <c r="W387" s="248">
        <f t="shared" si="38"/>
        <v>362.74</v>
      </c>
      <c r="X387" s="248">
        <f t="shared" si="39"/>
        <v>3.8729999999999336</v>
      </c>
      <c r="Y387" s="248">
        <f t="shared" ca="1" si="35"/>
        <v>13.385727699892982</v>
      </c>
      <c r="Z387" s="248">
        <f t="shared" ca="1" si="40"/>
        <v>5.4128289443844091</v>
      </c>
      <c r="AA387" s="250">
        <f t="shared" ca="1" si="41"/>
        <v>541.28289443844096</v>
      </c>
    </row>
    <row r="388" spans="5:27" x14ac:dyDescent="0.3">
      <c r="E388" s="241"/>
      <c r="F388" s="241"/>
      <c r="T388" s="254">
        <v>376</v>
      </c>
      <c r="U388" s="248">
        <f t="shared" si="36"/>
        <v>-18.258500000000002</v>
      </c>
      <c r="V388" s="248">
        <f t="shared" si="37"/>
        <v>-339.60850000000005</v>
      </c>
      <c r="W388" s="248">
        <f t="shared" si="38"/>
        <v>361.74</v>
      </c>
      <c r="X388" s="248">
        <f t="shared" si="39"/>
        <v>3.8729999999999336</v>
      </c>
      <c r="Y388" s="248">
        <f t="shared" ca="1" si="35"/>
        <v>13.385727699892982</v>
      </c>
      <c r="Z388" s="248">
        <f t="shared" ca="1" si="40"/>
        <v>5.4128289443844091</v>
      </c>
      <c r="AA388" s="250">
        <f t="shared" ca="1" si="41"/>
        <v>541.28289443844096</v>
      </c>
    </row>
    <row r="389" spans="5:27" x14ac:dyDescent="0.3">
      <c r="E389" s="241"/>
      <c r="F389" s="241"/>
      <c r="T389" s="254">
        <v>377</v>
      </c>
      <c r="U389" s="248">
        <f t="shared" si="36"/>
        <v>-18.258500000000002</v>
      </c>
      <c r="V389" s="248">
        <f t="shared" si="37"/>
        <v>-338.60850000000005</v>
      </c>
      <c r="W389" s="248">
        <f t="shared" si="38"/>
        <v>360.74</v>
      </c>
      <c r="X389" s="248">
        <f t="shared" si="39"/>
        <v>3.8729999999999336</v>
      </c>
      <c r="Y389" s="248">
        <f t="shared" ca="1" si="35"/>
        <v>13.385727699892982</v>
      </c>
      <c r="Z389" s="248">
        <f t="shared" ca="1" si="40"/>
        <v>5.4128289443844091</v>
      </c>
      <c r="AA389" s="250">
        <f t="shared" ca="1" si="41"/>
        <v>541.28289443844096</v>
      </c>
    </row>
    <row r="390" spans="5:27" x14ac:dyDescent="0.3">
      <c r="E390" s="241"/>
      <c r="F390" s="241"/>
      <c r="T390" s="254">
        <v>378</v>
      </c>
      <c r="U390" s="248">
        <f t="shared" si="36"/>
        <v>-18.258500000000002</v>
      </c>
      <c r="V390" s="248">
        <f t="shared" si="37"/>
        <v>-337.60850000000005</v>
      </c>
      <c r="W390" s="248">
        <f t="shared" si="38"/>
        <v>359.74</v>
      </c>
      <c r="X390" s="248">
        <f t="shared" si="39"/>
        <v>3.8729999999999336</v>
      </c>
      <c r="Y390" s="248">
        <f t="shared" ca="1" si="35"/>
        <v>13.385727699892982</v>
      </c>
      <c r="Z390" s="248">
        <f t="shared" ca="1" si="40"/>
        <v>5.4128289443844091</v>
      </c>
      <c r="AA390" s="250">
        <f t="shared" ca="1" si="41"/>
        <v>541.28289443844096</v>
      </c>
    </row>
    <row r="391" spans="5:27" x14ac:dyDescent="0.3">
      <c r="E391" s="241"/>
      <c r="F391" s="241"/>
      <c r="T391" s="254">
        <v>379</v>
      </c>
      <c r="U391" s="248">
        <f t="shared" si="36"/>
        <v>-18.258500000000002</v>
      </c>
      <c r="V391" s="248">
        <f t="shared" si="37"/>
        <v>-336.60850000000005</v>
      </c>
      <c r="W391" s="248">
        <f t="shared" si="38"/>
        <v>358.74</v>
      </c>
      <c r="X391" s="248">
        <f t="shared" si="39"/>
        <v>3.8729999999999336</v>
      </c>
      <c r="Y391" s="248">
        <f t="shared" ca="1" si="35"/>
        <v>13.385727699892982</v>
      </c>
      <c r="Z391" s="248">
        <f t="shared" ca="1" si="40"/>
        <v>5.4128289443844091</v>
      </c>
      <c r="AA391" s="250">
        <f t="shared" ca="1" si="41"/>
        <v>541.28289443844096</v>
      </c>
    </row>
    <row r="392" spans="5:27" x14ac:dyDescent="0.3">
      <c r="E392" s="241"/>
      <c r="F392" s="241"/>
      <c r="T392" s="254">
        <v>380</v>
      </c>
      <c r="U392" s="248">
        <f t="shared" si="36"/>
        <v>-18.258500000000002</v>
      </c>
      <c r="V392" s="248">
        <f t="shared" si="37"/>
        <v>-335.60850000000005</v>
      </c>
      <c r="W392" s="248">
        <f t="shared" si="38"/>
        <v>357.74</v>
      </c>
      <c r="X392" s="248">
        <f t="shared" si="39"/>
        <v>3.8729999999999336</v>
      </c>
      <c r="Y392" s="248">
        <f t="shared" ca="1" si="35"/>
        <v>13.385727699892982</v>
      </c>
      <c r="Z392" s="248">
        <f t="shared" ca="1" si="40"/>
        <v>5.4128289443844091</v>
      </c>
      <c r="AA392" s="250">
        <f t="shared" ca="1" si="41"/>
        <v>541.28289443844096</v>
      </c>
    </row>
    <row r="393" spans="5:27" x14ac:dyDescent="0.3">
      <c r="E393" s="241"/>
      <c r="F393" s="241"/>
      <c r="T393" s="254">
        <v>381</v>
      </c>
      <c r="U393" s="248">
        <f t="shared" si="36"/>
        <v>-18.258500000000002</v>
      </c>
      <c r="V393" s="248">
        <f t="shared" si="37"/>
        <v>-334.60850000000005</v>
      </c>
      <c r="W393" s="248">
        <f t="shared" si="38"/>
        <v>356.74</v>
      </c>
      <c r="X393" s="248">
        <f t="shared" si="39"/>
        <v>3.8729999999999336</v>
      </c>
      <c r="Y393" s="248">
        <f t="shared" ca="1" si="35"/>
        <v>13.385727699892982</v>
      </c>
      <c r="Z393" s="248">
        <f t="shared" ca="1" si="40"/>
        <v>5.4128289443844091</v>
      </c>
      <c r="AA393" s="250">
        <f t="shared" ca="1" si="41"/>
        <v>541.28289443844096</v>
      </c>
    </row>
    <row r="394" spans="5:27" x14ac:dyDescent="0.3">
      <c r="E394" s="241"/>
      <c r="F394" s="241"/>
      <c r="T394" s="254">
        <v>382</v>
      </c>
      <c r="U394" s="248">
        <f t="shared" si="36"/>
        <v>-18.258500000000002</v>
      </c>
      <c r="V394" s="248">
        <f t="shared" si="37"/>
        <v>-333.60850000000005</v>
      </c>
      <c r="W394" s="248">
        <f t="shared" si="38"/>
        <v>355.74</v>
      </c>
      <c r="X394" s="248">
        <f t="shared" si="39"/>
        <v>3.8729999999999336</v>
      </c>
      <c r="Y394" s="248">
        <f t="shared" ca="1" si="35"/>
        <v>13.385727699892982</v>
      </c>
      <c r="Z394" s="248">
        <f t="shared" ca="1" si="40"/>
        <v>5.4128289443844091</v>
      </c>
      <c r="AA394" s="250">
        <f t="shared" ca="1" si="41"/>
        <v>541.28289443844096</v>
      </c>
    </row>
    <row r="395" spans="5:27" x14ac:dyDescent="0.3">
      <c r="E395" s="241"/>
      <c r="F395" s="241"/>
      <c r="T395" s="254">
        <v>383</v>
      </c>
      <c r="U395" s="248">
        <f t="shared" si="36"/>
        <v>-18.258500000000002</v>
      </c>
      <c r="V395" s="248">
        <f t="shared" si="37"/>
        <v>-332.60850000000005</v>
      </c>
      <c r="W395" s="248">
        <f t="shared" si="38"/>
        <v>354.74</v>
      </c>
      <c r="X395" s="248">
        <f t="shared" si="39"/>
        <v>3.8729999999999336</v>
      </c>
      <c r="Y395" s="248">
        <f t="shared" ca="1" si="35"/>
        <v>13.385727699892982</v>
      </c>
      <c r="Z395" s="248">
        <f t="shared" ca="1" si="40"/>
        <v>5.4128289443844091</v>
      </c>
      <c r="AA395" s="250">
        <f t="shared" ca="1" si="41"/>
        <v>541.28289443844096</v>
      </c>
    </row>
    <row r="396" spans="5:27" x14ac:dyDescent="0.3">
      <c r="E396" s="241"/>
      <c r="F396" s="241"/>
      <c r="T396" s="254">
        <v>384</v>
      </c>
      <c r="U396" s="248">
        <f t="shared" si="36"/>
        <v>-18.258500000000002</v>
      </c>
      <c r="V396" s="248">
        <f t="shared" si="37"/>
        <v>-331.60850000000005</v>
      </c>
      <c r="W396" s="248">
        <f t="shared" si="38"/>
        <v>353.74</v>
      </c>
      <c r="X396" s="248">
        <f t="shared" si="39"/>
        <v>3.8729999999999336</v>
      </c>
      <c r="Y396" s="248">
        <f t="shared" ref="Y396:Y459" ca="1" si="42">$Y$10*EXP($Y$7*$C$6)-$Y$10</f>
        <v>13.385727699892982</v>
      </c>
      <c r="Z396" s="248">
        <f t="shared" ca="1" si="40"/>
        <v>5.4128289443844091</v>
      </c>
      <c r="AA396" s="250">
        <f t="shared" ca="1" si="41"/>
        <v>541.28289443844096</v>
      </c>
    </row>
    <row r="397" spans="5:27" x14ac:dyDescent="0.3">
      <c r="E397" s="241"/>
      <c r="F397" s="241"/>
      <c r="T397" s="254">
        <v>385</v>
      </c>
      <c r="U397" s="248">
        <f t="shared" ref="U397:U460" si="43">MAX(0,T397-$U$9)-$U$10-$U$11/100</f>
        <v>-18.258500000000002</v>
      </c>
      <c r="V397" s="248">
        <f t="shared" ref="V397:V460" si="44">$V$10-MAX(0,$V$9-T397)-$V$11/100</f>
        <v>-330.60850000000005</v>
      </c>
      <c r="W397" s="248">
        <f t="shared" ref="W397:W460" si="45">$W$10-T397</f>
        <v>352.74</v>
      </c>
      <c r="X397" s="248">
        <f t="shared" ref="X397:X460" si="46">SUM(U397:W397)</f>
        <v>3.8729999999999336</v>
      </c>
      <c r="Y397" s="248">
        <f t="shared" ca="1" si="42"/>
        <v>13.385727699892982</v>
      </c>
      <c r="Z397" s="248">
        <f t="shared" ref="Z397:Z460" ca="1" si="47">EXP(-$E$3*$C$6)*SUM(X397:Y397)</f>
        <v>5.4128289443844091</v>
      </c>
      <c r="AA397" s="250">
        <f t="shared" ref="AA397:AA460" ca="1" si="48">Z397*100</f>
        <v>541.28289443844096</v>
      </c>
    </row>
    <row r="398" spans="5:27" x14ac:dyDescent="0.3">
      <c r="E398" s="241"/>
      <c r="F398" s="241"/>
      <c r="T398" s="254">
        <v>386</v>
      </c>
      <c r="U398" s="248">
        <f t="shared" si="43"/>
        <v>-18.258500000000002</v>
      </c>
      <c r="V398" s="248">
        <f t="shared" si="44"/>
        <v>-329.60850000000005</v>
      </c>
      <c r="W398" s="248">
        <f t="shared" si="45"/>
        <v>351.74</v>
      </c>
      <c r="X398" s="248">
        <f t="shared" si="46"/>
        <v>3.8729999999999336</v>
      </c>
      <c r="Y398" s="248">
        <f t="shared" ca="1" si="42"/>
        <v>13.385727699892982</v>
      </c>
      <c r="Z398" s="248">
        <f t="shared" ca="1" si="47"/>
        <v>5.4128289443844091</v>
      </c>
      <c r="AA398" s="250">
        <f t="shared" ca="1" si="48"/>
        <v>541.28289443844096</v>
      </c>
    </row>
    <row r="399" spans="5:27" x14ac:dyDescent="0.3">
      <c r="E399" s="241"/>
      <c r="F399" s="241"/>
      <c r="T399" s="254">
        <v>387</v>
      </c>
      <c r="U399" s="248">
        <f t="shared" si="43"/>
        <v>-18.258500000000002</v>
      </c>
      <c r="V399" s="248">
        <f t="shared" si="44"/>
        <v>-328.60850000000005</v>
      </c>
      <c r="W399" s="248">
        <f t="shared" si="45"/>
        <v>350.74</v>
      </c>
      <c r="X399" s="248">
        <f t="shared" si="46"/>
        <v>3.8729999999999336</v>
      </c>
      <c r="Y399" s="248">
        <f t="shared" ca="1" si="42"/>
        <v>13.385727699892982</v>
      </c>
      <c r="Z399" s="248">
        <f t="shared" ca="1" si="47"/>
        <v>5.4128289443844091</v>
      </c>
      <c r="AA399" s="250">
        <f t="shared" ca="1" si="48"/>
        <v>541.28289443844096</v>
      </c>
    </row>
    <row r="400" spans="5:27" x14ac:dyDescent="0.3">
      <c r="E400" s="241"/>
      <c r="F400" s="241"/>
      <c r="T400" s="254">
        <v>388</v>
      </c>
      <c r="U400" s="248">
        <f t="shared" si="43"/>
        <v>-18.258500000000002</v>
      </c>
      <c r="V400" s="248">
        <f t="shared" si="44"/>
        <v>-327.60850000000005</v>
      </c>
      <c r="W400" s="248">
        <f t="shared" si="45"/>
        <v>349.74</v>
      </c>
      <c r="X400" s="248">
        <f t="shared" si="46"/>
        <v>3.8729999999999336</v>
      </c>
      <c r="Y400" s="248">
        <f t="shared" ca="1" si="42"/>
        <v>13.385727699892982</v>
      </c>
      <c r="Z400" s="248">
        <f t="shared" ca="1" si="47"/>
        <v>5.4128289443844091</v>
      </c>
      <c r="AA400" s="250">
        <f t="shared" ca="1" si="48"/>
        <v>541.28289443844096</v>
      </c>
    </row>
    <row r="401" spans="5:27" x14ac:dyDescent="0.3">
      <c r="E401" s="241"/>
      <c r="F401" s="241"/>
      <c r="T401" s="254">
        <v>389</v>
      </c>
      <c r="U401" s="248">
        <f t="shared" si="43"/>
        <v>-18.258500000000002</v>
      </c>
      <c r="V401" s="248">
        <f t="shared" si="44"/>
        <v>-326.60850000000005</v>
      </c>
      <c r="W401" s="248">
        <f t="shared" si="45"/>
        <v>348.74</v>
      </c>
      <c r="X401" s="248">
        <f t="shared" si="46"/>
        <v>3.8729999999999336</v>
      </c>
      <c r="Y401" s="248">
        <f t="shared" ca="1" si="42"/>
        <v>13.385727699892982</v>
      </c>
      <c r="Z401" s="248">
        <f t="shared" ca="1" si="47"/>
        <v>5.4128289443844091</v>
      </c>
      <c r="AA401" s="250">
        <f t="shared" ca="1" si="48"/>
        <v>541.28289443844096</v>
      </c>
    </row>
    <row r="402" spans="5:27" x14ac:dyDescent="0.3">
      <c r="E402" s="241"/>
      <c r="F402" s="241"/>
      <c r="T402" s="254">
        <v>390</v>
      </c>
      <c r="U402" s="248">
        <f t="shared" si="43"/>
        <v>-18.258500000000002</v>
      </c>
      <c r="V402" s="248">
        <f t="shared" si="44"/>
        <v>-325.60850000000005</v>
      </c>
      <c r="W402" s="248">
        <f t="shared" si="45"/>
        <v>347.74</v>
      </c>
      <c r="X402" s="248">
        <f t="shared" si="46"/>
        <v>3.8729999999999336</v>
      </c>
      <c r="Y402" s="248">
        <f t="shared" ca="1" si="42"/>
        <v>13.385727699892982</v>
      </c>
      <c r="Z402" s="248">
        <f t="shared" ca="1" si="47"/>
        <v>5.4128289443844091</v>
      </c>
      <c r="AA402" s="250">
        <f t="shared" ca="1" si="48"/>
        <v>541.28289443844096</v>
      </c>
    </row>
    <row r="403" spans="5:27" x14ac:dyDescent="0.3">
      <c r="E403" s="241"/>
      <c r="F403" s="241"/>
      <c r="T403" s="254">
        <v>391</v>
      </c>
      <c r="U403" s="248">
        <f t="shared" si="43"/>
        <v>-18.258500000000002</v>
      </c>
      <c r="V403" s="248">
        <f t="shared" si="44"/>
        <v>-324.60850000000005</v>
      </c>
      <c r="W403" s="248">
        <f t="shared" si="45"/>
        <v>346.74</v>
      </c>
      <c r="X403" s="248">
        <f t="shared" si="46"/>
        <v>3.8729999999999336</v>
      </c>
      <c r="Y403" s="248">
        <f t="shared" ca="1" si="42"/>
        <v>13.385727699892982</v>
      </c>
      <c r="Z403" s="248">
        <f t="shared" ca="1" si="47"/>
        <v>5.4128289443844091</v>
      </c>
      <c r="AA403" s="250">
        <f t="shared" ca="1" si="48"/>
        <v>541.28289443844096</v>
      </c>
    </row>
    <row r="404" spans="5:27" x14ac:dyDescent="0.3">
      <c r="E404" s="241"/>
      <c r="F404" s="241"/>
      <c r="T404" s="254">
        <v>392</v>
      </c>
      <c r="U404" s="248">
        <f t="shared" si="43"/>
        <v>-18.258500000000002</v>
      </c>
      <c r="V404" s="248">
        <f t="shared" si="44"/>
        <v>-323.60850000000005</v>
      </c>
      <c r="W404" s="248">
        <f t="shared" si="45"/>
        <v>345.74</v>
      </c>
      <c r="X404" s="248">
        <f t="shared" si="46"/>
        <v>3.8729999999999336</v>
      </c>
      <c r="Y404" s="248">
        <f t="shared" ca="1" si="42"/>
        <v>13.385727699892982</v>
      </c>
      <c r="Z404" s="248">
        <f t="shared" ca="1" si="47"/>
        <v>5.4128289443844091</v>
      </c>
      <c r="AA404" s="250">
        <f t="shared" ca="1" si="48"/>
        <v>541.28289443844096</v>
      </c>
    </row>
    <row r="405" spans="5:27" x14ac:dyDescent="0.3">
      <c r="E405" s="241"/>
      <c r="F405" s="241"/>
      <c r="T405" s="254">
        <v>393</v>
      </c>
      <c r="U405" s="248">
        <f t="shared" si="43"/>
        <v>-18.258500000000002</v>
      </c>
      <c r="V405" s="248">
        <f t="shared" si="44"/>
        <v>-322.60850000000005</v>
      </c>
      <c r="W405" s="248">
        <f t="shared" si="45"/>
        <v>344.74</v>
      </c>
      <c r="X405" s="248">
        <f t="shared" si="46"/>
        <v>3.8729999999999336</v>
      </c>
      <c r="Y405" s="248">
        <f t="shared" ca="1" si="42"/>
        <v>13.385727699892982</v>
      </c>
      <c r="Z405" s="248">
        <f t="shared" ca="1" si="47"/>
        <v>5.4128289443844091</v>
      </c>
      <c r="AA405" s="250">
        <f t="shared" ca="1" si="48"/>
        <v>541.28289443844096</v>
      </c>
    </row>
    <row r="406" spans="5:27" x14ac:dyDescent="0.3">
      <c r="E406" s="241"/>
      <c r="F406" s="241"/>
      <c r="T406" s="254">
        <v>394</v>
      </c>
      <c r="U406" s="248">
        <f t="shared" si="43"/>
        <v>-18.258500000000002</v>
      </c>
      <c r="V406" s="248">
        <f t="shared" si="44"/>
        <v>-321.60850000000005</v>
      </c>
      <c r="W406" s="248">
        <f t="shared" si="45"/>
        <v>343.74</v>
      </c>
      <c r="X406" s="248">
        <f t="shared" si="46"/>
        <v>3.8729999999999336</v>
      </c>
      <c r="Y406" s="248">
        <f t="shared" ca="1" si="42"/>
        <v>13.385727699892982</v>
      </c>
      <c r="Z406" s="248">
        <f t="shared" ca="1" si="47"/>
        <v>5.4128289443844091</v>
      </c>
      <c r="AA406" s="250">
        <f t="shared" ca="1" si="48"/>
        <v>541.28289443844096</v>
      </c>
    </row>
    <row r="407" spans="5:27" x14ac:dyDescent="0.3">
      <c r="E407" s="241"/>
      <c r="F407" s="241"/>
      <c r="T407" s="254">
        <v>395</v>
      </c>
      <c r="U407" s="248">
        <f t="shared" si="43"/>
        <v>-18.258500000000002</v>
      </c>
      <c r="V407" s="248">
        <f t="shared" si="44"/>
        <v>-320.60850000000005</v>
      </c>
      <c r="W407" s="248">
        <f t="shared" si="45"/>
        <v>342.74</v>
      </c>
      <c r="X407" s="248">
        <f t="shared" si="46"/>
        <v>3.8729999999999336</v>
      </c>
      <c r="Y407" s="248">
        <f t="shared" ca="1" si="42"/>
        <v>13.385727699892982</v>
      </c>
      <c r="Z407" s="248">
        <f t="shared" ca="1" si="47"/>
        <v>5.4128289443844091</v>
      </c>
      <c r="AA407" s="250">
        <f t="shared" ca="1" si="48"/>
        <v>541.28289443844096</v>
      </c>
    </row>
    <row r="408" spans="5:27" x14ac:dyDescent="0.3">
      <c r="E408" s="241"/>
      <c r="F408" s="241"/>
      <c r="T408" s="254">
        <v>396</v>
      </c>
      <c r="U408" s="248">
        <f t="shared" si="43"/>
        <v>-18.258500000000002</v>
      </c>
      <c r="V408" s="248">
        <f t="shared" si="44"/>
        <v>-319.60850000000005</v>
      </c>
      <c r="W408" s="248">
        <f t="shared" si="45"/>
        <v>341.74</v>
      </c>
      <c r="X408" s="248">
        <f t="shared" si="46"/>
        <v>3.8729999999999336</v>
      </c>
      <c r="Y408" s="248">
        <f t="shared" ca="1" si="42"/>
        <v>13.385727699892982</v>
      </c>
      <c r="Z408" s="248">
        <f t="shared" ca="1" si="47"/>
        <v>5.4128289443844091</v>
      </c>
      <c r="AA408" s="250">
        <f t="shared" ca="1" si="48"/>
        <v>541.28289443844096</v>
      </c>
    </row>
    <row r="409" spans="5:27" x14ac:dyDescent="0.3">
      <c r="E409" s="241"/>
      <c r="F409" s="241"/>
      <c r="T409" s="254">
        <v>397</v>
      </c>
      <c r="U409" s="248">
        <f t="shared" si="43"/>
        <v>-18.258500000000002</v>
      </c>
      <c r="V409" s="248">
        <f t="shared" si="44"/>
        <v>-318.60850000000005</v>
      </c>
      <c r="W409" s="248">
        <f t="shared" si="45"/>
        <v>340.74</v>
      </c>
      <c r="X409" s="248">
        <f t="shared" si="46"/>
        <v>3.8729999999999336</v>
      </c>
      <c r="Y409" s="248">
        <f t="shared" ca="1" si="42"/>
        <v>13.385727699892982</v>
      </c>
      <c r="Z409" s="248">
        <f t="shared" ca="1" si="47"/>
        <v>5.4128289443844091</v>
      </c>
      <c r="AA409" s="250">
        <f t="shared" ca="1" si="48"/>
        <v>541.28289443844096</v>
      </c>
    </row>
    <row r="410" spans="5:27" x14ac:dyDescent="0.3">
      <c r="E410" s="241"/>
      <c r="F410" s="241"/>
      <c r="T410" s="254">
        <v>398</v>
      </c>
      <c r="U410" s="248">
        <f t="shared" si="43"/>
        <v>-18.258500000000002</v>
      </c>
      <c r="V410" s="248">
        <f t="shared" si="44"/>
        <v>-317.60850000000005</v>
      </c>
      <c r="W410" s="248">
        <f t="shared" si="45"/>
        <v>339.74</v>
      </c>
      <c r="X410" s="248">
        <f t="shared" si="46"/>
        <v>3.8729999999999336</v>
      </c>
      <c r="Y410" s="248">
        <f t="shared" ca="1" si="42"/>
        <v>13.385727699892982</v>
      </c>
      <c r="Z410" s="248">
        <f t="shared" ca="1" si="47"/>
        <v>5.4128289443844091</v>
      </c>
      <c r="AA410" s="250">
        <f t="shared" ca="1" si="48"/>
        <v>541.28289443844096</v>
      </c>
    </row>
    <row r="411" spans="5:27" x14ac:dyDescent="0.3">
      <c r="E411" s="241"/>
      <c r="F411" s="241"/>
      <c r="T411" s="254">
        <v>399</v>
      </c>
      <c r="U411" s="248">
        <f t="shared" si="43"/>
        <v>-18.258500000000002</v>
      </c>
      <c r="V411" s="248">
        <f t="shared" si="44"/>
        <v>-316.60850000000005</v>
      </c>
      <c r="W411" s="248">
        <f t="shared" si="45"/>
        <v>338.74</v>
      </c>
      <c r="X411" s="248">
        <f t="shared" si="46"/>
        <v>3.8729999999999336</v>
      </c>
      <c r="Y411" s="248">
        <f t="shared" ca="1" si="42"/>
        <v>13.385727699892982</v>
      </c>
      <c r="Z411" s="248">
        <f t="shared" ca="1" si="47"/>
        <v>5.4128289443844091</v>
      </c>
      <c r="AA411" s="250">
        <f t="shared" ca="1" si="48"/>
        <v>541.28289443844096</v>
      </c>
    </row>
    <row r="412" spans="5:27" x14ac:dyDescent="0.3">
      <c r="E412" s="241"/>
      <c r="F412" s="241"/>
      <c r="T412" s="254">
        <v>400</v>
      </c>
      <c r="U412" s="248">
        <f t="shared" si="43"/>
        <v>-18.258500000000002</v>
      </c>
      <c r="V412" s="248">
        <f t="shared" si="44"/>
        <v>-315.60850000000005</v>
      </c>
      <c r="W412" s="248">
        <f t="shared" si="45"/>
        <v>337.74</v>
      </c>
      <c r="X412" s="248">
        <f t="shared" si="46"/>
        <v>3.8729999999999336</v>
      </c>
      <c r="Y412" s="248">
        <f t="shared" ca="1" si="42"/>
        <v>13.385727699892982</v>
      </c>
      <c r="Z412" s="248">
        <f t="shared" ca="1" si="47"/>
        <v>5.4128289443844091</v>
      </c>
      <c r="AA412" s="250">
        <f t="shared" ca="1" si="48"/>
        <v>541.28289443844096</v>
      </c>
    </row>
    <row r="413" spans="5:27" x14ac:dyDescent="0.3">
      <c r="E413" s="241"/>
      <c r="F413" s="241"/>
      <c r="T413" s="254">
        <v>401</v>
      </c>
      <c r="U413" s="248">
        <f t="shared" si="43"/>
        <v>-18.258500000000002</v>
      </c>
      <c r="V413" s="248">
        <f t="shared" si="44"/>
        <v>-314.60850000000005</v>
      </c>
      <c r="W413" s="248">
        <f t="shared" si="45"/>
        <v>336.74</v>
      </c>
      <c r="X413" s="248">
        <f t="shared" si="46"/>
        <v>3.8729999999999336</v>
      </c>
      <c r="Y413" s="248">
        <f t="shared" ca="1" si="42"/>
        <v>13.385727699892982</v>
      </c>
      <c r="Z413" s="248">
        <f t="shared" ca="1" si="47"/>
        <v>5.4128289443844091</v>
      </c>
      <c r="AA413" s="250">
        <f t="shared" ca="1" si="48"/>
        <v>541.28289443844096</v>
      </c>
    </row>
    <row r="414" spans="5:27" x14ac:dyDescent="0.3">
      <c r="E414" s="241"/>
      <c r="F414" s="241"/>
      <c r="T414" s="254">
        <v>402</v>
      </c>
      <c r="U414" s="248">
        <f t="shared" si="43"/>
        <v>-18.258500000000002</v>
      </c>
      <c r="V414" s="248">
        <f t="shared" si="44"/>
        <v>-313.60850000000005</v>
      </c>
      <c r="W414" s="248">
        <f t="shared" si="45"/>
        <v>335.74</v>
      </c>
      <c r="X414" s="248">
        <f t="shared" si="46"/>
        <v>3.8729999999999336</v>
      </c>
      <c r="Y414" s="248">
        <f t="shared" ca="1" si="42"/>
        <v>13.385727699892982</v>
      </c>
      <c r="Z414" s="248">
        <f t="shared" ca="1" si="47"/>
        <v>5.4128289443844091</v>
      </c>
      <c r="AA414" s="250">
        <f t="shared" ca="1" si="48"/>
        <v>541.28289443844096</v>
      </c>
    </row>
    <row r="415" spans="5:27" x14ac:dyDescent="0.3">
      <c r="E415" s="241"/>
      <c r="F415" s="241"/>
      <c r="T415" s="254">
        <v>403</v>
      </c>
      <c r="U415" s="248">
        <f t="shared" si="43"/>
        <v>-18.258500000000002</v>
      </c>
      <c r="V415" s="248">
        <f t="shared" si="44"/>
        <v>-312.60850000000005</v>
      </c>
      <c r="W415" s="248">
        <f t="shared" si="45"/>
        <v>334.74</v>
      </c>
      <c r="X415" s="248">
        <f t="shared" si="46"/>
        <v>3.8729999999999336</v>
      </c>
      <c r="Y415" s="248">
        <f t="shared" ca="1" si="42"/>
        <v>13.385727699892982</v>
      </c>
      <c r="Z415" s="248">
        <f t="shared" ca="1" si="47"/>
        <v>5.4128289443844091</v>
      </c>
      <c r="AA415" s="250">
        <f t="shared" ca="1" si="48"/>
        <v>541.28289443844096</v>
      </c>
    </row>
    <row r="416" spans="5:27" x14ac:dyDescent="0.3">
      <c r="E416" s="241"/>
      <c r="F416" s="241"/>
      <c r="T416" s="254">
        <v>404</v>
      </c>
      <c r="U416" s="248">
        <f t="shared" si="43"/>
        <v>-18.258500000000002</v>
      </c>
      <c r="V416" s="248">
        <f t="shared" si="44"/>
        <v>-311.60850000000005</v>
      </c>
      <c r="W416" s="248">
        <f t="shared" si="45"/>
        <v>333.74</v>
      </c>
      <c r="X416" s="248">
        <f t="shared" si="46"/>
        <v>3.8729999999999336</v>
      </c>
      <c r="Y416" s="248">
        <f t="shared" ca="1" si="42"/>
        <v>13.385727699892982</v>
      </c>
      <c r="Z416" s="248">
        <f t="shared" ca="1" si="47"/>
        <v>5.4128289443844091</v>
      </c>
      <c r="AA416" s="250">
        <f t="shared" ca="1" si="48"/>
        <v>541.28289443844096</v>
      </c>
    </row>
    <row r="417" spans="5:27" x14ac:dyDescent="0.3">
      <c r="E417" s="241"/>
      <c r="F417" s="241"/>
      <c r="T417" s="254">
        <v>405</v>
      </c>
      <c r="U417" s="248">
        <f t="shared" si="43"/>
        <v>-18.258500000000002</v>
      </c>
      <c r="V417" s="248">
        <f t="shared" si="44"/>
        <v>-310.60850000000005</v>
      </c>
      <c r="W417" s="248">
        <f t="shared" si="45"/>
        <v>332.74</v>
      </c>
      <c r="X417" s="248">
        <f t="shared" si="46"/>
        <v>3.8729999999999336</v>
      </c>
      <c r="Y417" s="248">
        <f t="shared" ca="1" si="42"/>
        <v>13.385727699892982</v>
      </c>
      <c r="Z417" s="248">
        <f t="shared" ca="1" si="47"/>
        <v>5.4128289443844091</v>
      </c>
      <c r="AA417" s="250">
        <f t="shared" ca="1" si="48"/>
        <v>541.28289443844096</v>
      </c>
    </row>
    <row r="418" spans="5:27" x14ac:dyDescent="0.3">
      <c r="E418" s="241"/>
      <c r="F418" s="241"/>
      <c r="T418" s="254">
        <v>406</v>
      </c>
      <c r="U418" s="248">
        <f t="shared" si="43"/>
        <v>-18.258500000000002</v>
      </c>
      <c r="V418" s="248">
        <f t="shared" si="44"/>
        <v>-309.60850000000005</v>
      </c>
      <c r="W418" s="248">
        <f t="shared" si="45"/>
        <v>331.74</v>
      </c>
      <c r="X418" s="248">
        <f t="shared" si="46"/>
        <v>3.8729999999999336</v>
      </c>
      <c r="Y418" s="248">
        <f t="shared" ca="1" si="42"/>
        <v>13.385727699892982</v>
      </c>
      <c r="Z418" s="248">
        <f t="shared" ca="1" si="47"/>
        <v>5.4128289443844091</v>
      </c>
      <c r="AA418" s="250">
        <f t="shared" ca="1" si="48"/>
        <v>541.28289443844096</v>
      </c>
    </row>
    <row r="419" spans="5:27" x14ac:dyDescent="0.3">
      <c r="E419" s="241"/>
      <c r="F419" s="241"/>
      <c r="T419" s="254">
        <v>407</v>
      </c>
      <c r="U419" s="248">
        <f t="shared" si="43"/>
        <v>-18.258500000000002</v>
      </c>
      <c r="V419" s="248">
        <f t="shared" si="44"/>
        <v>-308.60850000000005</v>
      </c>
      <c r="W419" s="248">
        <f t="shared" si="45"/>
        <v>330.74</v>
      </c>
      <c r="X419" s="248">
        <f t="shared" si="46"/>
        <v>3.8729999999999336</v>
      </c>
      <c r="Y419" s="248">
        <f t="shared" ca="1" si="42"/>
        <v>13.385727699892982</v>
      </c>
      <c r="Z419" s="248">
        <f t="shared" ca="1" si="47"/>
        <v>5.4128289443844091</v>
      </c>
      <c r="AA419" s="250">
        <f t="shared" ca="1" si="48"/>
        <v>541.28289443844096</v>
      </c>
    </row>
    <row r="420" spans="5:27" x14ac:dyDescent="0.3">
      <c r="E420" s="241"/>
      <c r="F420" s="241"/>
      <c r="T420" s="254">
        <v>408</v>
      </c>
      <c r="U420" s="248">
        <f t="shared" si="43"/>
        <v>-18.258500000000002</v>
      </c>
      <c r="V420" s="248">
        <f t="shared" si="44"/>
        <v>-307.60850000000005</v>
      </c>
      <c r="W420" s="248">
        <f t="shared" si="45"/>
        <v>329.74</v>
      </c>
      <c r="X420" s="248">
        <f t="shared" si="46"/>
        <v>3.8729999999999336</v>
      </c>
      <c r="Y420" s="248">
        <f t="shared" ca="1" si="42"/>
        <v>13.385727699892982</v>
      </c>
      <c r="Z420" s="248">
        <f t="shared" ca="1" si="47"/>
        <v>5.4128289443844091</v>
      </c>
      <c r="AA420" s="250">
        <f t="shared" ca="1" si="48"/>
        <v>541.28289443844096</v>
      </c>
    </row>
    <row r="421" spans="5:27" x14ac:dyDescent="0.3">
      <c r="E421" s="241"/>
      <c r="F421" s="241"/>
      <c r="T421" s="254">
        <v>409</v>
      </c>
      <c r="U421" s="248">
        <f t="shared" si="43"/>
        <v>-18.258500000000002</v>
      </c>
      <c r="V421" s="248">
        <f t="shared" si="44"/>
        <v>-306.60850000000005</v>
      </c>
      <c r="W421" s="248">
        <f t="shared" si="45"/>
        <v>328.74</v>
      </c>
      <c r="X421" s="248">
        <f t="shared" si="46"/>
        <v>3.8729999999999336</v>
      </c>
      <c r="Y421" s="248">
        <f t="shared" ca="1" si="42"/>
        <v>13.385727699892982</v>
      </c>
      <c r="Z421" s="248">
        <f t="shared" ca="1" si="47"/>
        <v>5.4128289443844091</v>
      </c>
      <c r="AA421" s="250">
        <f t="shared" ca="1" si="48"/>
        <v>541.28289443844096</v>
      </c>
    </row>
    <row r="422" spans="5:27" x14ac:dyDescent="0.3">
      <c r="E422" s="241"/>
      <c r="F422" s="241"/>
      <c r="T422" s="254">
        <v>410</v>
      </c>
      <c r="U422" s="248">
        <f t="shared" si="43"/>
        <v>-18.258500000000002</v>
      </c>
      <c r="V422" s="248">
        <f t="shared" si="44"/>
        <v>-305.60850000000005</v>
      </c>
      <c r="W422" s="248">
        <f t="shared" si="45"/>
        <v>327.74</v>
      </c>
      <c r="X422" s="248">
        <f t="shared" si="46"/>
        <v>3.8729999999999336</v>
      </c>
      <c r="Y422" s="248">
        <f t="shared" ca="1" si="42"/>
        <v>13.385727699892982</v>
      </c>
      <c r="Z422" s="248">
        <f t="shared" ca="1" si="47"/>
        <v>5.4128289443844091</v>
      </c>
      <c r="AA422" s="250">
        <f t="shared" ca="1" si="48"/>
        <v>541.28289443844096</v>
      </c>
    </row>
    <row r="423" spans="5:27" x14ac:dyDescent="0.3">
      <c r="E423" s="241"/>
      <c r="F423" s="241"/>
      <c r="T423" s="254">
        <v>411</v>
      </c>
      <c r="U423" s="248">
        <f t="shared" si="43"/>
        <v>-18.258500000000002</v>
      </c>
      <c r="V423" s="248">
        <f t="shared" si="44"/>
        <v>-304.60850000000005</v>
      </c>
      <c r="W423" s="248">
        <f t="shared" si="45"/>
        <v>326.74</v>
      </c>
      <c r="X423" s="248">
        <f t="shared" si="46"/>
        <v>3.8729999999999336</v>
      </c>
      <c r="Y423" s="248">
        <f t="shared" ca="1" si="42"/>
        <v>13.385727699892982</v>
      </c>
      <c r="Z423" s="248">
        <f t="shared" ca="1" si="47"/>
        <v>5.4128289443844091</v>
      </c>
      <c r="AA423" s="250">
        <f t="shared" ca="1" si="48"/>
        <v>541.28289443844096</v>
      </c>
    </row>
    <row r="424" spans="5:27" x14ac:dyDescent="0.3">
      <c r="E424" s="241"/>
      <c r="F424" s="241"/>
      <c r="T424" s="254">
        <v>412</v>
      </c>
      <c r="U424" s="248">
        <f t="shared" si="43"/>
        <v>-18.258500000000002</v>
      </c>
      <c r="V424" s="248">
        <f t="shared" si="44"/>
        <v>-303.60850000000005</v>
      </c>
      <c r="W424" s="248">
        <f t="shared" si="45"/>
        <v>325.74</v>
      </c>
      <c r="X424" s="248">
        <f t="shared" si="46"/>
        <v>3.8729999999999336</v>
      </c>
      <c r="Y424" s="248">
        <f t="shared" ca="1" si="42"/>
        <v>13.385727699892982</v>
      </c>
      <c r="Z424" s="248">
        <f t="shared" ca="1" si="47"/>
        <v>5.4128289443844091</v>
      </c>
      <c r="AA424" s="250">
        <f t="shared" ca="1" si="48"/>
        <v>541.28289443844096</v>
      </c>
    </row>
    <row r="425" spans="5:27" x14ac:dyDescent="0.3">
      <c r="E425" s="241"/>
      <c r="F425" s="241"/>
      <c r="T425" s="254">
        <v>413</v>
      </c>
      <c r="U425" s="248">
        <f t="shared" si="43"/>
        <v>-18.258500000000002</v>
      </c>
      <c r="V425" s="248">
        <f t="shared" si="44"/>
        <v>-302.60850000000005</v>
      </c>
      <c r="W425" s="248">
        <f t="shared" si="45"/>
        <v>324.74</v>
      </c>
      <c r="X425" s="248">
        <f t="shared" si="46"/>
        <v>3.8729999999999336</v>
      </c>
      <c r="Y425" s="248">
        <f t="shared" ca="1" si="42"/>
        <v>13.385727699892982</v>
      </c>
      <c r="Z425" s="248">
        <f t="shared" ca="1" si="47"/>
        <v>5.4128289443844091</v>
      </c>
      <c r="AA425" s="250">
        <f t="shared" ca="1" si="48"/>
        <v>541.28289443844096</v>
      </c>
    </row>
    <row r="426" spans="5:27" x14ac:dyDescent="0.3">
      <c r="E426" s="241"/>
      <c r="F426" s="241"/>
      <c r="T426" s="254">
        <v>414</v>
      </c>
      <c r="U426" s="248">
        <f t="shared" si="43"/>
        <v>-18.258500000000002</v>
      </c>
      <c r="V426" s="248">
        <f t="shared" si="44"/>
        <v>-301.60850000000005</v>
      </c>
      <c r="W426" s="248">
        <f t="shared" si="45"/>
        <v>323.74</v>
      </c>
      <c r="X426" s="248">
        <f t="shared" si="46"/>
        <v>3.8729999999999336</v>
      </c>
      <c r="Y426" s="248">
        <f t="shared" ca="1" si="42"/>
        <v>13.385727699892982</v>
      </c>
      <c r="Z426" s="248">
        <f t="shared" ca="1" si="47"/>
        <v>5.4128289443844091</v>
      </c>
      <c r="AA426" s="250">
        <f t="shared" ca="1" si="48"/>
        <v>541.28289443844096</v>
      </c>
    </row>
    <row r="427" spans="5:27" x14ac:dyDescent="0.3">
      <c r="E427" s="241"/>
      <c r="F427" s="241"/>
      <c r="T427" s="254">
        <v>415</v>
      </c>
      <c r="U427" s="248">
        <f t="shared" si="43"/>
        <v>-18.258500000000002</v>
      </c>
      <c r="V427" s="248">
        <f t="shared" si="44"/>
        <v>-300.60850000000005</v>
      </c>
      <c r="W427" s="248">
        <f t="shared" si="45"/>
        <v>322.74</v>
      </c>
      <c r="X427" s="248">
        <f t="shared" si="46"/>
        <v>3.8729999999999336</v>
      </c>
      <c r="Y427" s="248">
        <f t="shared" ca="1" si="42"/>
        <v>13.385727699892982</v>
      </c>
      <c r="Z427" s="248">
        <f t="shared" ca="1" si="47"/>
        <v>5.4128289443844091</v>
      </c>
      <c r="AA427" s="250">
        <f t="shared" ca="1" si="48"/>
        <v>541.28289443844096</v>
      </c>
    </row>
    <row r="428" spans="5:27" x14ac:dyDescent="0.3">
      <c r="E428" s="241"/>
      <c r="F428" s="241"/>
      <c r="T428" s="254">
        <v>416</v>
      </c>
      <c r="U428" s="248">
        <f t="shared" si="43"/>
        <v>-18.258500000000002</v>
      </c>
      <c r="V428" s="248">
        <f t="shared" si="44"/>
        <v>-299.60850000000005</v>
      </c>
      <c r="W428" s="248">
        <f t="shared" si="45"/>
        <v>321.74</v>
      </c>
      <c r="X428" s="248">
        <f t="shared" si="46"/>
        <v>3.8729999999999336</v>
      </c>
      <c r="Y428" s="248">
        <f t="shared" ca="1" si="42"/>
        <v>13.385727699892982</v>
      </c>
      <c r="Z428" s="248">
        <f t="shared" ca="1" si="47"/>
        <v>5.4128289443844091</v>
      </c>
      <c r="AA428" s="250">
        <f t="shared" ca="1" si="48"/>
        <v>541.28289443844096</v>
      </c>
    </row>
    <row r="429" spans="5:27" x14ac:dyDescent="0.3">
      <c r="E429" s="241"/>
      <c r="F429" s="241"/>
      <c r="T429" s="254">
        <v>417</v>
      </c>
      <c r="U429" s="248">
        <f t="shared" si="43"/>
        <v>-18.258500000000002</v>
      </c>
      <c r="V429" s="248">
        <f t="shared" si="44"/>
        <v>-298.60850000000005</v>
      </c>
      <c r="W429" s="248">
        <f t="shared" si="45"/>
        <v>320.74</v>
      </c>
      <c r="X429" s="248">
        <f t="shared" si="46"/>
        <v>3.8729999999999336</v>
      </c>
      <c r="Y429" s="248">
        <f t="shared" ca="1" si="42"/>
        <v>13.385727699892982</v>
      </c>
      <c r="Z429" s="248">
        <f t="shared" ca="1" si="47"/>
        <v>5.4128289443844091</v>
      </c>
      <c r="AA429" s="250">
        <f t="shared" ca="1" si="48"/>
        <v>541.28289443844096</v>
      </c>
    </row>
    <row r="430" spans="5:27" x14ac:dyDescent="0.3">
      <c r="E430" s="241"/>
      <c r="F430" s="241"/>
      <c r="T430" s="254">
        <v>418</v>
      </c>
      <c r="U430" s="248">
        <f t="shared" si="43"/>
        <v>-18.258500000000002</v>
      </c>
      <c r="V430" s="248">
        <f t="shared" si="44"/>
        <v>-297.60850000000005</v>
      </c>
      <c r="W430" s="248">
        <f t="shared" si="45"/>
        <v>319.74</v>
      </c>
      <c r="X430" s="248">
        <f t="shared" si="46"/>
        <v>3.8729999999999336</v>
      </c>
      <c r="Y430" s="248">
        <f t="shared" ca="1" si="42"/>
        <v>13.385727699892982</v>
      </c>
      <c r="Z430" s="248">
        <f t="shared" ca="1" si="47"/>
        <v>5.4128289443844091</v>
      </c>
      <c r="AA430" s="250">
        <f t="shared" ca="1" si="48"/>
        <v>541.28289443844096</v>
      </c>
    </row>
    <row r="431" spans="5:27" x14ac:dyDescent="0.3">
      <c r="E431" s="241"/>
      <c r="F431" s="241"/>
      <c r="T431" s="254">
        <v>419</v>
      </c>
      <c r="U431" s="248">
        <f t="shared" si="43"/>
        <v>-18.258500000000002</v>
      </c>
      <c r="V431" s="248">
        <f t="shared" si="44"/>
        <v>-296.60850000000005</v>
      </c>
      <c r="W431" s="248">
        <f t="shared" si="45"/>
        <v>318.74</v>
      </c>
      <c r="X431" s="248">
        <f t="shared" si="46"/>
        <v>3.8729999999999336</v>
      </c>
      <c r="Y431" s="248">
        <f t="shared" ca="1" si="42"/>
        <v>13.385727699892982</v>
      </c>
      <c r="Z431" s="248">
        <f t="shared" ca="1" si="47"/>
        <v>5.4128289443844091</v>
      </c>
      <c r="AA431" s="250">
        <f t="shared" ca="1" si="48"/>
        <v>541.28289443844096</v>
      </c>
    </row>
    <row r="432" spans="5:27" x14ac:dyDescent="0.3">
      <c r="E432" s="241"/>
      <c r="F432" s="241"/>
      <c r="T432" s="254">
        <v>420</v>
      </c>
      <c r="U432" s="248">
        <f t="shared" si="43"/>
        <v>-18.258500000000002</v>
      </c>
      <c r="V432" s="248">
        <f t="shared" si="44"/>
        <v>-295.60850000000005</v>
      </c>
      <c r="W432" s="248">
        <f t="shared" si="45"/>
        <v>317.74</v>
      </c>
      <c r="X432" s="248">
        <f t="shared" si="46"/>
        <v>3.8729999999999336</v>
      </c>
      <c r="Y432" s="248">
        <f t="shared" ca="1" si="42"/>
        <v>13.385727699892982</v>
      </c>
      <c r="Z432" s="248">
        <f t="shared" ca="1" si="47"/>
        <v>5.4128289443844091</v>
      </c>
      <c r="AA432" s="250">
        <f t="shared" ca="1" si="48"/>
        <v>541.28289443844096</v>
      </c>
    </row>
    <row r="433" spans="5:27" x14ac:dyDescent="0.3">
      <c r="E433" s="241"/>
      <c r="F433" s="241"/>
      <c r="T433" s="254">
        <v>421</v>
      </c>
      <c r="U433" s="248">
        <f t="shared" si="43"/>
        <v>-18.258500000000002</v>
      </c>
      <c r="V433" s="248">
        <f t="shared" si="44"/>
        <v>-294.60850000000005</v>
      </c>
      <c r="W433" s="248">
        <f t="shared" si="45"/>
        <v>316.74</v>
      </c>
      <c r="X433" s="248">
        <f t="shared" si="46"/>
        <v>3.8729999999999336</v>
      </c>
      <c r="Y433" s="248">
        <f t="shared" ca="1" si="42"/>
        <v>13.385727699892982</v>
      </c>
      <c r="Z433" s="248">
        <f t="shared" ca="1" si="47"/>
        <v>5.4128289443844091</v>
      </c>
      <c r="AA433" s="250">
        <f t="shared" ca="1" si="48"/>
        <v>541.28289443844096</v>
      </c>
    </row>
    <row r="434" spans="5:27" x14ac:dyDescent="0.3">
      <c r="E434" s="241"/>
      <c r="F434" s="241"/>
      <c r="T434" s="254">
        <v>422</v>
      </c>
      <c r="U434" s="248">
        <f t="shared" si="43"/>
        <v>-18.258500000000002</v>
      </c>
      <c r="V434" s="248">
        <f t="shared" si="44"/>
        <v>-293.60850000000005</v>
      </c>
      <c r="W434" s="248">
        <f t="shared" si="45"/>
        <v>315.74</v>
      </c>
      <c r="X434" s="248">
        <f t="shared" si="46"/>
        <v>3.8729999999999336</v>
      </c>
      <c r="Y434" s="248">
        <f t="shared" ca="1" si="42"/>
        <v>13.385727699892982</v>
      </c>
      <c r="Z434" s="248">
        <f t="shared" ca="1" si="47"/>
        <v>5.4128289443844091</v>
      </c>
      <c r="AA434" s="250">
        <f t="shared" ca="1" si="48"/>
        <v>541.28289443844096</v>
      </c>
    </row>
    <row r="435" spans="5:27" x14ac:dyDescent="0.3">
      <c r="E435" s="241"/>
      <c r="F435" s="241"/>
      <c r="T435" s="254">
        <v>423</v>
      </c>
      <c r="U435" s="248">
        <f t="shared" si="43"/>
        <v>-18.258500000000002</v>
      </c>
      <c r="V435" s="248">
        <f t="shared" si="44"/>
        <v>-292.60850000000005</v>
      </c>
      <c r="W435" s="248">
        <f t="shared" si="45"/>
        <v>314.74</v>
      </c>
      <c r="X435" s="248">
        <f t="shared" si="46"/>
        <v>3.8729999999999336</v>
      </c>
      <c r="Y435" s="248">
        <f t="shared" ca="1" si="42"/>
        <v>13.385727699892982</v>
      </c>
      <c r="Z435" s="248">
        <f t="shared" ca="1" si="47"/>
        <v>5.4128289443844091</v>
      </c>
      <c r="AA435" s="250">
        <f t="shared" ca="1" si="48"/>
        <v>541.28289443844096</v>
      </c>
    </row>
    <row r="436" spans="5:27" x14ac:dyDescent="0.3">
      <c r="E436" s="241"/>
      <c r="F436" s="241"/>
      <c r="T436" s="254">
        <v>424</v>
      </c>
      <c r="U436" s="248">
        <f t="shared" si="43"/>
        <v>-18.258500000000002</v>
      </c>
      <c r="V436" s="248">
        <f t="shared" si="44"/>
        <v>-291.60850000000005</v>
      </c>
      <c r="W436" s="248">
        <f t="shared" si="45"/>
        <v>313.74</v>
      </c>
      <c r="X436" s="248">
        <f t="shared" si="46"/>
        <v>3.8729999999999336</v>
      </c>
      <c r="Y436" s="248">
        <f t="shared" ca="1" si="42"/>
        <v>13.385727699892982</v>
      </c>
      <c r="Z436" s="248">
        <f t="shared" ca="1" si="47"/>
        <v>5.4128289443844091</v>
      </c>
      <c r="AA436" s="250">
        <f t="shared" ca="1" si="48"/>
        <v>541.28289443844096</v>
      </c>
    </row>
    <row r="437" spans="5:27" x14ac:dyDescent="0.3">
      <c r="E437" s="241"/>
      <c r="F437" s="241"/>
      <c r="T437" s="254">
        <v>425</v>
      </c>
      <c r="U437" s="248">
        <f t="shared" si="43"/>
        <v>-18.258500000000002</v>
      </c>
      <c r="V437" s="248">
        <f t="shared" si="44"/>
        <v>-290.60850000000005</v>
      </c>
      <c r="W437" s="248">
        <f t="shared" si="45"/>
        <v>312.74</v>
      </c>
      <c r="X437" s="248">
        <f t="shared" si="46"/>
        <v>3.8729999999999336</v>
      </c>
      <c r="Y437" s="248">
        <f t="shared" ca="1" si="42"/>
        <v>13.385727699892982</v>
      </c>
      <c r="Z437" s="248">
        <f t="shared" ca="1" si="47"/>
        <v>5.4128289443844091</v>
      </c>
      <c r="AA437" s="250">
        <f t="shared" ca="1" si="48"/>
        <v>541.28289443844096</v>
      </c>
    </row>
    <row r="438" spans="5:27" x14ac:dyDescent="0.3">
      <c r="E438" s="241"/>
      <c r="F438" s="241"/>
      <c r="T438" s="254">
        <v>426</v>
      </c>
      <c r="U438" s="248">
        <f t="shared" si="43"/>
        <v>-18.258500000000002</v>
      </c>
      <c r="V438" s="248">
        <f t="shared" si="44"/>
        <v>-289.60850000000005</v>
      </c>
      <c r="W438" s="248">
        <f t="shared" si="45"/>
        <v>311.74</v>
      </c>
      <c r="X438" s="248">
        <f t="shared" si="46"/>
        <v>3.8729999999999336</v>
      </c>
      <c r="Y438" s="248">
        <f t="shared" ca="1" si="42"/>
        <v>13.385727699892982</v>
      </c>
      <c r="Z438" s="248">
        <f t="shared" ca="1" si="47"/>
        <v>5.4128289443844091</v>
      </c>
      <c r="AA438" s="250">
        <f t="shared" ca="1" si="48"/>
        <v>541.28289443844096</v>
      </c>
    </row>
    <row r="439" spans="5:27" x14ac:dyDescent="0.3">
      <c r="E439" s="241"/>
      <c r="F439" s="241"/>
      <c r="T439" s="254">
        <v>427</v>
      </c>
      <c r="U439" s="248">
        <f t="shared" si="43"/>
        <v>-18.258500000000002</v>
      </c>
      <c r="V439" s="248">
        <f t="shared" si="44"/>
        <v>-288.60850000000005</v>
      </c>
      <c r="W439" s="248">
        <f t="shared" si="45"/>
        <v>310.74</v>
      </c>
      <c r="X439" s="248">
        <f t="shared" si="46"/>
        <v>3.8729999999999336</v>
      </c>
      <c r="Y439" s="248">
        <f t="shared" ca="1" si="42"/>
        <v>13.385727699892982</v>
      </c>
      <c r="Z439" s="248">
        <f t="shared" ca="1" si="47"/>
        <v>5.4128289443844091</v>
      </c>
      <c r="AA439" s="250">
        <f t="shared" ca="1" si="48"/>
        <v>541.28289443844096</v>
      </c>
    </row>
    <row r="440" spans="5:27" x14ac:dyDescent="0.3">
      <c r="E440" s="241"/>
      <c r="F440" s="241"/>
      <c r="T440" s="254">
        <v>428</v>
      </c>
      <c r="U440" s="248">
        <f t="shared" si="43"/>
        <v>-18.258500000000002</v>
      </c>
      <c r="V440" s="248">
        <f t="shared" si="44"/>
        <v>-287.60850000000005</v>
      </c>
      <c r="W440" s="248">
        <f t="shared" si="45"/>
        <v>309.74</v>
      </c>
      <c r="X440" s="248">
        <f t="shared" si="46"/>
        <v>3.8729999999999336</v>
      </c>
      <c r="Y440" s="248">
        <f t="shared" ca="1" si="42"/>
        <v>13.385727699892982</v>
      </c>
      <c r="Z440" s="248">
        <f t="shared" ca="1" si="47"/>
        <v>5.4128289443844091</v>
      </c>
      <c r="AA440" s="250">
        <f t="shared" ca="1" si="48"/>
        <v>541.28289443844096</v>
      </c>
    </row>
    <row r="441" spans="5:27" x14ac:dyDescent="0.3">
      <c r="E441" s="241"/>
      <c r="F441" s="241"/>
      <c r="T441" s="254">
        <v>429</v>
      </c>
      <c r="U441" s="248">
        <f t="shared" si="43"/>
        <v>-18.258500000000002</v>
      </c>
      <c r="V441" s="248">
        <f t="shared" si="44"/>
        <v>-286.60850000000005</v>
      </c>
      <c r="W441" s="248">
        <f t="shared" si="45"/>
        <v>308.74</v>
      </c>
      <c r="X441" s="248">
        <f t="shared" si="46"/>
        <v>3.8729999999999336</v>
      </c>
      <c r="Y441" s="248">
        <f t="shared" ca="1" si="42"/>
        <v>13.385727699892982</v>
      </c>
      <c r="Z441" s="248">
        <f t="shared" ca="1" si="47"/>
        <v>5.4128289443844091</v>
      </c>
      <c r="AA441" s="250">
        <f t="shared" ca="1" si="48"/>
        <v>541.28289443844096</v>
      </c>
    </row>
    <row r="442" spans="5:27" x14ac:dyDescent="0.3">
      <c r="E442" s="241"/>
      <c r="F442" s="241"/>
      <c r="T442" s="254">
        <v>430</v>
      </c>
      <c r="U442" s="248">
        <f t="shared" si="43"/>
        <v>-18.258500000000002</v>
      </c>
      <c r="V442" s="248">
        <f t="shared" si="44"/>
        <v>-285.60850000000005</v>
      </c>
      <c r="W442" s="248">
        <f t="shared" si="45"/>
        <v>307.74</v>
      </c>
      <c r="X442" s="248">
        <f t="shared" si="46"/>
        <v>3.8729999999999336</v>
      </c>
      <c r="Y442" s="248">
        <f t="shared" ca="1" si="42"/>
        <v>13.385727699892982</v>
      </c>
      <c r="Z442" s="248">
        <f t="shared" ca="1" si="47"/>
        <v>5.4128289443844091</v>
      </c>
      <c r="AA442" s="250">
        <f t="shared" ca="1" si="48"/>
        <v>541.28289443844096</v>
      </c>
    </row>
    <row r="443" spans="5:27" x14ac:dyDescent="0.3">
      <c r="E443" s="241"/>
      <c r="F443" s="241"/>
      <c r="T443" s="254">
        <v>431</v>
      </c>
      <c r="U443" s="248">
        <f t="shared" si="43"/>
        <v>-18.258500000000002</v>
      </c>
      <c r="V443" s="248">
        <f t="shared" si="44"/>
        <v>-284.60850000000005</v>
      </c>
      <c r="W443" s="248">
        <f t="shared" si="45"/>
        <v>306.74</v>
      </c>
      <c r="X443" s="248">
        <f t="shared" si="46"/>
        <v>3.8729999999999336</v>
      </c>
      <c r="Y443" s="248">
        <f t="shared" ca="1" si="42"/>
        <v>13.385727699892982</v>
      </c>
      <c r="Z443" s="248">
        <f t="shared" ca="1" si="47"/>
        <v>5.4128289443844091</v>
      </c>
      <c r="AA443" s="250">
        <f t="shared" ca="1" si="48"/>
        <v>541.28289443844096</v>
      </c>
    </row>
    <row r="444" spans="5:27" x14ac:dyDescent="0.3">
      <c r="E444" s="241"/>
      <c r="F444" s="241"/>
      <c r="T444" s="254">
        <v>432</v>
      </c>
      <c r="U444" s="248">
        <f t="shared" si="43"/>
        <v>-18.258500000000002</v>
      </c>
      <c r="V444" s="248">
        <f t="shared" si="44"/>
        <v>-283.60850000000005</v>
      </c>
      <c r="W444" s="248">
        <f t="shared" si="45"/>
        <v>305.74</v>
      </c>
      <c r="X444" s="248">
        <f t="shared" si="46"/>
        <v>3.8729999999999336</v>
      </c>
      <c r="Y444" s="248">
        <f t="shared" ca="1" si="42"/>
        <v>13.385727699892982</v>
      </c>
      <c r="Z444" s="248">
        <f t="shared" ca="1" si="47"/>
        <v>5.4128289443844091</v>
      </c>
      <c r="AA444" s="250">
        <f t="shared" ca="1" si="48"/>
        <v>541.28289443844096</v>
      </c>
    </row>
    <row r="445" spans="5:27" x14ac:dyDescent="0.3">
      <c r="E445" s="241"/>
      <c r="F445" s="241"/>
      <c r="T445" s="254">
        <v>433</v>
      </c>
      <c r="U445" s="248">
        <f t="shared" si="43"/>
        <v>-18.258500000000002</v>
      </c>
      <c r="V445" s="248">
        <f t="shared" si="44"/>
        <v>-282.60850000000005</v>
      </c>
      <c r="W445" s="248">
        <f t="shared" si="45"/>
        <v>304.74</v>
      </c>
      <c r="X445" s="248">
        <f t="shared" si="46"/>
        <v>3.8729999999999336</v>
      </c>
      <c r="Y445" s="248">
        <f t="shared" ca="1" si="42"/>
        <v>13.385727699892982</v>
      </c>
      <c r="Z445" s="248">
        <f t="shared" ca="1" si="47"/>
        <v>5.4128289443844091</v>
      </c>
      <c r="AA445" s="250">
        <f t="shared" ca="1" si="48"/>
        <v>541.28289443844096</v>
      </c>
    </row>
    <row r="446" spans="5:27" x14ac:dyDescent="0.3">
      <c r="E446" s="241"/>
      <c r="F446" s="241"/>
      <c r="T446" s="254">
        <v>434</v>
      </c>
      <c r="U446" s="248">
        <f t="shared" si="43"/>
        <v>-18.258500000000002</v>
      </c>
      <c r="V446" s="248">
        <f t="shared" si="44"/>
        <v>-281.60850000000005</v>
      </c>
      <c r="W446" s="248">
        <f t="shared" si="45"/>
        <v>303.74</v>
      </c>
      <c r="X446" s="248">
        <f t="shared" si="46"/>
        <v>3.8729999999999336</v>
      </c>
      <c r="Y446" s="248">
        <f t="shared" ca="1" si="42"/>
        <v>13.385727699892982</v>
      </c>
      <c r="Z446" s="248">
        <f t="shared" ca="1" si="47"/>
        <v>5.4128289443844091</v>
      </c>
      <c r="AA446" s="250">
        <f t="shared" ca="1" si="48"/>
        <v>541.28289443844096</v>
      </c>
    </row>
    <row r="447" spans="5:27" x14ac:dyDescent="0.3">
      <c r="E447" s="241"/>
      <c r="F447" s="241"/>
      <c r="T447" s="254">
        <v>435</v>
      </c>
      <c r="U447" s="248">
        <f t="shared" si="43"/>
        <v>-18.258500000000002</v>
      </c>
      <c r="V447" s="248">
        <f t="shared" si="44"/>
        <v>-280.60850000000005</v>
      </c>
      <c r="W447" s="248">
        <f t="shared" si="45"/>
        <v>302.74</v>
      </c>
      <c r="X447" s="248">
        <f t="shared" si="46"/>
        <v>3.8729999999999336</v>
      </c>
      <c r="Y447" s="248">
        <f t="shared" ca="1" si="42"/>
        <v>13.385727699892982</v>
      </c>
      <c r="Z447" s="248">
        <f t="shared" ca="1" si="47"/>
        <v>5.4128289443844091</v>
      </c>
      <c r="AA447" s="250">
        <f t="shared" ca="1" si="48"/>
        <v>541.28289443844096</v>
      </c>
    </row>
    <row r="448" spans="5:27" x14ac:dyDescent="0.3">
      <c r="E448" s="241"/>
      <c r="F448" s="241"/>
      <c r="T448" s="254">
        <v>436</v>
      </c>
      <c r="U448" s="248">
        <f t="shared" si="43"/>
        <v>-18.258500000000002</v>
      </c>
      <c r="V448" s="248">
        <f t="shared" si="44"/>
        <v>-279.60850000000005</v>
      </c>
      <c r="W448" s="248">
        <f t="shared" si="45"/>
        <v>301.74</v>
      </c>
      <c r="X448" s="248">
        <f t="shared" si="46"/>
        <v>3.8729999999999336</v>
      </c>
      <c r="Y448" s="248">
        <f t="shared" ca="1" si="42"/>
        <v>13.385727699892982</v>
      </c>
      <c r="Z448" s="248">
        <f t="shared" ca="1" si="47"/>
        <v>5.4128289443844091</v>
      </c>
      <c r="AA448" s="250">
        <f t="shared" ca="1" si="48"/>
        <v>541.28289443844096</v>
      </c>
    </row>
    <row r="449" spans="5:27" x14ac:dyDescent="0.3">
      <c r="E449" s="241"/>
      <c r="F449" s="241"/>
      <c r="T449" s="254">
        <v>437</v>
      </c>
      <c r="U449" s="248">
        <f t="shared" si="43"/>
        <v>-18.258500000000002</v>
      </c>
      <c r="V449" s="248">
        <f t="shared" si="44"/>
        <v>-278.60850000000005</v>
      </c>
      <c r="W449" s="248">
        <f t="shared" si="45"/>
        <v>300.74</v>
      </c>
      <c r="X449" s="248">
        <f t="shared" si="46"/>
        <v>3.8729999999999336</v>
      </c>
      <c r="Y449" s="248">
        <f t="shared" ca="1" si="42"/>
        <v>13.385727699892982</v>
      </c>
      <c r="Z449" s="248">
        <f t="shared" ca="1" si="47"/>
        <v>5.4128289443844091</v>
      </c>
      <c r="AA449" s="250">
        <f t="shared" ca="1" si="48"/>
        <v>541.28289443844096</v>
      </c>
    </row>
    <row r="450" spans="5:27" x14ac:dyDescent="0.3">
      <c r="E450" s="241"/>
      <c r="F450" s="241"/>
      <c r="T450" s="254">
        <v>438</v>
      </c>
      <c r="U450" s="248">
        <f t="shared" si="43"/>
        <v>-18.258500000000002</v>
      </c>
      <c r="V450" s="248">
        <f t="shared" si="44"/>
        <v>-277.60850000000005</v>
      </c>
      <c r="W450" s="248">
        <f t="shared" si="45"/>
        <v>299.74</v>
      </c>
      <c r="X450" s="248">
        <f t="shared" si="46"/>
        <v>3.8729999999999336</v>
      </c>
      <c r="Y450" s="248">
        <f t="shared" ca="1" si="42"/>
        <v>13.385727699892982</v>
      </c>
      <c r="Z450" s="248">
        <f t="shared" ca="1" si="47"/>
        <v>5.4128289443844091</v>
      </c>
      <c r="AA450" s="250">
        <f t="shared" ca="1" si="48"/>
        <v>541.28289443844096</v>
      </c>
    </row>
    <row r="451" spans="5:27" x14ac:dyDescent="0.3">
      <c r="E451" s="241"/>
      <c r="F451" s="241"/>
      <c r="T451" s="254">
        <v>439</v>
      </c>
      <c r="U451" s="248">
        <f t="shared" si="43"/>
        <v>-18.258500000000002</v>
      </c>
      <c r="V451" s="248">
        <f t="shared" si="44"/>
        <v>-276.60850000000005</v>
      </c>
      <c r="W451" s="248">
        <f t="shared" si="45"/>
        <v>298.74</v>
      </c>
      <c r="X451" s="248">
        <f t="shared" si="46"/>
        <v>3.8729999999999336</v>
      </c>
      <c r="Y451" s="248">
        <f t="shared" ca="1" si="42"/>
        <v>13.385727699892982</v>
      </c>
      <c r="Z451" s="248">
        <f t="shared" ca="1" si="47"/>
        <v>5.4128289443844091</v>
      </c>
      <c r="AA451" s="250">
        <f t="shared" ca="1" si="48"/>
        <v>541.28289443844096</v>
      </c>
    </row>
    <row r="452" spans="5:27" x14ac:dyDescent="0.3">
      <c r="E452" s="241"/>
      <c r="F452" s="241"/>
      <c r="T452" s="254">
        <v>440</v>
      </c>
      <c r="U452" s="248">
        <f t="shared" si="43"/>
        <v>-18.258500000000002</v>
      </c>
      <c r="V452" s="248">
        <f t="shared" si="44"/>
        <v>-275.60850000000005</v>
      </c>
      <c r="W452" s="248">
        <f t="shared" si="45"/>
        <v>297.74</v>
      </c>
      <c r="X452" s="248">
        <f t="shared" si="46"/>
        <v>3.8729999999999336</v>
      </c>
      <c r="Y452" s="248">
        <f t="shared" ca="1" si="42"/>
        <v>13.385727699892982</v>
      </c>
      <c r="Z452" s="248">
        <f t="shared" ca="1" si="47"/>
        <v>5.4128289443844091</v>
      </c>
      <c r="AA452" s="250">
        <f t="shared" ca="1" si="48"/>
        <v>541.28289443844096</v>
      </c>
    </row>
    <row r="453" spans="5:27" x14ac:dyDescent="0.3">
      <c r="E453" s="241"/>
      <c r="F453" s="241"/>
      <c r="T453" s="254">
        <v>441</v>
      </c>
      <c r="U453" s="248">
        <f t="shared" si="43"/>
        <v>-18.258500000000002</v>
      </c>
      <c r="V453" s="248">
        <f t="shared" si="44"/>
        <v>-274.60850000000005</v>
      </c>
      <c r="W453" s="248">
        <f t="shared" si="45"/>
        <v>296.74</v>
      </c>
      <c r="X453" s="248">
        <f t="shared" si="46"/>
        <v>3.8729999999999336</v>
      </c>
      <c r="Y453" s="248">
        <f t="shared" ca="1" si="42"/>
        <v>13.385727699892982</v>
      </c>
      <c r="Z453" s="248">
        <f t="shared" ca="1" si="47"/>
        <v>5.4128289443844091</v>
      </c>
      <c r="AA453" s="250">
        <f t="shared" ca="1" si="48"/>
        <v>541.28289443844096</v>
      </c>
    </row>
    <row r="454" spans="5:27" x14ac:dyDescent="0.3">
      <c r="E454" s="241"/>
      <c r="F454" s="241"/>
      <c r="T454" s="254">
        <v>442</v>
      </c>
      <c r="U454" s="248">
        <f t="shared" si="43"/>
        <v>-18.258500000000002</v>
      </c>
      <c r="V454" s="248">
        <f t="shared" si="44"/>
        <v>-273.60850000000005</v>
      </c>
      <c r="W454" s="248">
        <f t="shared" si="45"/>
        <v>295.74</v>
      </c>
      <c r="X454" s="248">
        <f t="shared" si="46"/>
        <v>3.8729999999999336</v>
      </c>
      <c r="Y454" s="248">
        <f t="shared" ca="1" si="42"/>
        <v>13.385727699892982</v>
      </c>
      <c r="Z454" s="248">
        <f t="shared" ca="1" si="47"/>
        <v>5.4128289443844091</v>
      </c>
      <c r="AA454" s="250">
        <f t="shared" ca="1" si="48"/>
        <v>541.28289443844096</v>
      </c>
    </row>
    <row r="455" spans="5:27" x14ac:dyDescent="0.3">
      <c r="E455" s="241"/>
      <c r="F455" s="241"/>
      <c r="T455" s="254">
        <v>443</v>
      </c>
      <c r="U455" s="248">
        <f t="shared" si="43"/>
        <v>-18.258500000000002</v>
      </c>
      <c r="V455" s="248">
        <f t="shared" si="44"/>
        <v>-272.60850000000005</v>
      </c>
      <c r="W455" s="248">
        <f t="shared" si="45"/>
        <v>294.74</v>
      </c>
      <c r="X455" s="248">
        <f t="shared" si="46"/>
        <v>3.8729999999999336</v>
      </c>
      <c r="Y455" s="248">
        <f t="shared" ca="1" si="42"/>
        <v>13.385727699892982</v>
      </c>
      <c r="Z455" s="248">
        <f t="shared" ca="1" si="47"/>
        <v>5.4128289443844091</v>
      </c>
      <c r="AA455" s="250">
        <f t="shared" ca="1" si="48"/>
        <v>541.28289443844096</v>
      </c>
    </row>
    <row r="456" spans="5:27" x14ac:dyDescent="0.3">
      <c r="E456" s="241"/>
      <c r="F456" s="241"/>
      <c r="T456" s="254">
        <v>444</v>
      </c>
      <c r="U456" s="248">
        <f t="shared" si="43"/>
        <v>-18.258500000000002</v>
      </c>
      <c r="V456" s="248">
        <f t="shared" si="44"/>
        <v>-271.60850000000005</v>
      </c>
      <c r="W456" s="248">
        <f t="shared" si="45"/>
        <v>293.74</v>
      </c>
      <c r="X456" s="248">
        <f t="shared" si="46"/>
        <v>3.8729999999999336</v>
      </c>
      <c r="Y456" s="248">
        <f t="shared" ca="1" si="42"/>
        <v>13.385727699892982</v>
      </c>
      <c r="Z456" s="248">
        <f t="shared" ca="1" si="47"/>
        <v>5.4128289443844091</v>
      </c>
      <c r="AA456" s="250">
        <f t="shared" ca="1" si="48"/>
        <v>541.28289443844096</v>
      </c>
    </row>
    <row r="457" spans="5:27" x14ac:dyDescent="0.3">
      <c r="E457" s="241"/>
      <c r="F457" s="241"/>
      <c r="T457" s="254">
        <v>445</v>
      </c>
      <c r="U457" s="248">
        <f t="shared" si="43"/>
        <v>-18.258500000000002</v>
      </c>
      <c r="V457" s="248">
        <f t="shared" si="44"/>
        <v>-270.60850000000005</v>
      </c>
      <c r="W457" s="248">
        <f t="shared" si="45"/>
        <v>292.74</v>
      </c>
      <c r="X457" s="248">
        <f t="shared" si="46"/>
        <v>3.8729999999999336</v>
      </c>
      <c r="Y457" s="248">
        <f t="shared" ca="1" si="42"/>
        <v>13.385727699892982</v>
      </c>
      <c r="Z457" s="248">
        <f t="shared" ca="1" si="47"/>
        <v>5.4128289443844091</v>
      </c>
      <c r="AA457" s="250">
        <f t="shared" ca="1" si="48"/>
        <v>541.28289443844096</v>
      </c>
    </row>
    <row r="458" spans="5:27" x14ac:dyDescent="0.3">
      <c r="E458" s="241"/>
      <c r="F458" s="241"/>
      <c r="T458" s="254">
        <v>446</v>
      </c>
      <c r="U458" s="248">
        <f t="shared" si="43"/>
        <v>-18.258500000000002</v>
      </c>
      <c r="V458" s="248">
        <f t="shared" si="44"/>
        <v>-269.60850000000005</v>
      </c>
      <c r="W458" s="248">
        <f t="shared" si="45"/>
        <v>291.74</v>
      </c>
      <c r="X458" s="248">
        <f t="shared" si="46"/>
        <v>3.8729999999999336</v>
      </c>
      <c r="Y458" s="248">
        <f t="shared" ca="1" si="42"/>
        <v>13.385727699892982</v>
      </c>
      <c r="Z458" s="248">
        <f t="shared" ca="1" si="47"/>
        <v>5.4128289443844091</v>
      </c>
      <c r="AA458" s="250">
        <f t="shared" ca="1" si="48"/>
        <v>541.28289443844096</v>
      </c>
    </row>
    <row r="459" spans="5:27" x14ac:dyDescent="0.3">
      <c r="E459" s="241"/>
      <c r="F459" s="241"/>
      <c r="T459" s="254">
        <v>447</v>
      </c>
      <c r="U459" s="248">
        <f t="shared" si="43"/>
        <v>-18.258500000000002</v>
      </c>
      <c r="V459" s="248">
        <f t="shared" si="44"/>
        <v>-268.60850000000005</v>
      </c>
      <c r="W459" s="248">
        <f t="shared" si="45"/>
        <v>290.74</v>
      </c>
      <c r="X459" s="248">
        <f t="shared" si="46"/>
        <v>3.8729999999999336</v>
      </c>
      <c r="Y459" s="248">
        <f t="shared" ca="1" si="42"/>
        <v>13.385727699892982</v>
      </c>
      <c r="Z459" s="248">
        <f t="shared" ca="1" si="47"/>
        <v>5.4128289443844091</v>
      </c>
      <c r="AA459" s="250">
        <f t="shared" ca="1" si="48"/>
        <v>541.28289443844096</v>
      </c>
    </row>
    <row r="460" spans="5:27" x14ac:dyDescent="0.3">
      <c r="E460" s="241"/>
      <c r="F460" s="241"/>
      <c r="T460" s="254">
        <v>448</v>
      </c>
      <c r="U460" s="248">
        <f t="shared" si="43"/>
        <v>-18.258500000000002</v>
      </c>
      <c r="V460" s="248">
        <f t="shared" si="44"/>
        <v>-267.60850000000005</v>
      </c>
      <c r="W460" s="248">
        <f t="shared" si="45"/>
        <v>289.74</v>
      </c>
      <c r="X460" s="248">
        <f t="shared" si="46"/>
        <v>3.8729999999999336</v>
      </c>
      <c r="Y460" s="248">
        <f t="shared" ref="Y460:Y523" ca="1" si="49">$Y$10*EXP($Y$7*$C$6)-$Y$10</f>
        <v>13.385727699892982</v>
      </c>
      <c r="Z460" s="248">
        <f t="shared" ca="1" si="47"/>
        <v>5.4128289443844091</v>
      </c>
      <c r="AA460" s="250">
        <f t="shared" ca="1" si="48"/>
        <v>541.28289443844096</v>
      </c>
    </row>
    <row r="461" spans="5:27" x14ac:dyDescent="0.3">
      <c r="E461" s="241"/>
      <c r="F461" s="241"/>
      <c r="T461" s="254">
        <v>449</v>
      </c>
      <c r="U461" s="248">
        <f t="shared" ref="U461:U524" si="50">MAX(0,T461-$U$9)-$U$10-$U$11/100</f>
        <v>-18.258500000000002</v>
      </c>
      <c r="V461" s="248">
        <f t="shared" ref="V461:V524" si="51">$V$10-MAX(0,$V$9-T461)-$V$11/100</f>
        <v>-266.60850000000005</v>
      </c>
      <c r="W461" s="248">
        <f t="shared" ref="W461:W524" si="52">$W$10-T461</f>
        <v>288.74</v>
      </c>
      <c r="X461" s="248">
        <f t="shared" ref="X461:X524" si="53">SUM(U461:W461)</f>
        <v>3.8729999999999336</v>
      </c>
      <c r="Y461" s="248">
        <f t="shared" ca="1" si="49"/>
        <v>13.385727699892982</v>
      </c>
      <c r="Z461" s="248">
        <f t="shared" ref="Z461:Z524" ca="1" si="54">EXP(-$E$3*$C$6)*SUM(X461:Y461)</f>
        <v>5.4128289443844091</v>
      </c>
      <c r="AA461" s="250">
        <f t="shared" ref="AA461:AA524" ca="1" si="55">Z461*100</f>
        <v>541.28289443844096</v>
      </c>
    </row>
    <row r="462" spans="5:27" x14ac:dyDescent="0.3">
      <c r="E462" s="241"/>
      <c r="F462" s="241"/>
      <c r="T462" s="254">
        <v>450</v>
      </c>
      <c r="U462" s="248">
        <f t="shared" si="50"/>
        <v>-18.258500000000002</v>
      </c>
      <c r="V462" s="248">
        <f t="shared" si="51"/>
        <v>-265.60850000000005</v>
      </c>
      <c r="W462" s="248">
        <f t="shared" si="52"/>
        <v>287.74</v>
      </c>
      <c r="X462" s="248">
        <f t="shared" si="53"/>
        <v>3.8729999999999336</v>
      </c>
      <c r="Y462" s="248">
        <f t="shared" ca="1" si="49"/>
        <v>13.385727699892982</v>
      </c>
      <c r="Z462" s="248">
        <f t="shared" ca="1" si="54"/>
        <v>5.4128289443844091</v>
      </c>
      <c r="AA462" s="250">
        <f t="shared" ca="1" si="55"/>
        <v>541.28289443844096</v>
      </c>
    </row>
    <row r="463" spans="5:27" x14ac:dyDescent="0.3">
      <c r="E463" s="241"/>
      <c r="F463" s="241"/>
      <c r="T463" s="254">
        <v>451</v>
      </c>
      <c r="U463" s="248">
        <f t="shared" si="50"/>
        <v>-18.258500000000002</v>
      </c>
      <c r="V463" s="248">
        <f t="shared" si="51"/>
        <v>-264.60850000000005</v>
      </c>
      <c r="W463" s="248">
        <f t="shared" si="52"/>
        <v>286.74</v>
      </c>
      <c r="X463" s="248">
        <f t="shared" si="53"/>
        <v>3.8729999999999336</v>
      </c>
      <c r="Y463" s="248">
        <f t="shared" ca="1" si="49"/>
        <v>13.385727699892982</v>
      </c>
      <c r="Z463" s="248">
        <f t="shared" ca="1" si="54"/>
        <v>5.4128289443844091</v>
      </c>
      <c r="AA463" s="250">
        <f t="shared" ca="1" si="55"/>
        <v>541.28289443844096</v>
      </c>
    </row>
    <row r="464" spans="5:27" x14ac:dyDescent="0.3">
      <c r="E464" s="241"/>
      <c r="F464" s="241"/>
      <c r="T464" s="254">
        <v>452</v>
      </c>
      <c r="U464" s="248">
        <f t="shared" si="50"/>
        <v>-18.258500000000002</v>
      </c>
      <c r="V464" s="248">
        <f t="shared" si="51"/>
        <v>-263.60850000000005</v>
      </c>
      <c r="W464" s="248">
        <f t="shared" si="52"/>
        <v>285.74</v>
      </c>
      <c r="X464" s="248">
        <f t="shared" si="53"/>
        <v>3.8729999999999336</v>
      </c>
      <c r="Y464" s="248">
        <f t="shared" ca="1" si="49"/>
        <v>13.385727699892982</v>
      </c>
      <c r="Z464" s="248">
        <f t="shared" ca="1" si="54"/>
        <v>5.4128289443844091</v>
      </c>
      <c r="AA464" s="250">
        <f t="shared" ca="1" si="55"/>
        <v>541.28289443844096</v>
      </c>
    </row>
    <row r="465" spans="5:27" x14ac:dyDescent="0.3">
      <c r="E465" s="241"/>
      <c r="F465" s="241"/>
      <c r="T465" s="254">
        <v>453</v>
      </c>
      <c r="U465" s="248">
        <f t="shared" si="50"/>
        <v>-18.258500000000002</v>
      </c>
      <c r="V465" s="248">
        <f t="shared" si="51"/>
        <v>-262.60850000000005</v>
      </c>
      <c r="W465" s="248">
        <f t="shared" si="52"/>
        <v>284.74</v>
      </c>
      <c r="X465" s="248">
        <f t="shared" si="53"/>
        <v>3.8729999999999336</v>
      </c>
      <c r="Y465" s="248">
        <f t="shared" ca="1" si="49"/>
        <v>13.385727699892982</v>
      </c>
      <c r="Z465" s="248">
        <f t="shared" ca="1" si="54"/>
        <v>5.4128289443844091</v>
      </c>
      <c r="AA465" s="250">
        <f t="shared" ca="1" si="55"/>
        <v>541.28289443844096</v>
      </c>
    </row>
    <row r="466" spans="5:27" x14ac:dyDescent="0.3">
      <c r="E466" s="241"/>
      <c r="F466" s="241"/>
      <c r="T466" s="254">
        <v>454</v>
      </c>
      <c r="U466" s="248">
        <f t="shared" si="50"/>
        <v>-18.258500000000002</v>
      </c>
      <c r="V466" s="248">
        <f t="shared" si="51"/>
        <v>-261.60850000000005</v>
      </c>
      <c r="W466" s="248">
        <f t="shared" si="52"/>
        <v>283.74</v>
      </c>
      <c r="X466" s="248">
        <f t="shared" si="53"/>
        <v>3.8729999999999336</v>
      </c>
      <c r="Y466" s="248">
        <f t="shared" ca="1" si="49"/>
        <v>13.385727699892982</v>
      </c>
      <c r="Z466" s="248">
        <f t="shared" ca="1" si="54"/>
        <v>5.4128289443844091</v>
      </c>
      <c r="AA466" s="250">
        <f t="shared" ca="1" si="55"/>
        <v>541.28289443844096</v>
      </c>
    </row>
    <row r="467" spans="5:27" x14ac:dyDescent="0.3">
      <c r="E467" s="241"/>
      <c r="F467" s="241"/>
      <c r="T467" s="254">
        <v>455</v>
      </c>
      <c r="U467" s="248">
        <f t="shared" si="50"/>
        <v>-18.258500000000002</v>
      </c>
      <c r="V467" s="248">
        <f t="shared" si="51"/>
        <v>-260.60850000000005</v>
      </c>
      <c r="W467" s="248">
        <f t="shared" si="52"/>
        <v>282.74</v>
      </c>
      <c r="X467" s="248">
        <f t="shared" si="53"/>
        <v>3.8729999999999336</v>
      </c>
      <c r="Y467" s="248">
        <f t="shared" ca="1" si="49"/>
        <v>13.385727699892982</v>
      </c>
      <c r="Z467" s="248">
        <f t="shared" ca="1" si="54"/>
        <v>5.4128289443844091</v>
      </c>
      <c r="AA467" s="250">
        <f t="shared" ca="1" si="55"/>
        <v>541.28289443844096</v>
      </c>
    </row>
    <row r="468" spans="5:27" x14ac:dyDescent="0.3">
      <c r="E468" s="241"/>
      <c r="F468" s="241"/>
      <c r="T468" s="254">
        <v>456</v>
      </c>
      <c r="U468" s="248">
        <f t="shared" si="50"/>
        <v>-18.258500000000002</v>
      </c>
      <c r="V468" s="248">
        <f t="shared" si="51"/>
        <v>-259.60850000000005</v>
      </c>
      <c r="W468" s="248">
        <f t="shared" si="52"/>
        <v>281.74</v>
      </c>
      <c r="X468" s="248">
        <f t="shared" si="53"/>
        <v>3.8729999999999336</v>
      </c>
      <c r="Y468" s="248">
        <f t="shared" ca="1" si="49"/>
        <v>13.385727699892982</v>
      </c>
      <c r="Z468" s="248">
        <f t="shared" ca="1" si="54"/>
        <v>5.4128289443844091</v>
      </c>
      <c r="AA468" s="250">
        <f t="shared" ca="1" si="55"/>
        <v>541.28289443844096</v>
      </c>
    </row>
    <row r="469" spans="5:27" x14ac:dyDescent="0.3">
      <c r="E469" s="241"/>
      <c r="F469" s="241"/>
      <c r="T469" s="254">
        <v>457</v>
      </c>
      <c r="U469" s="248">
        <f t="shared" si="50"/>
        <v>-18.258500000000002</v>
      </c>
      <c r="V469" s="248">
        <f t="shared" si="51"/>
        <v>-258.60850000000005</v>
      </c>
      <c r="W469" s="248">
        <f t="shared" si="52"/>
        <v>280.74</v>
      </c>
      <c r="X469" s="248">
        <f t="shared" si="53"/>
        <v>3.8729999999999336</v>
      </c>
      <c r="Y469" s="248">
        <f t="shared" ca="1" si="49"/>
        <v>13.385727699892982</v>
      </c>
      <c r="Z469" s="248">
        <f t="shared" ca="1" si="54"/>
        <v>5.4128289443844091</v>
      </c>
      <c r="AA469" s="250">
        <f t="shared" ca="1" si="55"/>
        <v>541.28289443844096</v>
      </c>
    </row>
    <row r="470" spans="5:27" x14ac:dyDescent="0.3">
      <c r="E470" s="241"/>
      <c r="F470" s="241"/>
      <c r="T470" s="254">
        <v>458</v>
      </c>
      <c r="U470" s="248">
        <f t="shared" si="50"/>
        <v>-18.258500000000002</v>
      </c>
      <c r="V470" s="248">
        <f t="shared" si="51"/>
        <v>-257.60850000000005</v>
      </c>
      <c r="W470" s="248">
        <f t="shared" si="52"/>
        <v>279.74</v>
      </c>
      <c r="X470" s="248">
        <f t="shared" si="53"/>
        <v>3.8729999999999336</v>
      </c>
      <c r="Y470" s="248">
        <f t="shared" ca="1" si="49"/>
        <v>13.385727699892982</v>
      </c>
      <c r="Z470" s="248">
        <f t="shared" ca="1" si="54"/>
        <v>5.4128289443844091</v>
      </c>
      <c r="AA470" s="250">
        <f t="shared" ca="1" si="55"/>
        <v>541.28289443844096</v>
      </c>
    </row>
    <row r="471" spans="5:27" x14ac:dyDescent="0.3">
      <c r="E471" s="241"/>
      <c r="F471" s="241"/>
      <c r="T471" s="254">
        <v>459</v>
      </c>
      <c r="U471" s="248">
        <f t="shared" si="50"/>
        <v>-18.258500000000002</v>
      </c>
      <c r="V471" s="248">
        <f t="shared" si="51"/>
        <v>-256.60850000000005</v>
      </c>
      <c r="W471" s="248">
        <f t="shared" si="52"/>
        <v>278.74</v>
      </c>
      <c r="X471" s="248">
        <f t="shared" si="53"/>
        <v>3.8729999999999336</v>
      </c>
      <c r="Y471" s="248">
        <f t="shared" ca="1" si="49"/>
        <v>13.385727699892982</v>
      </c>
      <c r="Z471" s="248">
        <f t="shared" ca="1" si="54"/>
        <v>5.4128289443844091</v>
      </c>
      <c r="AA471" s="250">
        <f t="shared" ca="1" si="55"/>
        <v>541.28289443844096</v>
      </c>
    </row>
    <row r="472" spans="5:27" x14ac:dyDescent="0.3">
      <c r="E472" s="241"/>
      <c r="F472" s="241"/>
      <c r="T472" s="254">
        <v>460</v>
      </c>
      <c r="U472" s="248">
        <f t="shared" si="50"/>
        <v>-18.258500000000002</v>
      </c>
      <c r="V472" s="248">
        <f t="shared" si="51"/>
        <v>-255.60849999999999</v>
      </c>
      <c r="W472" s="248">
        <f t="shared" si="52"/>
        <v>277.74</v>
      </c>
      <c r="X472" s="248">
        <f t="shared" si="53"/>
        <v>3.8729999999999905</v>
      </c>
      <c r="Y472" s="248">
        <f t="shared" ca="1" si="49"/>
        <v>13.385727699892982</v>
      </c>
      <c r="Z472" s="248">
        <f t="shared" ca="1" si="54"/>
        <v>5.4128289443844659</v>
      </c>
      <c r="AA472" s="250">
        <f t="shared" ca="1" si="55"/>
        <v>541.28289443844665</v>
      </c>
    </row>
    <row r="473" spans="5:27" x14ac:dyDescent="0.3">
      <c r="E473" s="241"/>
      <c r="F473" s="241"/>
      <c r="T473" s="254">
        <v>461</v>
      </c>
      <c r="U473" s="248">
        <f t="shared" si="50"/>
        <v>-18.258500000000002</v>
      </c>
      <c r="V473" s="248">
        <f t="shared" si="51"/>
        <v>-254.60849999999999</v>
      </c>
      <c r="W473" s="248">
        <f t="shared" si="52"/>
        <v>276.74</v>
      </c>
      <c r="X473" s="248">
        <f t="shared" si="53"/>
        <v>3.8729999999999905</v>
      </c>
      <c r="Y473" s="248">
        <f t="shared" ca="1" si="49"/>
        <v>13.385727699892982</v>
      </c>
      <c r="Z473" s="248">
        <f t="shared" ca="1" si="54"/>
        <v>5.4128289443844659</v>
      </c>
      <c r="AA473" s="250">
        <f t="shared" ca="1" si="55"/>
        <v>541.28289443844665</v>
      </c>
    </row>
    <row r="474" spans="5:27" x14ac:dyDescent="0.3">
      <c r="E474" s="241"/>
      <c r="F474" s="241"/>
      <c r="T474" s="254">
        <v>462</v>
      </c>
      <c r="U474" s="248">
        <f t="shared" si="50"/>
        <v>-18.258500000000002</v>
      </c>
      <c r="V474" s="248">
        <f t="shared" si="51"/>
        <v>-253.60849999999999</v>
      </c>
      <c r="W474" s="248">
        <f t="shared" si="52"/>
        <v>275.74</v>
      </c>
      <c r="X474" s="248">
        <f t="shared" si="53"/>
        <v>3.8729999999999905</v>
      </c>
      <c r="Y474" s="248">
        <f t="shared" ca="1" si="49"/>
        <v>13.385727699892982</v>
      </c>
      <c r="Z474" s="248">
        <f t="shared" ca="1" si="54"/>
        <v>5.4128289443844659</v>
      </c>
      <c r="AA474" s="250">
        <f t="shared" ca="1" si="55"/>
        <v>541.28289443844665</v>
      </c>
    </row>
    <row r="475" spans="5:27" x14ac:dyDescent="0.3">
      <c r="E475" s="241"/>
      <c r="F475" s="241"/>
      <c r="T475" s="254">
        <v>463</v>
      </c>
      <c r="U475" s="248">
        <f t="shared" si="50"/>
        <v>-18.258500000000002</v>
      </c>
      <c r="V475" s="248">
        <f t="shared" si="51"/>
        <v>-252.60849999999999</v>
      </c>
      <c r="W475" s="248">
        <f t="shared" si="52"/>
        <v>274.74</v>
      </c>
      <c r="X475" s="248">
        <f t="shared" si="53"/>
        <v>3.8729999999999905</v>
      </c>
      <c r="Y475" s="248">
        <f t="shared" ca="1" si="49"/>
        <v>13.385727699892982</v>
      </c>
      <c r="Z475" s="248">
        <f t="shared" ca="1" si="54"/>
        <v>5.4128289443844659</v>
      </c>
      <c r="AA475" s="250">
        <f t="shared" ca="1" si="55"/>
        <v>541.28289443844665</v>
      </c>
    </row>
    <row r="476" spans="5:27" x14ac:dyDescent="0.3">
      <c r="E476" s="241"/>
      <c r="F476" s="241"/>
      <c r="T476" s="254">
        <v>464</v>
      </c>
      <c r="U476" s="248">
        <f t="shared" si="50"/>
        <v>-18.258500000000002</v>
      </c>
      <c r="V476" s="248">
        <f t="shared" si="51"/>
        <v>-251.60849999999999</v>
      </c>
      <c r="W476" s="248">
        <f t="shared" si="52"/>
        <v>273.74</v>
      </c>
      <c r="X476" s="248">
        <f t="shared" si="53"/>
        <v>3.8729999999999905</v>
      </c>
      <c r="Y476" s="248">
        <f t="shared" ca="1" si="49"/>
        <v>13.385727699892982</v>
      </c>
      <c r="Z476" s="248">
        <f t="shared" ca="1" si="54"/>
        <v>5.4128289443844659</v>
      </c>
      <c r="AA476" s="250">
        <f t="shared" ca="1" si="55"/>
        <v>541.28289443844665</v>
      </c>
    </row>
    <row r="477" spans="5:27" x14ac:dyDescent="0.3">
      <c r="E477" s="241"/>
      <c r="F477" s="241"/>
      <c r="T477" s="254">
        <v>465</v>
      </c>
      <c r="U477" s="248">
        <f t="shared" si="50"/>
        <v>-18.258500000000002</v>
      </c>
      <c r="V477" s="248">
        <f t="shared" si="51"/>
        <v>-250.60849999999999</v>
      </c>
      <c r="W477" s="248">
        <f t="shared" si="52"/>
        <v>272.74</v>
      </c>
      <c r="X477" s="248">
        <f t="shared" si="53"/>
        <v>3.8729999999999905</v>
      </c>
      <c r="Y477" s="248">
        <f t="shared" ca="1" si="49"/>
        <v>13.385727699892982</v>
      </c>
      <c r="Z477" s="248">
        <f t="shared" ca="1" si="54"/>
        <v>5.4128289443844659</v>
      </c>
      <c r="AA477" s="250">
        <f t="shared" ca="1" si="55"/>
        <v>541.28289443844665</v>
      </c>
    </row>
    <row r="478" spans="5:27" x14ac:dyDescent="0.3">
      <c r="E478" s="241"/>
      <c r="F478" s="241"/>
      <c r="T478" s="254">
        <v>466</v>
      </c>
      <c r="U478" s="248">
        <f t="shared" si="50"/>
        <v>-18.258500000000002</v>
      </c>
      <c r="V478" s="248">
        <f t="shared" si="51"/>
        <v>-249.60849999999999</v>
      </c>
      <c r="W478" s="248">
        <f t="shared" si="52"/>
        <v>271.74</v>
      </c>
      <c r="X478" s="248">
        <f t="shared" si="53"/>
        <v>3.8729999999999905</v>
      </c>
      <c r="Y478" s="248">
        <f t="shared" ca="1" si="49"/>
        <v>13.385727699892982</v>
      </c>
      <c r="Z478" s="248">
        <f t="shared" ca="1" si="54"/>
        <v>5.4128289443844659</v>
      </c>
      <c r="AA478" s="250">
        <f t="shared" ca="1" si="55"/>
        <v>541.28289443844665</v>
      </c>
    </row>
    <row r="479" spans="5:27" x14ac:dyDescent="0.3">
      <c r="E479" s="241"/>
      <c r="F479" s="241"/>
      <c r="T479" s="254">
        <v>467</v>
      </c>
      <c r="U479" s="248">
        <f t="shared" si="50"/>
        <v>-18.258500000000002</v>
      </c>
      <c r="V479" s="248">
        <f t="shared" si="51"/>
        <v>-248.60849999999999</v>
      </c>
      <c r="W479" s="248">
        <f t="shared" si="52"/>
        <v>270.74</v>
      </c>
      <c r="X479" s="248">
        <f t="shared" si="53"/>
        <v>3.8729999999999905</v>
      </c>
      <c r="Y479" s="248">
        <f t="shared" ca="1" si="49"/>
        <v>13.385727699892982</v>
      </c>
      <c r="Z479" s="248">
        <f t="shared" ca="1" si="54"/>
        <v>5.4128289443844659</v>
      </c>
      <c r="AA479" s="250">
        <f t="shared" ca="1" si="55"/>
        <v>541.28289443844665</v>
      </c>
    </row>
    <row r="480" spans="5:27" x14ac:dyDescent="0.3">
      <c r="E480" s="241"/>
      <c r="F480" s="241"/>
      <c r="T480" s="254">
        <v>468</v>
      </c>
      <c r="U480" s="248">
        <f t="shared" si="50"/>
        <v>-18.258500000000002</v>
      </c>
      <c r="V480" s="248">
        <f t="shared" si="51"/>
        <v>-247.60849999999999</v>
      </c>
      <c r="W480" s="248">
        <f t="shared" si="52"/>
        <v>269.74</v>
      </c>
      <c r="X480" s="248">
        <f t="shared" si="53"/>
        <v>3.8729999999999905</v>
      </c>
      <c r="Y480" s="248">
        <f t="shared" ca="1" si="49"/>
        <v>13.385727699892982</v>
      </c>
      <c r="Z480" s="248">
        <f t="shared" ca="1" si="54"/>
        <v>5.4128289443844659</v>
      </c>
      <c r="AA480" s="250">
        <f t="shared" ca="1" si="55"/>
        <v>541.28289443844665</v>
      </c>
    </row>
    <row r="481" spans="5:27" x14ac:dyDescent="0.3">
      <c r="E481" s="241"/>
      <c r="F481" s="241"/>
      <c r="T481" s="254">
        <v>469</v>
      </c>
      <c r="U481" s="248">
        <f t="shared" si="50"/>
        <v>-18.258500000000002</v>
      </c>
      <c r="V481" s="248">
        <f t="shared" si="51"/>
        <v>-246.60849999999999</v>
      </c>
      <c r="W481" s="248">
        <f t="shared" si="52"/>
        <v>268.74</v>
      </c>
      <c r="X481" s="248">
        <f t="shared" si="53"/>
        <v>3.8729999999999905</v>
      </c>
      <c r="Y481" s="248">
        <f t="shared" ca="1" si="49"/>
        <v>13.385727699892982</v>
      </c>
      <c r="Z481" s="248">
        <f t="shared" ca="1" si="54"/>
        <v>5.4128289443844659</v>
      </c>
      <c r="AA481" s="250">
        <f t="shared" ca="1" si="55"/>
        <v>541.28289443844665</v>
      </c>
    </row>
    <row r="482" spans="5:27" x14ac:dyDescent="0.3">
      <c r="E482" s="241"/>
      <c r="F482" s="241"/>
      <c r="T482" s="254">
        <v>470</v>
      </c>
      <c r="U482" s="248">
        <f t="shared" si="50"/>
        <v>-18.258500000000002</v>
      </c>
      <c r="V482" s="248">
        <f t="shared" si="51"/>
        <v>-245.60849999999999</v>
      </c>
      <c r="W482" s="248">
        <f t="shared" si="52"/>
        <v>267.74</v>
      </c>
      <c r="X482" s="248">
        <f t="shared" si="53"/>
        <v>3.8729999999999905</v>
      </c>
      <c r="Y482" s="248">
        <f t="shared" ca="1" si="49"/>
        <v>13.385727699892982</v>
      </c>
      <c r="Z482" s="248">
        <f t="shared" ca="1" si="54"/>
        <v>5.4128289443844659</v>
      </c>
      <c r="AA482" s="250">
        <f t="shared" ca="1" si="55"/>
        <v>541.28289443844665</v>
      </c>
    </row>
    <row r="483" spans="5:27" x14ac:dyDescent="0.3">
      <c r="E483" s="241"/>
      <c r="F483" s="241"/>
      <c r="T483" s="254">
        <v>471</v>
      </c>
      <c r="U483" s="248">
        <f t="shared" si="50"/>
        <v>-18.258500000000002</v>
      </c>
      <c r="V483" s="248">
        <f t="shared" si="51"/>
        <v>-244.60849999999999</v>
      </c>
      <c r="W483" s="248">
        <f t="shared" si="52"/>
        <v>266.74</v>
      </c>
      <c r="X483" s="248">
        <f t="shared" si="53"/>
        <v>3.8729999999999905</v>
      </c>
      <c r="Y483" s="248">
        <f t="shared" ca="1" si="49"/>
        <v>13.385727699892982</v>
      </c>
      <c r="Z483" s="248">
        <f t="shared" ca="1" si="54"/>
        <v>5.4128289443844659</v>
      </c>
      <c r="AA483" s="250">
        <f t="shared" ca="1" si="55"/>
        <v>541.28289443844665</v>
      </c>
    </row>
    <row r="484" spans="5:27" x14ac:dyDescent="0.3">
      <c r="E484" s="241"/>
      <c r="F484" s="241"/>
      <c r="T484" s="254">
        <v>472</v>
      </c>
      <c r="U484" s="248">
        <f t="shared" si="50"/>
        <v>-18.258500000000002</v>
      </c>
      <c r="V484" s="248">
        <f t="shared" si="51"/>
        <v>-243.60849999999999</v>
      </c>
      <c r="W484" s="248">
        <f t="shared" si="52"/>
        <v>265.74</v>
      </c>
      <c r="X484" s="248">
        <f t="shared" si="53"/>
        <v>3.8729999999999905</v>
      </c>
      <c r="Y484" s="248">
        <f t="shared" ca="1" si="49"/>
        <v>13.385727699892982</v>
      </c>
      <c r="Z484" s="248">
        <f t="shared" ca="1" si="54"/>
        <v>5.4128289443844659</v>
      </c>
      <c r="AA484" s="250">
        <f t="shared" ca="1" si="55"/>
        <v>541.28289443844665</v>
      </c>
    </row>
    <row r="485" spans="5:27" x14ac:dyDescent="0.3">
      <c r="E485" s="241"/>
      <c r="F485" s="241"/>
      <c r="T485" s="254">
        <v>473</v>
      </c>
      <c r="U485" s="248">
        <f t="shared" si="50"/>
        <v>-18.258500000000002</v>
      </c>
      <c r="V485" s="248">
        <f t="shared" si="51"/>
        <v>-242.60849999999999</v>
      </c>
      <c r="W485" s="248">
        <f t="shared" si="52"/>
        <v>264.74</v>
      </c>
      <c r="X485" s="248">
        <f t="shared" si="53"/>
        <v>3.8729999999999905</v>
      </c>
      <c r="Y485" s="248">
        <f t="shared" ca="1" si="49"/>
        <v>13.385727699892982</v>
      </c>
      <c r="Z485" s="248">
        <f t="shared" ca="1" si="54"/>
        <v>5.4128289443844659</v>
      </c>
      <c r="AA485" s="250">
        <f t="shared" ca="1" si="55"/>
        <v>541.28289443844665</v>
      </c>
    </row>
    <row r="486" spans="5:27" x14ac:dyDescent="0.3">
      <c r="E486" s="241"/>
      <c r="F486" s="241"/>
      <c r="T486" s="254">
        <v>474</v>
      </c>
      <c r="U486" s="248">
        <f t="shared" si="50"/>
        <v>-18.258500000000002</v>
      </c>
      <c r="V486" s="248">
        <f t="shared" si="51"/>
        <v>-241.60849999999999</v>
      </c>
      <c r="W486" s="248">
        <f t="shared" si="52"/>
        <v>263.74</v>
      </c>
      <c r="X486" s="248">
        <f t="shared" si="53"/>
        <v>3.8729999999999905</v>
      </c>
      <c r="Y486" s="248">
        <f t="shared" ca="1" si="49"/>
        <v>13.385727699892982</v>
      </c>
      <c r="Z486" s="248">
        <f t="shared" ca="1" si="54"/>
        <v>5.4128289443844659</v>
      </c>
      <c r="AA486" s="250">
        <f t="shared" ca="1" si="55"/>
        <v>541.28289443844665</v>
      </c>
    </row>
    <row r="487" spans="5:27" x14ac:dyDescent="0.3">
      <c r="E487" s="241"/>
      <c r="F487" s="241"/>
      <c r="T487" s="254">
        <v>475</v>
      </c>
      <c r="U487" s="248">
        <f t="shared" si="50"/>
        <v>-18.258500000000002</v>
      </c>
      <c r="V487" s="248">
        <f t="shared" si="51"/>
        <v>-240.60849999999999</v>
      </c>
      <c r="W487" s="248">
        <f t="shared" si="52"/>
        <v>262.74</v>
      </c>
      <c r="X487" s="248">
        <f t="shared" si="53"/>
        <v>3.8729999999999905</v>
      </c>
      <c r="Y487" s="248">
        <f t="shared" ca="1" si="49"/>
        <v>13.385727699892982</v>
      </c>
      <c r="Z487" s="248">
        <f t="shared" ca="1" si="54"/>
        <v>5.4128289443844659</v>
      </c>
      <c r="AA487" s="250">
        <f t="shared" ca="1" si="55"/>
        <v>541.28289443844665</v>
      </c>
    </row>
    <row r="488" spans="5:27" x14ac:dyDescent="0.3">
      <c r="E488" s="241"/>
      <c r="F488" s="241"/>
      <c r="T488" s="254">
        <v>476</v>
      </c>
      <c r="U488" s="248">
        <f t="shared" si="50"/>
        <v>-18.258500000000002</v>
      </c>
      <c r="V488" s="248">
        <f t="shared" si="51"/>
        <v>-239.60849999999999</v>
      </c>
      <c r="W488" s="248">
        <f t="shared" si="52"/>
        <v>261.74</v>
      </c>
      <c r="X488" s="248">
        <f t="shared" si="53"/>
        <v>3.8729999999999905</v>
      </c>
      <c r="Y488" s="248">
        <f t="shared" ca="1" si="49"/>
        <v>13.385727699892982</v>
      </c>
      <c r="Z488" s="248">
        <f t="shared" ca="1" si="54"/>
        <v>5.4128289443844659</v>
      </c>
      <c r="AA488" s="250">
        <f t="shared" ca="1" si="55"/>
        <v>541.28289443844665</v>
      </c>
    </row>
    <row r="489" spans="5:27" x14ac:dyDescent="0.3">
      <c r="E489" s="241"/>
      <c r="F489" s="241"/>
      <c r="T489" s="254">
        <v>477</v>
      </c>
      <c r="U489" s="248">
        <f t="shared" si="50"/>
        <v>-18.258500000000002</v>
      </c>
      <c r="V489" s="248">
        <f t="shared" si="51"/>
        <v>-238.60849999999999</v>
      </c>
      <c r="W489" s="248">
        <f t="shared" si="52"/>
        <v>260.74</v>
      </c>
      <c r="X489" s="248">
        <f t="shared" si="53"/>
        <v>3.8729999999999905</v>
      </c>
      <c r="Y489" s="248">
        <f t="shared" ca="1" si="49"/>
        <v>13.385727699892982</v>
      </c>
      <c r="Z489" s="248">
        <f t="shared" ca="1" si="54"/>
        <v>5.4128289443844659</v>
      </c>
      <c r="AA489" s="250">
        <f t="shared" ca="1" si="55"/>
        <v>541.28289443844665</v>
      </c>
    </row>
    <row r="490" spans="5:27" x14ac:dyDescent="0.3">
      <c r="E490" s="241"/>
      <c r="F490" s="241"/>
      <c r="T490" s="254">
        <v>478</v>
      </c>
      <c r="U490" s="248">
        <f t="shared" si="50"/>
        <v>-18.258500000000002</v>
      </c>
      <c r="V490" s="248">
        <f t="shared" si="51"/>
        <v>-237.60849999999999</v>
      </c>
      <c r="W490" s="248">
        <f t="shared" si="52"/>
        <v>259.74</v>
      </c>
      <c r="X490" s="248">
        <f t="shared" si="53"/>
        <v>3.8730000000000189</v>
      </c>
      <c r="Y490" s="248">
        <f t="shared" ca="1" si="49"/>
        <v>13.385727699892982</v>
      </c>
      <c r="Z490" s="248">
        <f t="shared" ca="1" si="54"/>
        <v>5.4128289443844944</v>
      </c>
      <c r="AA490" s="250">
        <f t="shared" ca="1" si="55"/>
        <v>541.28289443844949</v>
      </c>
    </row>
    <row r="491" spans="5:27" x14ac:dyDescent="0.3">
      <c r="E491" s="241"/>
      <c r="F491" s="241"/>
      <c r="T491" s="254">
        <v>479</v>
      </c>
      <c r="U491" s="248">
        <f t="shared" si="50"/>
        <v>-18.258500000000002</v>
      </c>
      <c r="V491" s="248">
        <f t="shared" si="51"/>
        <v>-236.60849999999999</v>
      </c>
      <c r="W491" s="248">
        <f t="shared" si="52"/>
        <v>258.74</v>
      </c>
      <c r="X491" s="248">
        <f t="shared" si="53"/>
        <v>3.8730000000000189</v>
      </c>
      <c r="Y491" s="248">
        <f t="shared" ca="1" si="49"/>
        <v>13.385727699892982</v>
      </c>
      <c r="Z491" s="248">
        <f t="shared" ca="1" si="54"/>
        <v>5.4128289443844944</v>
      </c>
      <c r="AA491" s="250">
        <f t="shared" ca="1" si="55"/>
        <v>541.28289443844949</v>
      </c>
    </row>
    <row r="492" spans="5:27" x14ac:dyDescent="0.3">
      <c r="E492" s="241"/>
      <c r="F492" s="241"/>
      <c r="T492" s="254">
        <v>480</v>
      </c>
      <c r="U492" s="248">
        <f t="shared" si="50"/>
        <v>-18.258500000000002</v>
      </c>
      <c r="V492" s="248">
        <f t="shared" si="51"/>
        <v>-235.60849999999999</v>
      </c>
      <c r="W492" s="248">
        <f t="shared" si="52"/>
        <v>257.74</v>
      </c>
      <c r="X492" s="248">
        <f t="shared" si="53"/>
        <v>3.8730000000000189</v>
      </c>
      <c r="Y492" s="248">
        <f t="shared" ca="1" si="49"/>
        <v>13.385727699892982</v>
      </c>
      <c r="Z492" s="248">
        <f t="shared" ca="1" si="54"/>
        <v>5.4128289443844944</v>
      </c>
      <c r="AA492" s="250">
        <f t="shared" ca="1" si="55"/>
        <v>541.28289443844949</v>
      </c>
    </row>
    <row r="493" spans="5:27" x14ac:dyDescent="0.3">
      <c r="E493" s="241"/>
      <c r="F493" s="241"/>
      <c r="T493" s="254">
        <v>481</v>
      </c>
      <c r="U493" s="248">
        <f t="shared" si="50"/>
        <v>-18.258500000000002</v>
      </c>
      <c r="V493" s="248">
        <f t="shared" si="51"/>
        <v>-234.60849999999999</v>
      </c>
      <c r="W493" s="248">
        <f t="shared" si="52"/>
        <v>256.74</v>
      </c>
      <c r="X493" s="248">
        <f t="shared" si="53"/>
        <v>3.8730000000000189</v>
      </c>
      <c r="Y493" s="248">
        <f t="shared" ca="1" si="49"/>
        <v>13.385727699892982</v>
      </c>
      <c r="Z493" s="248">
        <f t="shared" ca="1" si="54"/>
        <v>5.4128289443844944</v>
      </c>
      <c r="AA493" s="250">
        <f t="shared" ca="1" si="55"/>
        <v>541.28289443844949</v>
      </c>
    </row>
    <row r="494" spans="5:27" x14ac:dyDescent="0.3">
      <c r="E494" s="241"/>
      <c r="F494" s="241"/>
      <c r="T494" s="254">
        <v>482</v>
      </c>
      <c r="U494" s="248">
        <f t="shared" si="50"/>
        <v>-18.258500000000002</v>
      </c>
      <c r="V494" s="248">
        <f t="shared" si="51"/>
        <v>-233.60849999999999</v>
      </c>
      <c r="W494" s="248">
        <f t="shared" si="52"/>
        <v>255.74</v>
      </c>
      <c r="X494" s="248">
        <f t="shared" si="53"/>
        <v>3.8730000000000189</v>
      </c>
      <c r="Y494" s="248">
        <f t="shared" ca="1" si="49"/>
        <v>13.385727699892982</v>
      </c>
      <c r="Z494" s="248">
        <f t="shared" ca="1" si="54"/>
        <v>5.4128289443844944</v>
      </c>
      <c r="AA494" s="250">
        <f t="shared" ca="1" si="55"/>
        <v>541.28289443844949</v>
      </c>
    </row>
    <row r="495" spans="5:27" x14ac:dyDescent="0.3">
      <c r="E495" s="241"/>
      <c r="F495" s="241"/>
      <c r="T495" s="254">
        <v>483</v>
      </c>
      <c r="U495" s="248">
        <f t="shared" si="50"/>
        <v>-18.258500000000002</v>
      </c>
      <c r="V495" s="248">
        <f t="shared" si="51"/>
        <v>-232.60849999999999</v>
      </c>
      <c r="W495" s="248">
        <f t="shared" si="52"/>
        <v>254.74</v>
      </c>
      <c r="X495" s="248">
        <f t="shared" si="53"/>
        <v>3.8730000000000189</v>
      </c>
      <c r="Y495" s="248">
        <f t="shared" ca="1" si="49"/>
        <v>13.385727699892982</v>
      </c>
      <c r="Z495" s="248">
        <f t="shared" ca="1" si="54"/>
        <v>5.4128289443844944</v>
      </c>
      <c r="AA495" s="250">
        <f t="shared" ca="1" si="55"/>
        <v>541.28289443844949</v>
      </c>
    </row>
    <row r="496" spans="5:27" x14ac:dyDescent="0.3">
      <c r="E496" s="241"/>
      <c r="F496" s="241"/>
      <c r="T496" s="254">
        <v>484</v>
      </c>
      <c r="U496" s="248">
        <f t="shared" si="50"/>
        <v>-18.258500000000002</v>
      </c>
      <c r="V496" s="248">
        <f t="shared" si="51"/>
        <v>-231.60849999999999</v>
      </c>
      <c r="W496" s="248">
        <f t="shared" si="52"/>
        <v>253.74</v>
      </c>
      <c r="X496" s="248">
        <f t="shared" si="53"/>
        <v>3.8730000000000189</v>
      </c>
      <c r="Y496" s="248">
        <f t="shared" ca="1" si="49"/>
        <v>13.385727699892982</v>
      </c>
      <c r="Z496" s="248">
        <f t="shared" ca="1" si="54"/>
        <v>5.4128289443844944</v>
      </c>
      <c r="AA496" s="250">
        <f t="shared" ca="1" si="55"/>
        <v>541.28289443844949</v>
      </c>
    </row>
    <row r="497" spans="5:27" x14ac:dyDescent="0.3">
      <c r="E497" s="241"/>
      <c r="F497" s="241"/>
      <c r="T497" s="254">
        <v>485</v>
      </c>
      <c r="U497" s="248">
        <f t="shared" si="50"/>
        <v>-18.258500000000002</v>
      </c>
      <c r="V497" s="248">
        <f t="shared" si="51"/>
        <v>-230.60849999999999</v>
      </c>
      <c r="W497" s="248">
        <f t="shared" si="52"/>
        <v>252.74</v>
      </c>
      <c r="X497" s="248">
        <f t="shared" si="53"/>
        <v>3.8730000000000189</v>
      </c>
      <c r="Y497" s="248">
        <f t="shared" ca="1" si="49"/>
        <v>13.385727699892982</v>
      </c>
      <c r="Z497" s="248">
        <f t="shared" ca="1" si="54"/>
        <v>5.4128289443844944</v>
      </c>
      <c r="AA497" s="250">
        <f t="shared" ca="1" si="55"/>
        <v>541.28289443844949</v>
      </c>
    </row>
    <row r="498" spans="5:27" x14ac:dyDescent="0.3">
      <c r="E498" s="241"/>
      <c r="F498" s="241"/>
      <c r="T498" s="254">
        <v>486</v>
      </c>
      <c r="U498" s="248">
        <f t="shared" si="50"/>
        <v>-18.258500000000002</v>
      </c>
      <c r="V498" s="248">
        <f t="shared" si="51"/>
        <v>-229.60849999999999</v>
      </c>
      <c r="W498" s="248">
        <f t="shared" si="52"/>
        <v>251.74</v>
      </c>
      <c r="X498" s="248">
        <f t="shared" si="53"/>
        <v>3.8730000000000189</v>
      </c>
      <c r="Y498" s="248">
        <f t="shared" ca="1" si="49"/>
        <v>13.385727699892982</v>
      </c>
      <c r="Z498" s="248">
        <f t="shared" ca="1" si="54"/>
        <v>5.4128289443844944</v>
      </c>
      <c r="AA498" s="250">
        <f t="shared" ca="1" si="55"/>
        <v>541.28289443844949</v>
      </c>
    </row>
    <row r="499" spans="5:27" x14ac:dyDescent="0.3">
      <c r="E499" s="241"/>
      <c r="F499" s="241"/>
      <c r="T499" s="254">
        <v>487</v>
      </c>
      <c r="U499" s="248">
        <f t="shared" si="50"/>
        <v>-18.258500000000002</v>
      </c>
      <c r="V499" s="248">
        <f t="shared" si="51"/>
        <v>-228.60849999999999</v>
      </c>
      <c r="W499" s="248">
        <f t="shared" si="52"/>
        <v>250.74</v>
      </c>
      <c r="X499" s="248">
        <f t="shared" si="53"/>
        <v>3.8730000000000189</v>
      </c>
      <c r="Y499" s="248">
        <f t="shared" ca="1" si="49"/>
        <v>13.385727699892982</v>
      </c>
      <c r="Z499" s="248">
        <f t="shared" ca="1" si="54"/>
        <v>5.4128289443844944</v>
      </c>
      <c r="AA499" s="250">
        <f t="shared" ca="1" si="55"/>
        <v>541.28289443844949</v>
      </c>
    </row>
    <row r="500" spans="5:27" x14ac:dyDescent="0.3">
      <c r="E500" s="241"/>
      <c r="F500" s="241"/>
      <c r="T500" s="254">
        <v>488</v>
      </c>
      <c r="U500" s="248">
        <f t="shared" si="50"/>
        <v>-18.258500000000002</v>
      </c>
      <c r="V500" s="248">
        <f t="shared" si="51"/>
        <v>-227.60849999999999</v>
      </c>
      <c r="W500" s="248">
        <f t="shared" si="52"/>
        <v>249.74</v>
      </c>
      <c r="X500" s="248">
        <f t="shared" si="53"/>
        <v>3.8730000000000189</v>
      </c>
      <c r="Y500" s="248">
        <f t="shared" ca="1" si="49"/>
        <v>13.385727699892982</v>
      </c>
      <c r="Z500" s="248">
        <f t="shared" ca="1" si="54"/>
        <v>5.4128289443844944</v>
      </c>
      <c r="AA500" s="250">
        <f t="shared" ca="1" si="55"/>
        <v>541.28289443844949</v>
      </c>
    </row>
    <row r="501" spans="5:27" x14ac:dyDescent="0.3">
      <c r="E501" s="241"/>
      <c r="F501" s="241"/>
      <c r="T501" s="254">
        <v>489</v>
      </c>
      <c r="U501" s="248">
        <f t="shared" si="50"/>
        <v>-18.258500000000002</v>
      </c>
      <c r="V501" s="248">
        <f t="shared" si="51"/>
        <v>-226.60849999999999</v>
      </c>
      <c r="W501" s="248">
        <f t="shared" si="52"/>
        <v>248.74</v>
      </c>
      <c r="X501" s="248">
        <f t="shared" si="53"/>
        <v>3.8730000000000189</v>
      </c>
      <c r="Y501" s="248">
        <f t="shared" ca="1" si="49"/>
        <v>13.385727699892982</v>
      </c>
      <c r="Z501" s="248">
        <f t="shared" ca="1" si="54"/>
        <v>5.4128289443844944</v>
      </c>
      <c r="AA501" s="250">
        <f t="shared" ca="1" si="55"/>
        <v>541.28289443844949</v>
      </c>
    </row>
    <row r="502" spans="5:27" x14ac:dyDescent="0.3">
      <c r="E502" s="241"/>
      <c r="F502" s="241"/>
      <c r="T502" s="254">
        <v>490</v>
      </c>
      <c r="U502" s="248">
        <f t="shared" si="50"/>
        <v>-18.258500000000002</v>
      </c>
      <c r="V502" s="248">
        <f t="shared" si="51"/>
        <v>-225.60849999999999</v>
      </c>
      <c r="W502" s="248">
        <f t="shared" si="52"/>
        <v>247.74</v>
      </c>
      <c r="X502" s="248">
        <f t="shared" si="53"/>
        <v>3.8730000000000189</v>
      </c>
      <c r="Y502" s="248">
        <f t="shared" ca="1" si="49"/>
        <v>13.385727699892982</v>
      </c>
      <c r="Z502" s="248">
        <f t="shared" ca="1" si="54"/>
        <v>5.4128289443844944</v>
      </c>
      <c r="AA502" s="250">
        <f t="shared" ca="1" si="55"/>
        <v>541.28289443844949</v>
      </c>
    </row>
    <row r="503" spans="5:27" x14ac:dyDescent="0.3">
      <c r="E503" s="241"/>
      <c r="F503" s="241"/>
      <c r="T503" s="254">
        <v>491</v>
      </c>
      <c r="U503" s="248">
        <f t="shared" si="50"/>
        <v>-18.258500000000002</v>
      </c>
      <c r="V503" s="248">
        <f t="shared" si="51"/>
        <v>-224.60849999999999</v>
      </c>
      <c r="W503" s="248">
        <f t="shared" si="52"/>
        <v>246.74</v>
      </c>
      <c r="X503" s="248">
        <f t="shared" si="53"/>
        <v>3.8730000000000189</v>
      </c>
      <c r="Y503" s="248">
        <f t="shared" ca="1" si="49"/>
        <v>13.385727699892982</v>
      </c>
      <c r="Z503" s="248">
        <f t="shared" ca="1" si="54"/>
        <v>5.4128289443844944</v>
      </c>
      <c r="AA503" s="250">
        <f t="shared" ca="1" si="55"/>
        <v>541.28289443844949</v>
      </c>
    </row>
    <row r="504" spans="5:27" x14ac:dyDescent="0.3">
      <c r="E504" s="241"/>
      <c r="F504" s="241"/>
      <c r="T504" s="254">
        <v>492</v>
      </c>
      <c r="U504" s="248">
        <f t="shared" si="50"/>
        <v>-18.258500000000002</v>
      </c>
      <c r="V504" s="248">
        <f t="shared" si="51"/>
        <v>-223.60849999999999</v>
      </c>
      <c r="W504" s="248">
        <f t="shared" si="52"/>
        <v>245.74</v>
      </c>
      <c r="X504" s="248">
        <f t="shared" si="53"/>
        <v>3.8730000000000189</v>
      </c>
      <c r="Y504" s="248">
        <f t="shared" ca="1" si="49"/>
        <v>13.385727699892982</v>
      </c>
      <c r="Z504" s="248">
        <f t="shared" ca="1" si="54"/>
        <v>5.4128289443844944</v>
      </c>
      <c r="AA504" s="250">
        <f t="shared" ca="1" si="55"/>
        <v>541.28289443844949</v>
      </c>
    </row>
    <row r="505" spans="5:27" x14ac:dyDescent="0.3">
      <c r="E505" s="241"/>
      <c r="F505" s="241"/>
      <c r="T505" s="254">
        <v>493</v>
      </c>
      <c r="U505" s="248">
        <f t="shared" si="50"/>
        <v>-18.258500000000002</v>
      </c>
      <c r="V505" s="248">
        <f t="shared" si="51"/>
        <v>-222.60849999999999</v>
      </c>
      <c r="W505" s="248">
        <f t="shared" si="52"/>
        <v>244.74</v>
      </c>
      <c r="X505" s="248">
        <f t="shared" si="53"/>
        <v>3.8730000000000189</v>
      </c>
      <c r="Y505" s="248">
        <f t="shared" ca="1" si="49"/>
        <v>13.385727699892982</v>
      </c>
      <c r="Z505" s="248">
        <f t="shared" ca="1" si="54"/>
        <v>5.4128289443844944</v>
      </c>
      <c r="AA505" s="250">
        <f t="shared" ca="1" si="55"/>
        <v>541.28289443844949</v>
      </c>
    </row>
    <row r="506" spans="5:27" x14ac:dyDescent="0.3">
      <c r="E506" s="241"/>
      <c r="F506" s="241"/>
      <c r="T506" s="254">
        <v>494</v>
      </c>
      <c r="U506" s="248">
        <f t="shared" si="50"/>
        <v>-18.258500000000002</v>
      </c>
      <c r="V506" s="248">
        <f t="shared" si="51"/>
        <v>-221.60849999999999</v>
      </c>
      <c r="W506" s="248">
        <f t="shared" si="52"/>
        <v>243.74</v>
      </c>
      <c r="X506" s="248">
        <f t="shared" si="53"/>
        <v>3.8730000000000189</v>
      </c>
      <c r="Y506" s="248">
        <f t="shared" ca="1" si="49"/>
        <v>13.385727699892982</v>
      </c>
      <c r="Z506" s="248">
        <f t="shared" ca="1" si="54"/>
        <v>5.4128289443844944</v>
      </c>
      <c r="AA506" s="250">
        <f t="shared" ca="1" si="55"/>
        <v>541.28289443844949</v>
      </c>
    </row>
    <row r="507" spans="5:27" x14ac:dyDescent="0.3">
      <c r="E507" s="241"/>
      <c r="F507" s="241"/>
      <c r="T507" s="254">
        <v>495</v>
      </c>
      <c r="U507" s="248">
        <f t="shared" si="50"/>
        <v>-18.258500000000002</v>
      </c>
      <c r="V507" s="248">
        <f t="shared" si="51"/>
        <v>-220.60849999999999</v>
      </c>
      <c r="W507" s="248">
        <f t="shared" si="52"/>
        <v>242.74</v>
      </c>
      <c r="X507" s="248">
        <f t="shared" si="53"/>
        <v>3.8730000000000189</v>
      </c>
      <c r="Y507" s="248">
        <f t="shared" ca="1" si="49"/>
        <v>13.385727699892982</v>
      </c>
      <c r="Z507" s="248">
        <f t="shared" ca="1" si="54"/>
        <v>5.4128289443844944</v>
      </c>
      <c r="AA507" s="250">
        <f t="shared" ca="1" si="55"/>
        <v>541.28289443844949</v>
      </c>
    </row>
    <row r="508" spans="5:27" x14ac:dyDescent="0.3">
      <c r="E508" s="241"/>
      <c r="F508" s="241"/>
      <c r="T508" s="254">
        <v>496</v>
      </c>
      <c r="U508" s="248">
        <f t="shared" si="50"/>
        <v>-18.258500000000002</v>
      </c>
      <c r="V508" s="248">
        <f t="shared" si="51"/>
        <v>-219.60849999999999</v>
      </c>
      <c r="W508" s="248">
        <f t="shared" si="52"/>
        <v>241.74</v>
      </c>
      <c r="X508" s="248">
        <f t="shared" si="53"/>
        <v>3.8730000000000189</v>
      </c>
      <c r="Y508" s="248">
        <f t="shared" ca="1" si="49"/>
        <v>13.385727699892982</v>
      </c>
      <c r="Z508" s="248">
        <f t="shared" ca="1" si="54"/>
        <v>5.4128289443844944</v>
      </c>
      <c r="AA508" s="250">
        <f t="shared" ca="1" si="55"/>
        <v>541.28289443844949</v>
      </c>
    </row>
    <row r="509" spans="5:27" x14ac:dyDescent="0.3">
      <c r="E509" s="241"/>
      <c r="F509" s="241"/>
      <c r="T509" s="254">
        <v>497</v>
      </c>
      <c r="U509" s="248">
        <f t="shared" si="50"/>
        <v>-18.258500000000002</v>
      </c>
      <c r="V509" s="248">
        <f t="shared" si="51"/>
        <v>-218.60849999999999</v>
      </c>
      <c r="W509" s="248">
        <f t="shared" si="52"/>
        <v>240.74</v>
      </c>
      <c r="X509" s="248">
        <f t="shared" si="53"/>
        <v>3.8730000000000189</v>
      </c>
      <c r="Y509" s="248">
        <f t="shared" ca="1" si="49"/>
        <v>13.385727699892982</v>
      </c>
      <c r="Z509" s="248">
        <f t="shared" ca="1" si="54"/>
        <v>5.4128289443844944</v>
      </c>
      <c r="AA509" s="250">
        <f t="shared" ca="1" si="55"/>
        <v>541.28289443844949</v>
      </c>
    </row>
    <row r="510" spans="5:27" x14ac:dyDescent="0.3">
      <c r="E510" s="241"/>
      <c r="F510" s="241"/>
      <c r="T510" s="254">
        <v>498</v>
      </c>
      <c r="U510" s="248">
        <f t="shared" si="50"/>
        <v>-18.258500000000002</v>
      </c>
      <c r="V510" s="248">
        <f t="shared" si="51"/>
        <v>-217.60849999999999</v>
      </c>
      <c r="W510" s="248">
        <f t="shared" si="52"/>
        <v>239.74</v>
      </c>
      <c r="X510" s="248">
        <f t="shared" si="53"/>
        <v>3.8730000000000189</v>
      </c>
      <c r="Y510" s="248">
        <f t="shared" ca="1" si="49"/>
        <v>13.385727699892982</v>
      </c>
      <c r="Z510" s="248">
        <f t="shared" ca="1" si="54"/>
        <v>5.4128289443844944</v>
      </c>
      <c r="AA510" s="250">
        <f t="shared" ca="1" si="55"/>
        <v>541.28289443844949</v>
      </c>
    </row>
    <row r="511" spans="5:27" x14ac:dyDescent="0.3">
      <c r="E511" s="241"/>
      <c r="F511" s="241"/>
      <c r="T511" s="254">
        <v>499</v>
      </c>
      <c r="U511" s="248">
        <f t="shared" si="50"/>
        <v>-18.258500000000002</v>
      </c>
      <c r="V511" s="248">
        <f t="shared" si="51"/>
        <v>-216.60849999999999</v>
      </c>
      <c r="W511" s="248">
        <f t="shared" si="52"/>
        <v>238.74</v>
      </c>
      <c r="X511" s="248">
        <f t="shared" si="53"/>
        <v>3.8730000000000189</v>
      </c>
      <c r="Y511" s="248">
        <f t="shared" ca="1" si="49"/>
        <v>13.385727699892982</v>
      </c>
      <c r="Z511" s="248">
        <f t="shared" ca="1" si="54"/>
        <v>5.4128289443844944</v>
      </c>
      <c r="AA511" s="250">
        <f t="shared" ca="1" si="55"/>
        <v>541.28289443844949</v>
      </c>
    </row>
    <row r="512" spans="5:27" x14ac:dyDescent="0.3">
      <c r="E512" s="241"/>
      <c r="F512" s="241"/>
      <c r="T512" s="254">
        <v>500</v>
      </c>
      <c r="U512" s="248">
        <f t="shared" si="50"/>
        <v>-18.258500000000002</v>
      </c>
      <c r="V512" s="248">
        <f t="shared" si="51"/>
        <v>-215.60849999999999</v>
      </c>
      <c r="W512" s="248">
        <f t="shared" si="52"/>
        <v>237.74</v>
      </c>
      <c r="X512" s="248">
        <f t="shared" si="53"/>
        <v>3.8730000000000189</v>
      </c>
      <c r="Y512" s="248">
        <f t="shared" ca="1" si="49"/>
        <v>13.385727699892982</v>
      </c>
      <c r="Z512" s="248">
        <f t="shared" ca="1" si="54"/>
        <v>5.4128289443844944</v>
      </c>
      <c r="AA512" s="250">
        <f t="shared" ca="1" si="55"/>
        <v>541.28289443844949</v>
      </c>
    </row>
    <row r="513" spans="5:27" x14ac:dyDescent="0.3">
      <c r="E513" s="241"/>
      <c r="F513" s="241"/>
      <c r="T513" s="254">
        <v>501</v>
      </c>
      <c r="U513" s="248">
        <f t="shared" si="50"/>
        <v>-18.258500000000002</v>
      </c>
      <c r="V513" s="248">
        <f t="shared" si="51"/>
        <v>-214.60849999999999</v>
      </c>
      <c r="W513" s="248">
        <f t="shared" si="52"/>
        <v>236.74</v>
      </c>
      <c r="X513" s="248">
        <f t="shared" si="53"/>
        <v>3.8730000000000189</v>
      </c>
      <c r="Y513" s="248">
        <f t="shared" ca="1" si="49"/>
        <v>13.385727699892982</v>
      </c>
      <c r="Z513" s="248">
        <f t="shared" ca="1" si="54"/>
        <v>5.4128289443844944</v>
      </c>
      <c r="AA513" s="250">
        <f t="shared" ca="1" si="55"/>
        <v>541.28289443844949</v>
      </c>
    </row>
    <row r="514" spans="5:27" x14ac:dyDescent="0.3">
      <c r="E514" s="241"/>
      <c r="F514" s="241"/>
      <c r="T514" s="254">
        <v>502</v>
      </c>
      <c r="U514" s="248">
        <f t="shared" si="50"/>
        <v>-18.258500000000002</v>
      </c>
      <c r="V514" s="248">
        <f t="shared" si="51"/>
        <v>-213.60849999999999</v>
      </c>
      <c r="W514" s="248">
        <f t="shared" si="52"/>
        <v>235.74</v>
      </c>
      <c r="X514" s="248">
        <f t="shared" si="53"/>
        <v>3.8730000000000189</v>
      </c>
      <c r="Y514" s="248">
        <f t="shared" ca="1" si="49"/>
        <v>13.385727699892982</v>
      </c>
      <c r="Z514" s="248">
        <f t="shared" ca="1" si="54"/>
        <v>5.4128289443844944</v>
      </c>
      <c r="AA514" s="250">
        <f t="shared" ca="1" si="55"/>
        <v>541.28289443844949</v>
      </c>
    </row>
    <row r="515" spans="5:27" x14ac:dyDescent="0.3">
      <c r="E515" s="241"/>
      <c r="F515" s="241"/>
      <c r="T515" s="254">
        <v>503</v>
      </c>
      <c r="U515" s="248">
        <f t="shared" si="50"/>
        <v>-18.258500000000002</v>
      </c>
      <c r="V515" s="248">
        <f t="shared" si="51"/>
        <v>-212.60849999999999</v>
      </c>
      <c r="W515" s="248">
        <f t="shared" si="52"/>
        <v>234.74</v>
      </c>
      <c r="X515" s="248">
        <f t="shared" si="53"/>
        <v>3.8730000000000189</v>
      </c>
      <c r="Y515" s="248">
        <f t="shared" ca="1" si="49"/>
        <v>13.385727699892982</v>
      </c>
      <c r="Z515" s="248">
        <f t="shared" ca="1" si="54"/>
        <v>5.4128289443844944</v>
      </c>
      <c r="AA515" s="250">
        <f t="shared" ca="1" si="55"/>
        <v>541.28289443844949</v>
      </c>
    </row>
    <row r="516" spans="5:27" x14ac:dyDescent="0.3">
      <c r="E516" s="241"/>
      <c r="F516" s="241"/>
      <c r="T516" s="254">
        <v>504</v>
      </c>
      <c r="U516" s="248">
        <f t="shared" si="50"/>
        <v>-18.258500000000002</v>
      </c>
      <c r="V516" s="248">
        <f t="shared" si="51"/>
        <v>-211.60849999999999</v>
      </c>
      <c r="W516" s="248">
        <f t="shared" si="52"/>
        <v>233.74</v>
      </c>
      <c r="X516" s="248">
        <f t="shared" si="53"/>
        <v>3.8730000000000189</v>
      </c>
      <c r="Y516" s="248">
        <f t="shared" ca="1" si="49"/>
        <v>13.385727699892982</v>
      </c>
      <c r="Z516" s="248">
        <f t="shared" ca="1" si="54"/>
        <v>5.4128289443844944</v>
      </c>
      <c r="AA516" s="250">
        <f t="shared" ca="1" si="55"/>
        <v>541.28289443844949</v>
      </c>
    </row>
    <row r="517" spans="5:27" x14ac:dyDescent="0.3">
      <c r="E517" s="241"/>
      <c r="F517" s="241"/>
      <c r="T517" s="254">
        <v>505</v>
      </c>
      <c r="U517" s="248">
        <f t="shared" si="50"/>
        <v>-18.258500000000002</v>
      </c>
      <c r="V517" s="248">
        <f t="shared" si="51"/>
        <v>-210.60849999999999</v>
      </c>
      <c r="W517" s="248">
        <f t="shared" si="52"/>
        <v>232.74</v>
      </c>
      <c r="X517" s="248">
        <f t="shared" si="53"/>
        <v>3.8730000000000189</v>
      </c>
      <c r="Y517" s="248">
        <f t="shared" ca="1" si="49"/>
        <v>13.385727699892982</v>
      </c>
      <c r="Z517" s="248">
        <f t="shared" ca="1" si="54"/>
        <v>5.4128289443844944</v>
      </c>
      <c r="AA517" s="250">
        <f t="shared" ca="1" si="55"/>
        <v>541.28289443844949</v>
      </c>
    </row>
    <row r="518" spans="5:27" x14ac:dyDescent="0.3">
      <c r="E518" s="241"/>
      <c r="F518" s="241"/>
      <c r="T518" s="254">
        <v>506</v>
      </c>
      <c r="U518" s="248">
        <f t="shared" si="50"/>
        <v>-18.258500000000002</v>
      </c>
      <c r="V518" s="248">
        <f t="shared" si="51"/>
        <v>-209.60849999999999</v>
      </c>
      <c r="W518" s="248">
        <f t="shared" si="52"/>
        <v>231.74</v>
      </c>
      <c r="X518" s="248">
        <f t="shared" si="53"/>
        <v>3.8730000000000189</v>
      </c>
      <c r="Y518" s="248">
        <f t="shared" ca="1" si="49"/>
        <v>13.385727699892982</v>
      </c>
      <c r="Z518" s="248">
        <f t="shared" ca="1" si="54"/>
        <v>5.4128289443844944</v>
      </c>
      <c r="AA518" s="250">
        <f t="shared" ca="1" si="55"/>
        <v>541.28289443844949</v>
      </c>
    </row>
    <row r="519" spans="5:27" x14ac:dyDescent="0.3">
      <c r="E519" s="241"/>
      <c r="F519" s="241"/>
      <c r="T519" s="254">
        <v>507</v>
      </c>
      <c r="U519" s="248">
        <f t="shared" si="50"/>
        <v>-18.258500000000002</v>
      </c>
      <c r="V519" s="248">
        <f t="shared" si="51"/>
        <v>-208.60849999999999</v>
      </c>
      <c r="W519" s="248">
        <f t="shared" si="52"/>
        <v>230.74</v>
      </c>
      <c r="X519" s="248">
        <f t="shared" si="53"/>
        <v>3.8730000000000189</v>
      </c>
      <c r="Y519" s="248">
        <f t="shared" ca="1" si="49"/>
        <v>13.385727699892982</v>
      </c>
      <c r="Z519" s="248">
        <f t="shared" ca="1" si="54"/>
        <v>5.4128289443844944</v>
      </c>
      <c r="AA519" s="250">
        <f t="shared" ca="1" si="55"/>
        <v>541.28289443844949</v>
      </c>
    </row>
    <row r="520" spans="5:27" x14ac:dyDescent="0.3">
      <c r="E520" s="241"/>
      <c r="F520" s="241"/>
      <c r="T520" s="254">
        <v>508</v>
      </c>
      <c r="U520" s="248">
        <f t="shared" si="50"/>
        <v>-18.258500000000002</v>
      </c>
      <c r="V520" s="248">
        <f t="shared" si="51"/>
        <v>-207.60849999999999</v>
      </c>
      <c r="W520" s="248">
        <f t="shared" si="52"/>
        <v>229.74</v>
      </c>
      <c r="X520" s="248">
        <f t="shared" si="53"/>
        <v>3.8730000000000189</v>
      </c>
      <c r="Y520" s="248">
        <f t="shared" ca="1" si="49"/>
        <v>13.385727699892982</v>
      </c>
      <c r="Z520" s="248">
        <f t="shared" ca="1" si="54"/>
        <v>5.4128289443844944</v>
      </c>
      <c r="AA520" s="250">
        <f t="shared" ca="1" si="55"/>
        <v>541.28289443844949</v>
      </c>
    </row>
    <row r="521" spans="5:27" x14ac:dyDescent="0.3">
      <c r="E521" s="241"/>
      <c r="F521" s="241"/>
      <c r="T521" s="254">
        <v>509</v>
      </c>
      <c r="U521" s="248">
        <f t="shared" si="50"/>
        <v>-18.258500000000002</v>
      </c>
      <c r="V521" s="248">
        <f t="shared" si="51"/>
        <v>-206.60849999999999</v>
      </c>
      <c r="W521" s="248">
        <f t="shared" si="52"/>
        <v>228.74</v>
      </c>
      <c r="X521" s="248">
        <f t="shared" si="53"/>
        <v>3.8730000000000189</v>
      </c>
      <c r="Y521" s="248">
        <f t="shared" ca="1" si="49"/>
        <v>13.385727699892982</v>
      </c>
      <c r="Z521" s="248">
        <f t="shared" ca="1" si="54"/>
        <v>5.4128289443844944</v>
      </c>
      <c r="AA521" s="250">
        <f t="shared" ca="1" si="55"/>
        <v>541.28289443844949</v>
      </c>
    </row>
    <row r="522" spans="5:27" x14ac:dyDescent="0.3">
      <c r="E522" s="241"/>
      <c r="F522" s="241"/>
      <c r="T522" s="254">
        <v>510</v>
      </c>
      <c r="U522" s="248">
        <f t="shared" si="50"/>
        <v>-18.258500000000002</v>
      </c>
      <c r="V522" s="248">
        <f t="shared" si="51"/>
        <v>-205.60849999999999</v>
      </c>
      <c r="W522" s="248">
        <f t="shared" si="52"/>
        <v>227.74</v>
      </c>
      <c r="X522" s="248">
        <f t="shared" si="53"/>
        <v>3.8730000000000189</v>
      </c>
      <c r="Y522" s="248">
        <f t="shared" ca="1" si="49"/>
        <v>13.385727699892982</v>
      </c>
      <c r="Z522" s="248">
        <f t="shared" ca="1" si="54"/>
        <v>5.4128289443844944</v>
      </c>
      <c r="AA522" s="250">
        <f t="shared" ca="1" si="55"/>
        <v>541.28289443844949</v>
      </c>
    </row>
    <row r="523" spans="5:27" x14ac:dyDescent="0.3">
      <c r="E523" s="241"/>
      <c r="F523" s="241"/>
      <c r="T523" s="254">
        <v>511</v>
      </c>
      <c r="U523" s="248">
        <f t="shared" si="50"/>
        <v>-18.258500000000002</v>
      </c>
      <c r="V523" s="248">
        <f t="shared" si="51"/>
        <v>-204.60849999999999</v>
      </c>
      <c r="W523" s="248">
        <f t="shared" si="52"/>
        <v>226.74</v>
      </c>
      <c r="X523" s="248">
        <f t="shared" si="53"/>
        <v>3.8730000000000189</v>
      </c>
      <c r="Y523" s="248">
        <f t="shared" ca="1" si="49"/>
        <v>13.385727699892982</v>
      </c>
      <c r="Z523" s="248">
        <f t="shared" ca="1" si="54"/>
        <v>5.4128289443844944</v>
      </c>
      <c r="AA523" s="250">
        <f t="shared" ca="1" si="55"/>
        <v>541.28289443844949</v>
      </c>
    </row>
    <row r="524" spans="5:27" x14ac:dyDescent="0.3">
      <c r="E524" s="241"/>
      <c r="F524" s="241"/>
      <c r="T524" s="254">
        <v>512</v>
      </c>
      <c r="U524" s="248">
        <f t="shared" si="50"/>
        <v>-18.258500000000002</v>
      </c>
      <c r="V524" s="248">
        <f t="shared" si="51"/>
        <v>-203.60849999999999</v>
      </c>
      <c r="W524" s="248">
        <f t="shared" si="52"/>
        <v>225.74</v>
      </c>
      <c r="X524" s="248">
        <f t="shared" si="53"/>
        <v>3.8730000000000189</v>
      </c>
      <c r="Y524" s="248">
        <f t="shared" ref="Y524:Y587" ca="1" si="56">$Y$10*EXP($Y$7*$C$6)-$Y$10</f>
        <v>13.385727699892982</v>
      </c>
      <c r="Z524" s="248">
        <f t="shared" ca="1" si="54"/>
        <v>5.4128289443844944</v>
      </c>
      <c r="AA524" s="250">
        <f t="shared" ca="1" si="55"/>
        <v>541.28289443844949</v>
      </c>
    </row>
    <row r="525" spans="5:27" x14ac:dyDescent="0.3">
      <c r="E525" s="241"/>
      <c r="F525" s="241"/>
      <c r="T525" s="254">
        <v>513</v>
      </c>
      <c r="U525" s="248">
        <f t="shared" ref="U525:U588" si="57">MAX(0,T525-$U$9)-$U$10-$U$11/100</f>
        <v>-18.258500000000002</v>
      </c>
      <c r="V525" s="248">
        <f t="shared" ref="V525:V588" si="58">$V$10-MAX(0,$V$9-T525)-$V$11/100</f>
        <v>-202.60849999999999</v>
      </c>
      <c r="W525" s="248">
        <f t="shared" ref="W525:W588" si="59">$W$10-T525</f>
        <v>224.74</v>
      </c>
      <c r="X525" s="248">
        <f t="shared" ref="X525:X588" si="60">SUM(U525:W525)</f>
        <v>3.8730000000000189</v>
      </c>
      <c r="Y525" s="248">
        <f t="shared" ca="1" si="56"/>
        <v>13.385727699892982</v>
      </c>
      <c r="Z525" s="248">
        <f t="shared" ref="Z525:Z588" ca="1" si="61">EXP(-$E$3*$C$6)*SUM(X525:Y525)</f>
        <v>5.4128289443844944</v>
      </c>
      <c r="AA525" s="250">
        <f t="shared" ref="AA525:AA588" ca="1" si="62">Z525*100</f>
        <v>541.28289443844949</v>
      </c>
    </row>
    <row r="526" spans="5:27" x14ac:dyDescent="0.3">
      <c r="E526" s="241"/>
      <c r="F526" s="241"/>
      <c r="T526" s="254">
        <v>514</v>
      </c>
      <c r="U526" s="248">
        <f t="shared" si="57"/>
        <v>-18.258500000000002</v>
      </c>
      <c r="V526" s="248">
        <f t="shared" si="58"/>
        <v>-201.60849999999999</v>
      </c>
      <c r="W526" s="248">
        <f t="shared" si="59"/>
        <v>223.74</v>
      </c>
      <c r="X526" s="248">
        <f t="shared" si="60"/>
        <v>3.8730000000000189</v>
      </c>
      <c r="Y526" s="248">
        <f t="shared" ca="1" si="56"/>
        <v>13.385727699892982</v>
      </c>
      <c r="Z526" s="248">
        <f t="shared" ca="1" si="61"/>
        <v>5.4128289443844944</v>
      </c>
      <c r="AA526" s="250">
        <f t="shared" ca="1" si="62"/>
        <v>541.28289443844949</v>
      </c>
    </row>
    <row r="527" spans="5:27" x14ac:dyDescent="0.3">
      <c r="E527" s="241"/>
      <c r="F527" s="241"/>
      <c r="T527" s="254">
        <v>515</v>
      </c>
      <c r="U527" s="248">
        <f t="shared" si="57"/>
        <v>-18.258500000000002</v>
      </c>
      <c r="V527" s="248">
        <f t="shared" si="58"/>
        <v>-200.60849999999999</v>
      </c>
      <c r="W527" s="248">
        <f t="shared" si="59"/>
        <v>222.74</v>
      </c>
      <c r="X527" s="248">
        <f t="shared" si="60"/>
        <v>3.8730000000000189</v>
      </c>
      <c r="Y527" s="248">
        <f t="shared" ca="1" si="56"/>
        <v>13.385727699892982</v>
      </c>
      <c r="Z527" s="248">
        <f t="shared" ca="1" si="61"/>
        <v>5.4128289443844944</v>
      </c>
      <c r="AA527" s="250">
        <f t="shared" ca="1" si="62"/>
        <v>541.28289443844949</v>
      </c>
    </row>
    <row r="528" spans="5:27" x14ac:dyDescent="0.3">
      <c r="E528" s="241"/>
      <c r="F528" s="241"/>
      <c r="T528" s="254">
        <v>516</v>
      </c>
      <c r="U528" s="248">
        <f t="shared" si="57"/>
        <v>-18.258500000000002</v>
      </c>
      <c r="V528" s="248">
        <f t="shared" si="58"/>
        <v>-199.60849999999999</v>
      </c>
      <c r="W528" s="248">
        <f t="shared" si="59"/>
        <v>221.74</v>
      </c>
      <c r="X528" s="248">
        <f t="shared" si="60"/>
        <v>3.8730000000000189</v>
      </c>
      <c r="Y528" s="248">
        <f t="shared" ca="1" si="56"/>
        <v>13.385727699892982</v>
      </c>
      <c r="Z528" s="248">
        <f t="shared" ca="1" si="61"/>
        <v>5.4128289443844944</v>
      </c>
      <c r="AA528" s="250">
        <f t="shared" ca="1" si="62"/>
        <v>541.28289443844949</v>
      </c>
    </row>
    <row r="529" spans="5:27" x14ac:dyDescent="0.3">
      <c r="E529" s="241"/>
      <c r="F529" s="241"/>
      <c r="T529" s="254">
        <v>517</v>
      </c>
      <c r="U529" s="248">
        <f t="shared" si="57"/>
        <v>-18.258500000000002</v>
      </c>
      <c r="V529" s="248">
        <f t="shared" si="58"/>
        <v>-198.60849999999999</v>
      </c>
      <c r="W529" s="248">
        <f t="shared" si="59"/>
        <v>220.74</v>
      </c>
      <c r="X529" s="248">
        <f t="shared" si="60"/>
        <v>3.8730000000000189</v>
      </c>
      <c r="Y529" s="248">
        <f t="shared" ca="1" si="56"/>
        <v>13.385727699892982</v>
      </c>
      <c r="Z529" s="248">
        <f t="shared" ca="1" si="61"/>
        <v>5.4128289443844944</v>
      </c>
      <c r="AA529" s="250">
        <f t="shared" ca="1" si="62"/>
        <v>541.28289443844949</v>
      </c>
    </row>
    <row r="530" spans="5:27" x14ac:dyDescent="0.3">
      <c r="E530" s="241"/>
      <c r="F530" s="241"/>
      <c r="T530" s="254">
        <v>518</v>
      </c>
      <c r="U530" s="248">
        <f t="shared" si="57"/>
        <v>-18.258500000000002</v>
      </c>
      <c r="V530" s="248">
        <f t="shared" si="58"/>
        <v>-197.60849999999999</v>
      </c>
      <c r="W530" s="248">
        <f t="shared" si="59"/>
        <v>219.74</v>
      </c>
      <c r="X530" s="248">
        <f t="shared" si="60"/>
        <v>3.8730000000000189</v>
      </c>
      <c r="Y530" s="248">
        <f t="shared" ca="1" si="56"/>
        <v>13.385727699892982</v>
      </c>
      <c r="Z530" s="248">
        <f t="shared" ca="1" si="61"/>
        <v>5.4128289443844944</v>
      </c>
      <c r="AA530" s="250">
        <f t="shared" ca="1" si="62"/>
        <v>541.28289443844949</v>
      </c>
    </row>
    <row r="531" spans="5:27" x14ac:dyDescent="0.3">
      <c r="E531" s="241"/>
      <c r="F531" s="241"/>
      <c r="T531" s="254">
        <v>519</v>
      </c>
      <c r="U531" s="248">
        <f t="shared" si="57"/>
        <v>-18.258500000000002</v>
      </c>
      <c r="V531" s="248">
        <f t="shared" si="58"/>
        <v>-196.60849999999999</v>
      </c>
      <c r="W531" s="248">
        <f t="shared" si="59"/>
        <v>218.74</v>
      </c>
      <c r="X531" s="248">
        <f t="shared" si="60"/>
        <v>3.8730000000000189</v>
      </c>
      <c r="Y531" s="248">
        <f t="shared" ca="1" si="56"/>
        <v>13.385727699892982</v>
      </c>
      <c r="Z531" s="248">
        <f t="shared" ca="1" si="61"/>
        <v>5.4128289443844944</v>
      </c>
      <c r="AA531" s="250">
        <f t="shared" ca="1" si="62"/>
        <v>541.28289443844949</v>
      </c>
    </row>
    <row r="532" spans="5:27" x14ac:dyDescent="0.3">
      <c r="E532" s="241"/>
      <c r="F532" s="241"/>
      <c r="T532" s="254">
        <v>520</v>
      </c>
      <c r="U532" s="248">
        <f t="shared" si="57"/>
        <v>-18.258500000000002</v>
      </c>
      <c r="V532" s="248">
        <f t="shared" si="58"/>
        <v>-195.60849999999999</v>
      </c>
      <c r="W532" s="248">
        <f t="shared" si="59"/>
        <v>217.74</v>
      </c>
      <c r="X532" s="248">
        <f t="shared" si="60"/>
        <v>3.8730000000000189</v>
      </c>
      <c r="Y532" s="248">
        <f t="shared" ca="1" si="56"/>
        <v>13.385727699892982</v>
      </c>
      <c r="Z532" s="248">
        <f t="shared" ca="1" si="61"/>
        <v>5.4128289443844944</v>
      </c>
      <c r="AA532" s="250">
        <f t="shared" ca="1" si="62"/>
        <v>541.28289443844949</v>
      </c>
    </row>
    <row r="533" spans="5:27" x14ac:dyDescent="0.3">
      <c r="E533" s="241"/>
      <c r="F533" s="241"/>
      <c r="T533" s="254">
        <v>521</v>
      </c>
      <c r="U533" s="248">
        <f t="shared" si="57"/>
        <v>-18.258500000000002</v>
      </c>
      <c r="V533" s="248">
        <f t="shared" si="58"/>
        <v>-194.60849999999999</v>
      </c>
      <c r="W533" s="248">
        <f t="shared" si="59"/>
        <v>216.74</v>
      </c>
      <c r="X533" s="248">
        <f t="shared" si="60"/>
        <v>3.8730000000000189</v>
      </c>
      <c r="Y533" s="248">
        <f t="shared" ca="1" si="56"/>
        <v>13.385727699892982</v>
      </c>
      <c r="Z533" s="248">
        <f t="shared" ca="1" si="61"/>
        <v>5.4128289443844944</v>
      </c>
      <c r="AA533" s="250">
        <f t="shared" ca="1" si="62"/>
        <v>541.28289443844949</v>
      </c>
    </row>
    <row r="534" spans="5:27" x14ac:dyDescent="0.3">
      <c r="E534" s="241"/>
      <c r="F534" s="241"/>
      <c r="T534" s="254">
        <v>522</v>
      </c>
      <c r="U534" s="248">
        <f t="shared" si="57"/>
        <v>-18.258500000000002</v>
      </c>
      <c r="V534" s="248">
        <f t="shared" si="58"/>
        <v>-193.60849999999999</v>
      </c>
      <c r="W534" s="248">
        <f t="shared" si="59"/>
        <v>215.74</v>
      </c>
      <c r="X534" s="248">
        <f t="shared" si="60"/>
        <v>3.8730000000000189</v>
      </c>
      <c r="Y534" s="248">
        <f t="shared" ca="1" si="56"/>
        <v>13.385727699892982</v>
      </c>
      <c r="Z534" s="248">
        <f t="shared" ca="1" si="61"/>
        <v>5.4128289443844944</v>
      </c>
      <c r="AA534" s="250">
        <f t="shared" ca="1" si="62"/>
        <v>541.28289443844949</v>
      </c>
    </row>
    <row r="535" spans="5:27" x14ac:dyDescent="0.3">
      <c r="E535" s="241"/>
      <c r="F535" s="241"/>
      <c r="T535" s="254">
        <v>523</v>
      </c>
      <c r="U535" s="248">
        <f t="shared" si="57"/>
        <v>-18.258500000000002</v>
      </c>
      <c r="V535" s="248">
        <f t="shared" si="58"/>
        <v>-192.60849999999999</v>
      </c>
      <c r="W535" s="248">
        <f t="shared" si="59"/>
        <v>214.74</v>
      </c>
      <c r="X535" s="248">
        <f t="shared" si="60"/>
        <v>3.8730000000000189</v>
      </c>
      <c r="Y535" s="248">
        <f t="shared" ca="1" si="56"/>
        <v>13.385727699892982</v>
      </c>
      <c r="Z535" s="248">
        <f t="shared" ca="1" si="61"/>
        <v>5.4128289443844944</v>
      </c>
      <c r="AA535" s="250">
        <f t="shared" ca="1" si="62"/>
        <v>541.28289443844949</v>
      </c>
    </row>
    <row r="536" spans="5:27" x14ac:dyDescent="0.3">
      <c r="E536" s="241"/>
      <c r="F536" s="241"/>
      <c r="T536" s="254">
        <v>524</v>
      </c>
      <c r="U536" s="248">
        <f t="shared" si="57"/>
        <v>-18.258500000000002</v>
      </c>
      <c r="V536" s="248">
        <f t="shared" si="58"/>
        <v>-191.60849999999999</v>
      </c>
      <c r="W536" s="248">
        <f t="shared" si="59"/>
        <v>213.74</v>
      </c>
      <c r="X536" s="248">
        <f t="shared" si="60"/>
        <v>3.8730000000000189</v>
      </c>
      <c r="Y536" s="248">
        <f t="shared" ca="1" si="56"/>
        <v>13.385727699892982</v>
      </c>
      <c r="Z536" s="248">
        <f t="shared" ca="1" si="61"/>
        <v>5.4128289443844944</v>
      </c>
      <c r="AA536" s="250">
        <f t="shared" ca="1" si="62"/>
        <v>541.28289443844949</v>
      </c>
    </row>
    <row r="537" spans="5:27" x14ac:dyDescent="0.3">
      <c r="E537" s="241"/>
      <c r="F537" s="241"/>
      <c r="T537" s="254">
        <v>525</v>
      </c>
      <c r="U537" s="248">
        <f t="shared" si="57"/>
        <v>-18.258500000000002</v>
      </c>
      <c r="V537" s="248">
        <f t="shared" si="58"/>
        <v>-190.60849999999999</v>
      </c>
      <c r="W537" s="248">
        <f t="shared" si="59"/>
        <v>212.74</v>
      </c>
      <c r="X537" s="248">
        <f t="shared" si="60"/>
        <v>3.8730000000000189</v>
      </c>
      <c r="Y537" s="248">
        <f t="shared" ca="1" si="56"/>
        <v>13.385727699892982</v>
      </c>
      <c r="Z537" s="248">
        <f t="shared" ca="1" si="61"/>
        <v>5.4128289443844944</v>
      </c>
      <c r="AA537" s="250">
        <f t="shared" ca="1" si="62"/>
        <v>541.28289443844949</v>
      </c>
    </row>
    <row r="538" spans="5:27" x14ac:dyDescent="0.3">
      <c r="E538" s="241"/>
      <c r="F538" s="241"/>
      <c r="T538" s="254">
        <v>526</v>
      </c>
      <c r="U538" s="248">
        <f t="shared" si="57"/>
        <v>-18.258500000000002</v>
      </c>
      <c r="V538" s="248">
        <f t="shared" si="58"/>
        <v>-189.60849999999999</v>
      </c>
      <c r="W538" s="248">
        <f t="shared" si="59"/>
        <v>211.74</v>
      </c>
      <c r="X538" s="248">
        <f t="shared" si="60"/>
        <v>3.8730000000000189</v>
      </c>
      <c r="Y538" s="248">
        <f t="shared" ca="1" si="56"/>
        <v>13.385727699892982</v>
      </c>
      <c r="Z538" s="248">
        <f t="shared" ca="1" si="61"/>
        <v>5.4128289443844944</v>
      </c>
      <c r="AA538" s="250">
        <f t="shared" ca="1" si="62"/>
        <v>541.28289443844949</v>
      </c>
    </row>
    <row r="539" spans="5:27" x14ac:dyDescent="0.3">
      <c r="E539" s="241"/>
      <c r="F539" s="241"/>
      <c r="T539" s="254">
        <v>527</v>
      </c>
      <c r="U539" s="248">
        <f t="shared" si="57"/>
        <v>-18.258500000000002</v>
      </c>
      <c r="V539" s="248">
        <f t="shared" si="58"/>
        <v>-188.60849999999999</v>
      </c>
      <c r="W539" s="248">
        <f t="shared" si="59"/>
        <v>210.74</v>
      </c>
      <c r="X539" s="248">
        <f t="shared" si="60"/>
        <v>3.8730000000000189</v>
      </c>
      <c r="Y539" s="248">
        <f t="shared" ca="1" si="56"/>
        <v>13.385727699892982</v>
      </c>
      <c r="Z539" s="248">
        <f t="shared" ca="1" si="61"/>
        <v>5.4128289443844944</v>
      </c>
      <c r="AA539" s="250">
        <f t="shared" ca="1" si="62"/>
        <v>541.28289443844949</v>
      </c>
    </row>
    <row r="540" spans="5:27" x14ac:dyDescent="0.3">
      <c r="E540" s="241"/>
      <c r="F540" s="241"/>
      <c r="T540" s="254">
        <v>528</v>
      </c>
      <c r="U540" s="248">
        <f t="shared" si="57"/>
        <v>-18.258500000000002</v>
      </c>
      <c r="V540" s="248">
        <f t="shared" si="58"/>
        <v>-187.60849999999999</v>
      </c>
      <c r="W540" s="248">
        <f t="shared" si="59"/>
        <v>209.74</v>
      </c>
      <c r="X540" s="248">
        <f t="shared" si="60"/>
        <v>3.8730000000000189</v>
      </c>
      <c r="Y540" s="248">
        <f t="shared" ca="1" si="56"/>
        <v>13.385727699892982</v>
      </c>
      <c r="Z540" s="248">
        <f t="shared" ca="1" si="61"/>
        <v>5.4128289443844944</v>
      </c>
      <c r="AA540" s="250">
        <f t="shared" ca="1" si="62"/>
        <v>541.28289443844949</v>
      </c>
    </row>
    <row r="541" spans="5:27" x14ac:dyDescent="0.3">
      <c r="E541" s="241"/>
      <c r="F541" s="241"/>
      <c r="T541" s="254">
        <v>529</v>
      </c>
      <c r="U541" s="248">
        <f t="shared" si="57"/>
        <v>-18.258500000000002</v>
      </c>
      <c r="V541" s="248">
        <f t="shared" si="58"/>
        <v>-186.60849999999999</v>
      </c>
      <c r="W541" s="248">
        <f t="shared" si="59"/>
        <v>208.74</v>
      </c>
      <c r="X541" s="248">
        <f t="shared" si="60"/>
        <v>3.8730000000000189</v>
      </c>
      <c r="Y541" s="248">
        <f t="shared" ca="1" si="56"/>
        <v>13.385727699892982</v>
      </c>
      <c r="Z541" s="248">
        <f t="shared" ca="1" si="61"/>
        <v>5.4128289443844944</v>
      </c>
      <c r="AA541" s="250">
        <f t="shared" ca="1" si="62"/>
        <v>541.28289443844949</v>
      </c>
    </row>
    <row r="542" spans="5:27" x14ac:dyDescent="0.3">
      <c r="E542" s="241"/>
      <c r="F542" s="241"/>
      <c r="T542" s="254">
        <v>530</v>
      </c>
      <c r="U542" s="248">
        <f t="shared" si="57"/>
        <v>-18.258500000000002</v>
      </c>
      <c r="V542" s="248">
        <f t="shared" si="58"/>
        <v>-185.60849999999999</v>
      </c>
      <c r="W542" s="248">
        <f t="shared" si="59"/>
        <v>207.74</v>
      </c>
      <c r="X542" s="248">
        <f t="shared" si="60"/>
        <v>3.8730000000000189</v>
      </c>
      <c r="Y542" s="248">
        <f t="shared" ca="1" si="56"/>
        <v>13.385727699892982</v>
      </c>
      <c r="Z542" s="248">
        <f t="shared" ca="1" si="61"/>
        <v>5.4128289443844944</v>
      </c>
      <c r="AA542" s="250">
        <f t="shared" ca="1" si="62"/>
        <v>541.28289443844949</v>
      </c>
    </row>
    <row r="543" spans="5:27" x14ac:dyDescent="0.3">
      <c r="E543" s="241"/>
      <c r="F543" s="241"/>
      <c r="T543" s="254">
        <v>531</v>
      </c>
      <c r="U543" s="248">
        <f t="shared" si="57"/>
        <v>-18.258500000000002</v>
      </c>
      <c r="V543" s="248">
        <f t="shared" si="58"/>
        <v>-184.60849999999999</v>
      </c>
      <c r="W543" s="248">
        <f t="shared" si="59"/>
        <v>206.74</v>
      </c>
      <c r="X543" s="248">
        <f t="shared" si="60"/>
        <v>3.8730000000000189</v>
      </c>
      <c r="Y543" s="248">
        <f t="shared" ca="1" si="56"/>
        <v>13.385727699892982</v>
      </c>
      <c r="Z543" s="248">
        <f t="shared" ca="1" si="61"/>
        <v>5.4128289443844944</v>
      </c>
      <c r="AA543" s="250">
        <f t="shared" ca="1" si="62"/>
        <v>541.28289443844949</v>
      </c>
    </row>
    <row r="544" spans="5:27" x14ac:dyDescent="0.3">
      <c r="E544" s="241"/>
      <c r="F544" s="241"/>
      <c r="T544" s="254">
        <v>532</v>
      </c>
      <c r="U544" s="248">
        <f t="shared" si="57"/>
        <v>-18.258500000000002</v>
      </c>
      <c r="V544" s="248">
        <f t="shared" si="58"/>
        <v>-183.60849999999999</v>
      </c>
      <c r="W544" s="248">
        <f t="shared" si="59"/>
        <v>205.74</v>
      </c>
      <c r="X544" s="248">
        <f t="shared" si="60"/>
        <v>3.8730000000000189</v>
      </c>
      <c r="Y544" s="248">
        <f t="shared" ca="1" si="56"/>
        <v>13.385727699892982</v>
      </c>
      <c r="Z544" s="248">
        <f t="shared" ca="1" si="61"/>
        <v>5.4128289443844944</v>
      </c>
      <c r="AA544" s="250">
        <f t="shared" ca="1" si="62"/>
        <v>541.28289443844949</v>
      </c>
    </row>
    <row r="545" spans="5:27" x14ac:dyDescent="0.3">
      <c r="E545" s="241"/>
      <c r="F545" s="241"/>
      <c r="T545" s="254">
        <v>533</v>
      </c>
      <c r="U545" s="248">
        <f t="shared" si="57"/>
        <v>-18.258500000000002</v>
      </c>
      <c r="V545" s="248">
        <f t="shared" si="58"/>
        <v>-182.60849999999999</v>
      </c>
      <c r="W545" s="248">
        <f t="shared" si="59"/>
        <v>204.74</v>
      </c>
      <c r="X545" s="248">
        <f t="shared" si="60"/>
        <v>3.8730000000000189</v>
      </c>
      <c r="Y545" s="248">
        <f t="shared" ca="1" si="56"/>
        <v>13.385727699892982</v>
      </c>
      <c r="Z545" s="248">
        <f t="shared" ca="1" si="61"/>
        <v>5.4128289443844944</v>
      </c>
      <c r="AA545" s="250">
        <f t="shared" ca="1" si="62"/>
        <v>541.28289443844949</v>
      </c>
    </row>
    <row r="546" spans="5:27" x14ac:dyDescent="0.3">
      <c r="E546" s="241"/>
      <c r="F546" s="241"/>
      <c r="T546" s="254">
        <v>534</v>
      </c>
      <c r="U546" s="248">
        <f t="shared" si="57"/>
        <v>-18.258500000000002</v>
      </c>
      <c r="V546" s="248">
        <f t="shared" si="58"/>
        <v>-181.60849999999999</v>
      </c>
      <c r="W546" s="248">
        <f t="shared" si="59"/>
        <v>203.74</v>
      </c>
      <c r="X546" s="248">
        <f t="shared" si="60"/>
        <v>3.8730000000000189</v>
      </c>
      <c r="Y546" s="248">
        <f t="shared" ca="1" si="56"/>
        <v>13.385727699892982</v>
      </c>
      <c r="Z546" s="248">
        <f t="shared" ca="1" si="61"/>
        <v>5.4128289443844944</v>
      </c>
      <c r="AA546" s="250">
        <f t="shared" ca="1" si="62"/>
        <v>541.28289443844949</v>
      </c>
    </row>
    <row r="547" spans="5:27" x14ac:dyDescent="0.3">
      <c r="E547" s="241"/>
      <c r="F547" s="241"/>
      <c r="T547" s="254">
        <v>535</v>
      </c>
      <c r="U547" s="248">
        <f t="shared" si="57"/>
        <v>-18.258500000000002</v>
      </c>
      <c r="V547" s="248">
        <f t="shared" si="58"/>
        <v>-180.60849999999999</v>
      </c>
      <c r="W547" s="248">
        <f t="shared" si="59"/>
        <v>202.74</v>
      </c>
      <c r="X547" s="248">
        <f t="shared" si="60"/>
        <v>3.8730000000000189</v>
      </c>
      <c r="Y547" s="248">
        <f t="shared" ca="1" si="56"/>
        <v>13.385727699892982</v>
      </c>
      <c r="Z547" s="248">
        <f t="shared" ca="1" si="61"/>
        <v>5.4128289443844944</v>
      </c>
      <c r="AA547" s="250">
        <f t="shared" ca="1" si="62"/>
        <v>541.28289443844949</v>
      </c>
    </row>
    <row r="548" spans="5:27" x14ac:dyDescent="0.3">
      <c r="E548" s="241"/>
      <c r="F548" s="241"/>
      <c r="T548" s="254">
        <v>536</v>
      </c>
      <c r="U548" s="248">
        <f t="shared" si="57"/>
        <v>-18.258500000000002</v>
      </c>
      <c r="V548" s="248">
        <f t="shared" si="58"/>
        <v>-179.60849999999999</v>
      </c>
      <c r="W548" s="248">
        <f t="shared" si="59"/>
        <v>201.74</v>
      </c>
      <c r="X548" s="248">
        <f t="shared" si="60"/>
        <v>3.8730000000000189</v>
      </c>
      <c r="Y548" s="248">
        <f t="shared" ca="1" si="56"/>
        <v>13.385727699892982</v>
      </c>
      <c r="Z548" s="248">
        <f t="shared" ca="1" si="61"/>
        <v>5.4128289443844944</v>
      </c>
      <c r="AA548" s="250">
        <f t="shared" ca="1" si="62"/>
        <v>541.28289443844949</v>
      </c>
    </row>
    <row r="549" spans="5:27" x14ac:dyDescent="0.3">
      <c r="E549" s="241"/>
      <c r="F549" s="241"/>
      <c r="T549" s="254">
        <v>537</v>
      </c>
      <c r="U549" s="248">
        <f t="shared" si="57"/>
        <v>-18.258500000000002</v>
      </c>
      <c r="V549" s="248">
        <f t="shared" si="58"/>
        <v>-178.60849999999999</v>
      </c>
      <c r="W549" s="248">
        <f t="shared" si="59"/>
        <v>200.74</v>
      </c>
      <c r="X549" s="248">
        <f t="shared" si="60"/>
        <v>3.8730000000000189</v>
      </c>
      <c r="Y549" s="248">
        <f t="shared" ca="1" si="56"/>
        <v>13.385727699892982</v>
      </c>
      <c r="Z549" s="248">
        <f t="shared" ca="1" si="61"/>
        <v>5.4128289443844944</v>
      </c>
      <c r="AA549" s="250">
        <f t="shared" ca="1" si="62"/>
        <v>541.28289443844949</v>
      </c>
    </row>
    <row r="550" spans="5:27" x14ac:dyDescent="0.3">
      <c r="E550" s="241"/>
      <c r="F550" s="241"/>
      <c r="T550" s="254">
        <v>538</v>
      </c>
      <c r="U550" s="248">
        <f t="shared" si="57"/>
        <v>-18.258500000000002</v>
      </c>
      <c r="V550" s="248">
        <f t="shared" si="58"/>
        <v>-177.60849999999999</v>
      </c>
      <c r="W550" s="248">
        <f t="shared" si="59"/>
        <v>199.74</v>
      </c>
      <c r="X550" s="248">
        <f t="shared" si="60"/>
        <v>3.8730000000000189</v>
      </c>
      <c r="Y550" s="248">
        <f t="shared" ca="1" si="56"/>
        <v>13.385727699892982</v>
      </c>
      <c r="Z550" s="248">
        <f t="shared" ca="1" si="61"/>
        <v>5.4128289443844944</v>
      </c>
      <c r="AA550" s="250">
        <f t="shared" ca="1" si="62"/>
        <v>541.28289443844949</v>
      </c>
    </row>
    <row r="551" spans="5:27" x14ac:dyDescent="0.3">
      <c r="E551" s="241"/>
      <c r="F551" s="241"/>
      <c r="T551" s="254">
        <v>539</v>
      </c>
      <c r="U551" s="248">
        <f t="shared" si="57"/>
        <v>-18.258500000000002</v>
      </c>
      <c r="V551" s="248">
        <f t="shared" si="58"/>
        <v>-176.60849999999999</v>
      </c>
      <c r="W551" s="248">
        <f t="shared" si="59"/>
        <v>198.74</v>
      </c>
      <c r="X551" s="248">
        <f t="shared" si="60"/>
        <v>3.8730000000000189</v>
      </c>
      <c r="Y551" s="248">
        <f t="shared" ca="1" si="56"/>
        <v>13.385727699892982</v>
      </c>
      <c r="Z551" s="248">
        <f t="shared" ca="1" si="61"/>
        <v>5.4128289443844944</v>
      </c>
      <c r="AA551" s="250">
        <f t="shared" ca="1" si="62"/>
        <v>541.28289443844949</v>
      </c>
    </row>
    <row r="552" spans="5:27" x14ac:dyDescent="0.3">
      <c r="E552" s="241"/>
      <c r="F552" s="241"/>
      <c r="T552" s="254">
        <v>540</v>
      </c>
      <c r="U552" s="248">
        <f t="shared" si="57"/>
        <v>-18.258500000000002</v>
      </c>
      <c r="V552" s="248">
        <f t="shared" si="58"/>
        <v>-175.60849999999999</v>
      </c>
      <c r="W552" s="248">
        <f t="shared" si="59"/>
        <v>197.74</v>
      </c>
      <c r="X552" s="248">
        <f t="shared" si="60"/>
        <v>3.8730000000000189</v>
      </c>
      <c r="Y552" s="248">
        <f t="shared" ca="1" si="56"/>
        <v>13.385727699892982</v>
      </c>
      <c r="Z552" s="248">
        <f t="shared" ca="1" si="61"/>
        <v>5.4128289443844944</v>
      </c>
      <c r="AA552" s="250">
        <f t="shared" ca="1" si="62"/>
        <v>541.28289443844949</v>
      </c>
    </row>
    <row r="553" spans="5:27" x14ac:dyDescent="0.3">
      <c r="E553" s="241"/>
      <c r="F553" s="241"/>
      <c r="T553" s="254">
        <v>541</v>
      </c>
      <c r="U553" s="248">
        <f t="shared" si="57"/>
        <v>-18.258500000000002</v>
      </c>
      <c r="V553" s="248">
        <f t="shared" si="58"/>
        <v>-174.60849999999999</v>
      </c>
      <c r="W553" s="248">
        <f t="shared" si="59"/>
        <v>196.74</v>
      </c>
      <c r="X553" s="248">
        <f t="shared" si="60"/>
        <v>3.8730000000000189</v>
      </c>
      <c r="Y553" s="248">
        <f t="shared" ca="1" si="56"/>
        <v>13.385727699892982</v>
      </c>
      <c r="Z553" s="248">
        <f t="shared" ca="1" si="61"/>
        <v>5.4128289443844944</v>
      </c>
      <c r="AA553" s="250">
        <f t="shared" ca="1" si="62"/>
        <v>541.28289443844949</v>
      </c>
    </row>
    <row r="554" spans="5:27" x14ac:dyDescent="0.3">
      <c r="E554" s="241"/>
      <c r="F554" s="241"/>
      <c r="T554" s="254">
        <v>542</v>
      </c>
      <c r="U554" s="248">
        <f t="shared" si="57"/>
        <v>-18.258500000000002</v>
      </c>
      <c r="V554" s="248">
        <f t="shared" si="58"/>
        <v>-173.60849999999999</v>
      </c>
      <c r="W554" s="248">
        <f t="shared" si="59"/>
        <v>195.74</v>
      </c>
      <c r="X554" s="248">
        <f t="shared" si="60"/>
        <v>3.8730000000000189</v>
      </c>
      <c r="Y554" s="248">
        <f t="shared" ca="1" si="56"/>
        <v>13.385727699892982</v>
      </c>
      <c r="Z554" s="248">
        <f t="shared" ca="1" si="61"/>
        <v>5.4128289443844944</v>
      </c>
      <c r="AA554" s="250">
        <f t="shared" ca="1" si="62"/>
        <v>541.28289443844949</v>
      </c>
    </row>
    <row r="555" spans="5:27" x14ac:dyDescent="0.3">
      <c r="E555" s="241"/>
      <c r="F555" s="241"/>
      <c r="T555" s="254">
        <v>543</v>
      </c>
      <c r="U555" s="248">
        <f t="shared" si="57"/>
        <v>-18.258500000000002</v>
      </c>
      <c r="V555" s="248">
        <f t="shared" si="58"/>
        <v>-172.60849999999999</v>
      </c>
      <c r="W555" s="248">
        <f t="shared" si="59"/>
        <v>194.74</v>
      </c>
      <c r="X555" s="248">
        <f t="shared" si="60"/>
        <v>3.8730000000000189</v>
      </c>
      <c r="Y555" s="248">
        <f t="shared" ca="1" si="56"/>
        <v>13.385727699892982</v>
      </c>
      <c r="Z555" s="248">
        <f t="shared" ca="1" si="61"/>
        <v>5.4128289443844944</v>
      </c>
      <c r="AA555" s="250">
        <f t="shared" ca="1" si="62"/>
        <v>541.28289443844949</v>
      </c>
    </row>
    <row r="556" spans="5:27" x14ac:dyDescent="0.3">
      <c r="E556" s="241"/>
      <c r="F556" s="241"/>
      <c r="T556" s="254">
        <v>544</v>
      </c>
      <c r="U556" s="248">
        <f t="shared" si="57"/>
        <v>-18.258500000000002</v>
      </c>
      <c r="V556" s="248">
        <f t="shared" si="58"/>
        <v>-171.60849999999999</v>
      </c>
      <c r="W556" s="248">
        <f t="shared" si="59"/>
        <v>193.74</v>
      </c>
      <c r="X556" s="248">
        <f t="shared" si="60"/>
        <v>3.8730000000000189</v>
      </c>
      <c r="Y556" s="248">
        <f t="shared" ca="1" si="56"/>
        <v>13.385727699892982</v>
      </c>
      <c r="Z556" s="248">
        <f t="shared" ca="1" si="61"/>
        <v>5.4128289443844944</v>
      </c>
      <c r="AA556" s="250">
        <f t="shared" ca="1" si="62"/>
        <v>541.28289443844949</v>
      </c>
    </row>
    <row r="557" spans="5:27" x14ac:dyDescent="0.3">
      <c r="E557" s="241"/>
      <c r="F557" s="241"/>
      <c r="T557" s="254">
        <v>545</v>
      </c>
      <c r="U557" s="248">
        <f t="shared" si="57"/>
        <v>-18.258500000000002</v>
      </c>
      <c r="V557" s="248">
        <f t="shared" si="58"/>
        <v>-170.60849999999999</v>
      </c>
      <c r="W557" s="248">
        <f t="shared" si="59"/>
        <v>192.74</v>
      </c>
      <c r="X557" s="248">
        <f t="shared" si="60"/>
        <v>3.8730000000000189</v>
      </c>
      <c r="Y557" s="248">
        <f t="shared" ca="1" si="56"/>
        <v>13.385727699892982</v>
      </c>
      <c r="Z557" s="248">
        <f t="shared" ca="1" si="61"/>
        <v>5.4128289443844944</v>
      </c>
      <c r="AA557" s="250">
        <f t="shared" ca="1" si="62"/>
        <v>541.28289443844949</v>
      </c>
    </row>
    <row r="558" spans="5:27" x14ac:dyDescent="0.3">
      <c r="E558" s="241"/>
      <c r="F558" s="241"/>
      <c r="T558" s="254">
        <v>546</v>
      </c>
      <c r="U558" s="248">
        <f t="shared" si="57"/>
        <v>-18.258500000000002</v>
      </c>
      <c r="V558" s="248">
        <f t="shared" si="58"/>
        <v>-169.60849999999999</v>
      </c>
      <c r="W558" s="248">
        <f t="shared" si="59"/>
        <v>191.74</v>
      </c>
      <c r="X558" s="248">
        <f t="shared" si="60"/>
        <v>3.8730000000000189</v>
      </c>
      <c r="Y558" s="248">
        <f t="shared" ca="1" si="56"/>
        <v>13.385727699892982</v>
      </c>
      <c r="Z558" s="248">
        <f t="shared" ca="1" si="61"/>
        <v>5.4128289443844944</v>
      </c>
      <c r="AA558" s="250">
        <f t="shared" ca="1" si="62"/>
        <v>541.28289443844949</v>
      </c>
    </row>
    <row r="559" spans="5:27" x14ac:dyDescent="0.3">
      <c r="E559" s="241"/>
      <c r="F559" s="241"/>
      <c r="T559" s="254">
        <v>547</v>
      </c>
      <c r="U559" s="248">
        <f t="shared" si="57"/>
        <v>-18.258500000000002</v>
      </c>
      <c r="V559" s="248">
        <f t="shared" si="58"/>
        <v>-168.60849999999999</v>
      </c>
      <c r="W559" s="248">
        <f t="shared" si="59"/>
        <v>190.74</v>
      </c>
      <c r="X559" s="248">
        <f t="shared" si="60"/>
        <v>3.8730000000000189</v>
      </c>
      <c r="Y559" s="248">
        <f t="shared" ca="1" si="56"/>
        <v>13.385727699892982</v>
      </c>
      <c r="Z559" s="248">
        <f t="shared" ca="1" si="61"/>
        <v>5.4128289443844944</v>
      </c>
      <c r="AA559" s="250">
        <f t="shared" ca="1" si="62"/>
        <v>541.28289443844949</v>
      </c>
    </row>
    <row r="560" spans="5:27" x14ac:dyDescent="0.3">
      <c r="E560" s="241"/>
      <c r="F560" s="241"/>
      <c r="T560" s="254">
        <v>548</v>
      </c>
      <c r="U560" s="248">
        <f t="shared" si="57"/>
        <v>-18.258500000000002</v>
      </c>
      <c r="V560" s="248">
        <f t="shared" si="58"/>
        <v>-167.60849999999999</v>
      </c>
      <c r="W560" s="248">
        <f t="shared" si="59"/>
        <v>189.74</v>
      </c>
      <c r="X560" s="248">
        <f t="shared" si="60"/>
        <v>3.8730000000000189</v>
      </c>
      <c r="Y560" s="248">
        <f t="shared" ca="1" si="56"/>
        <v>13.385727699892982</v>
      </c>
      <c r="Z560" s="248">
        <f t="shared" ca="1" si="61"/>
        <v>5.4128289443844944</v>
      </c>
      <c r="AA560" s="250">
        <f t="shared" ca="1" si="62"/>
        <v>541.28289443844949</v>
      </c>
    </row>
    <row r="561" spans="5:27" x14ac:dyDescent="0.3">
      <c r="E561" s="241"/>
      <c r="F561" s="241"/>
      <c r="T561" s="254">
        <v>549</v>
      </c>
      <c r="U561" s="248">
        <f t="shared" si="57"/>
        <v>-18.258500000000002</v>
      </c>
      <c r="V561" s="248">
        <f t="shared" si="58"/>
        <v>-166.60849999999999</v>
      </c>
      <c r="W561" s="248">
        <f t="shared" si="59"/>
        <v>188.74</v>
      </c>
      <c r="X561" s="248">
        <f t="shared" si="60"/>
        <v>3.8730000000000189</v>
      </c>
      <c r="Y561" s="248">
        <f t="shared" ca="1" si="56"/>
        <v>13.385727699892982</v>
      </c>
      <c r="Z561" s="248">
        <f t="shared" ca="1" si="61"/>
        <v>5.4128289443844944</v>
      </c>
      <c r="AA561" s="250">
        <f t="shared" ca="1" si="62"/>
        <v>541.28289443844949</v>
      </c>
    </row>
    <row r="562" spans="5:27" x14ac:dyDescent="0.3">
      <c r="E562" s="241"/>
      <c r="F562" s="241"/>
      <c r="T562" s="254">
        <v>550</v>
      </c>
      <c r="U562" s="248">
        <f t="shared" si="57"/>
        <v>-18.258500000000002</v>
      </c>
      <c r="V562" s="248">
        <f t="shared" si="58"/>
        <v>-165.60849999999999</v>
      </c>
      <c r="W562" s="248">
        <f t="shared" si="59"/>
        <v>187.74</v>
      </c>
      <c r="X562" s="248">
        <f t="shared" si="60"/>
        <v>3.8730000000000189</v>
      </c>
      <c r="Y562" s="248">
        <f t="shared" ca="1" si="56"/>
        <v>13.385727699892982</v>
      </c>
      <c r="Z562" s="248">
        <f t="shared" ca="1" si="61"/>
        <v>5.4128289443844944</v>
      </c>
      <c r="AA562" s="250">
        <f t="shared" ca="1" si="62"/>
        <v>541.28289443844949</v>
      </c>
    </row>
    <row r="563" spans="5:27" x14ac:dyDescent="0.3">
      <c r="E563" s="241"/>
      <c r="F563" s="241"/>
      <c r="T563" s="254">
        <v>551</v>
      </c>
      <c r="U563" s="248">
        <f t="shared" si="57"/>
        <v>-18.258500000000002</v>
      </c>
      <c r="V563" s="248">
        <f t="shared" si="58"/>
        <v>-164.60849999999999</v>
      </c>
      <c r="W563" s="248">
        <f t="shared" si="59"/>
        <v>186.74</v>
      </c>
      <c r="X563" s="248">
        <f t="shared" si="60"/>
        <v>3.8730000000000189</v>
      </c>
      <c r="Y563" s="248">
        <f t="shared" ca="1" si="56"/>
        <v>13.385727699892982</v>
      </c>
      <c r="Z563" s="248">
        <f t="shared" ca="1" si="61"/>
        <v>5.4128289443844944</v>
      </c>
      <c r="AA563" s="250">
        <f t="shared" ca="1" si="62"/>
        <v>541.28289443844949</v>
      </c>
    </row>
    <row r="564" spans="5:27" x14ac:dyDescent="0.3">
      <c r="E564" s="241"/>
      <c r="F564" s="241"/>
      <c r="T564" s="254">
        <v>552</v>
      </c>
      <c r="U564" s="248">
        <f t="shared" si="57"/>
        <v>-18.258500000000002</v>
      </c>
      <c r="V564" s="248">
        <f t="shared" si="58"/>
        <v>-163.60849999999999</v>
      </c>
      <c r="W564" s="248">
        <f t="shared" si="59"/>
        <v>185.74</v>
      </c>
      <c r="X564" s="248">
        <f t="shared" si="60"/>
        <v>3.8730000000000189</v>
      </c>
      <c r="Y564" s="248">
        <f t="shared" ca="1" si="56"/>
        <v>13.385727699892982</v>
      </c>
      <c r="Z564" s="248">
        <f t="shared" ca="1" si="61"/>
        <v>5.4128289443844944</v>
      </c>
      <c r="AA564" s="250">
        <f t="shared" ca="1" si="62"/>
        <v>541.28289443844949</v>
      </c>
    </row>
    <row r="565" spans="5:27" x14ac:dyDescent="0.3">
      <c r="E565" s="241"/>
      <c r="F565" s="241"/>
      <c r="T565" s="254">
        <v>553</v>
      </c>
      <c r="U565" s="248">
        <f t="shared" si="57"/>
        <v>-18.258500000000002</v>
      </c>
      <c r="V565" s="248">
        <f t="shared" si="58"/>
        <v>-162.60849999999999</v>
      </c>
      <c r="W565" s="248">
        <f t="shared" si="59"/>
        <v>184.74</v>
      </c>
      <c r="X565" s="248">
        <f t="shared" si="60"/>
        <v>3.8730000000000189</v>
      </c>
      <c r="Y565" s="248">
        <f t="shared" ca="1" si="56"/>
        <v>13.385727699892982</v>
      </c>
      <c r="Z565" s="248">
        <f t="shared" ca="1" si="61"/>
        <v>5.4128289443844944</v>
      </c>
      <c r="AA565" s="250">
        <f t="shared" ca="1" si="62"/>
        <v>541.28289443844949</v>
      </c>
    </row>
    <row r="566" spans="5:27" x14ac:dyDescent="0.3">
      <c r="E566" s="241"/>
      <c r="F566" s="241"/>
      <c r="T566" s="254">
        <v>554</v>
      </c>
      <c r="U566" s="248">
        <f t="shared" si="57"/>
        <v>-18.258500000000002</v>
      </c>
      <c r="V566" s="248">
        <f t="shared" si="58"/>
        <v>-161.60849999999999</v>
      </c>
      <c r="W566" s="248">
        <f t="shared" si="59"/>
        <v>183.74</v>
      </c>
      <c r="X566" s="248">
        <f t="shared" si="60"/>
        <v>3.8730000000000189</v>
      </c>
      <c r="Y566" s="248">
        <f t="shared" ca="1" si="56"/>
        <v>13.385727699892982</v>
      </c>
      <c r="Z566" s="248">
        <f t="shared" ca="1" si="61"/>
        <v>5.4128289443844944</v>
      </c>
      <c r="AA566" s="250">
        <f t="shared" ca="1" si="62"/>
        <v>541.28289443844949</v>
      </c>
    </row>
    <row r="567" spans="5:27" x14ac:dyDescent="0.3">
      <c r="E567" s="241"/>
      <c r="F567" s="241"/>
      <c r="T567" s="254">
        <v>555</v>
      </c>
      <c r="U567" s="248">
        <f t="shared" si="57"/>
        <v>-18.258500000000002</v>
      </c>
      <c r="V567" s="248">
        <f t="shared" si="58"/>
        <v>-160.60849999999999</v>
      </c>
      <c r="W567" s="248">
        <f t="shared" si="59"/>
        <v>182.74</v>
      </c>
      <c r="X567" s="248">
        <f t="shared" si="60"/>
        <v>3.8730000000000189</v>
      </c>
      <c r="Y567" s="248">
        <f t="shared" ca="1" si="56"/>
        <v>13.385727699892982</v>
      </c>
      <c r="Z567" s="248">
        <f t="shared" ca="1" si="61"/>
        <v>5.4128289443844944</v>
      </c>
      <c r="AA567" s="250">
        <f t="shared" ca="1" si="62"/>
        <v>541.28289443844949</v>
      </c>
    </row>
    <row r="568" spans="5:27" x14ac:dyDescent="0.3">
      <c r="E568" s="241"/>
      <c r="F568" s="241"/>
      <c r="T568" s="254">
        <v>556</v>
      </c>
      <c r="U568" s="248">
        <f t="shared" si="57"/>
        <v>-18.258500000000002</v>
      </c>
      <c r="V568" s="248">
        <f t="shared" si="58"/>
        <v>-159.60849999999999</v>
      </c>
      <c r="W568" s="248">
        <f t="shared" si="59"/>
        <v>181.74</v>
      </c>
      <c r="X568" s="248">
        <f t="shared" si="60"/>
        <v>3.8730000000000189</v>
      </c>
      <c r="Y568" s="248">
        <f t="shared" ca="1" si="56"/>
        <v>13.385727699892982</v>
      </c>
      <c r="Z568" s="248">
        <f t="shared" ca="1" si="61"/>
        <v>5.4128289443844944</v>
      </c>
      <c r="AA568" s="250">
        <f t="shared" ca="1" si="62"/>
        <v>541.28289443844949</v>
      </c>
    </row>
    <row r="569" spans="5:27" x14ac:dyDescent="0.3">
      <c r="E569" s="241"/>
      <c r="F569" s="241"/>
      <c r="T569" s="254">
        <v>557</v>
      </c>
      <c r="U569" s="248">
        <f t="shared" si="57"/>
        <v>-18.258500000000002</v>
      </c>
      <c r="V569" s="248">
        <f t="shared" si="58"/>
        <v>-158.60849999999999</v>
      </c>
      <c r="W569" s="248">
        <f t="shared" si="59"/>
        <v>180.74</v>
      </c>
      <c r="X569" s="248">
        <f t="shared" si="60"/>
        <v>3.8730000000000189</v>
      </c>
      <c r="Y569" s="248">
        <f t="shared" ca="1" si="56"/>
        <v>13.385727699892982</v>
      </c>
      <c r="Z569" s="248">
        <f t="shared" ca="1" si="61"/>
        <v>5.4128289443844944</v>
      </c>
      <c r="AA569" s="250">
        <f t="shared" ca="1" si="62"/>
        <v>541.28289443844949</v>
      </c>
    </row>
    <row r="570" spans="5:27" x14ac:dyDescent="0.3">
      <c r="E570" s="241"/>
      <c r="F570" s="241"/>
      <c r="T570" s="254">
        <v>558</v>
      </c>
      <c r="U570" s="248">
        <f t="shared" si="57"/>
        <v>-18.258500000000002</v>
      </c>
      <c r="V570" s="248">
        <f t="shared" si="58"/>
        <v>-157.60849999999999</v>
      </c>
      <c r="W570" s="248">
        <f t="shared" si="59"/>
        <v>179.74</v>
      </c>
      <c r="X570" s="248">
        <f t="shared" si="60"/>
        <v>3.8730000000000189</v>
      </c>
      <c r="Y570" s="248">
        <f t="shared" ca="1" si="56"/>
        <v>13.385727699892982</v>
      </c>
      <c r="Z570" s="248">
        <f t="shared" ca="1" si="61"/>
        <v>5.4128289443844944</v>
      </c>
      <c r="AA570" s="250">
        <f t="shared" ca="1" si="62"/>
        <v>541.28289443844949</v>
      </c>
    </row>
    <row r="571" spans="5:27" x14ac:dyDescent="0.3">
      <c r="E571" s="241"/>
      <c r="F571" s="241"/>
      <c r="T571" s="254">
        <v>559</v>
      </c>
      <c r="U571" s="248">
        <f t="shared" si="57"/>
        <v>-18.258500000000002</v>
      </c>
      <c r="V571" s="248">
        <f t="shared" si="58"/>
        <v>-156.60849999999999</v>
      </c>
      <c r="W571" s="248">
        <f t="shared" si="59"/>
        <v>178.74</v>
      </c>
      <c r="X571" s="248">
        <f t="shared" si="60"/>
        <v>3.8730000000000189</v>
      </c>
      <c r="Y571" s="248">
        <f t="shared" ca="1" si="56"/>
        <v>13.385727699892982</v>
      </c>
      <c r="Z571" s="248">
        <f t="shared" ca="1" si="61"/>
        <v>5.4128289443844944</v>
      </c>
      <c r="AA571" s="250">
        <f t="shared" ca="1" si="62"/>
        <v>541.28289443844949</v>
      </c>
    </row>
    <row r="572" spans="5:27" x14ac:dyDescent="0.3">
      <c r="E572" s="241"/>
      <c r="F572" s="241"/>
      <c r="T572" s="254">
        <v>560</v>
      </c>
      <c r="U572" s="248">
        <f t="shared" si="57"/>
        <v>-18.258500000000002</v>
      </c>
      <c r="V572" s="248">
        <f t="shared" si="58"/>
        <v>-155.60849999999999</v>
      </c>
      <c r="W572" s="248">
        <f t="shared" si="59"/>
        <v>177.74</v>
      </c>
      <c r="X572" s="248">
        <f t="shared" si="60"/>
        <v>3.8730000000000189</v>
      </c>
      <c r="Y572" s="248">
        <f t="shared" ca="1" si="56"/>
        <v>13.385727699892982</v>
      </c>
      <c r="Z572" s="248">
        <f t="shared" ca="1" si="61"/>
        <v>5.4128289443844944</v>
      </c>
      <c r="AA572" s="250">
        <f t="shared" ca="1" si="62"/>
        <v>541.28289443844949</v>
      </c>
    </row>
    <row r="573" spans="5:27" x14ac:dyDescent="0.3">
      <c r="E573" s="241"/>
      <c r="F573" s="241"/>
      <c r="T573" s="254">
        <v>561</v>
      </c>
      <c r="U573" s="248">
        <f t="shared" si="57"/>
        <v>-18.258500000000002</v>
      </c>
      <c r="V573" s="248">
        <f t="shared" si="58"/>
        <v>-154.60849999999999</v>
      </c>
      <c r="W573" s="248">
        <f t="shared" si="59"/>
        <v>176.74</v>
      </c>
      <c r="X573" s="248">
        <f t="shared" si="60"/>
        <v>3.8730000000000189</v>
      </c>
      <c r="Y573" s="248">
        <f t="shared" ca="1" si="56"/>
        <v>13.385727699892982</v>
      </c>
      <c r="Z573" s="248">
        <f t="shared" ca="1" si="61"/>
        <v>5.4128289443844944</v>
      </c>
      <c r="AA573" s="250">
        <f t="shared" ca="1" si="62"/>
        <v>541.28289443844949</v>
      </c>
    </row>
    <row r="574" spans="5:27" x14ac:dyDescent="0.3">
      <c r="E574" s="241"/>
      <c r="F574" s="241"/>
      <c r="T574" s="254">
        <v>562</v>
      </c>
      <c r="U574" s="248">
        <f t="shared" si="57"/>
        <v>-18.258500000000002</v>
      </c>
      <c r="V574" s="248">
        <f t="shared" si="58"/>
        <v>-153.60849999999999</v>
      </c>
      <c r="W574" s="248">
        <f t="shared" si="59"/>
        <v>175.74</v>
      </c>
      <c r="X574" s="248">
        <f t="shared" si="60"/>
        <v>3.8730000000000189</v>
      </c>
      <c r="Y574" s="248">
        <f t="shared" ca="1" si="56"/>
        <v>13.385727699892982</v>
      </c>
      <c r="Z574" s="248">
        <f t="shared" ca="1" si="61"/>
        <v>5.4128289443844944</v>
      </c>
      <c r="AA574" s="250">
        <f t="shared" ca="1" si="62"/>
        <v>541.28289443844949</v>
      </c>
    </row>
    <row r="575" spans="5:27" x14ac:dyDescent="0.3">
      <c r="E575" s="241"/>
      <c r="F575" s="241"/>
      <c r="T575" s="254">
        <v>563</v>
      </c>
      <c r="U575" s="248">
        <f t="shared" si="57"/>
        <v>-18.258500000000002</v>
      </c>
      <c r="V575" s="248">
        <f t="shared" si="58"/>
        <v>-152.60849999999999</v>
      </c>
      <c r="W575" s="248">
        <f t="shared" si="59"/>
        <v>174.74</v>
      </c>
      <c r="X575" s="248">
        <f t="shared" si="60"/>
        <v>3.8730000000000189</v>
      </c>
      <c r="Y575" s="248">
        <f t="shared" ca="1" si="56"/>
        <v>13.385727699892982</v>
      </c>
      <c r="Z575" s="248">
        <f t="shared" ca="1" si="61"/>
        <v>5.4128289443844944</v>
      </c>
      <c r="AA575" s="250">
        <f t="shared" ca="1" si="62"/>
        <v>541.28289443844949</v>
      </c>
    </row>
    <row r="576" spans="5:27" x14ac:dyDescent="0.3">
      <c r="E576" s="241"/>
      <c r="F576" s="241"/>
      <c r="T576" s="254">
        <v>564</v>
      </c>
      <c r="U576" s="248">
        <f t="shared" si="57"/>
        <v>-18.258500000000002</v>
      </c>
      <c r="V576" s="248">
        <f t="shared" si="58"/>
        <v>-151.60849999999999</v>
      </c>
      <c r="W576" s="248">
        <f t="shared" si="59"/>
        <v>173.74</v>
      </c>
      <c r="X576" s="248">
        <f t="shared" si="60"/>
        <v>3.8730000000000189</v>
      </c>
      <c r="Y576" s="248">
        <f t="shared" ca="1" si="56"/>
        <v>13.385727699892982</v>
      </c>
      <c r="Z576" s="248">
        <f t="shared" ca="1" si="61"/>
        <v>5.4128289443844944</v>
      </c>
      <c r="AA576" s="250">
        <f t="shared" ca="1" si="62"/>
        <v>541.28289443844949</v>
      </c>
    </row>
    <row r="577" spans="5:27" x14ac:dyDescent="0.3">
      <c r="E577" s="241"/>
      <c r="F577" s="241"/>
      <c r="T577" s="254">
        <v>565</v>
      </c>
      <c r="U577" s="248">
        <f t="shared" si="57"/>
        <v>-18.258500000000002</v>
      </c>
      <c r="V577" s="248">
        <f t="shared" si="58"/>
        <v>-150.60849999999999</v>
      </c>
      <c r="W577" s="248">
        <f t="shared" si="59"/>
        <v>172.74</v>
      </c>
      <c r="X577" s="248">
        <f t="shared" si="60"/>
        <v>3.8730000000000189</v>
      </c>
      <c r="Y577" s="248">
        <f t="shared" ca="1" si="56"/>
        <v>13.385727699892982</v>
      </c>
      <c r="Z577" s="248">
        <f t="shared" ca="1" si="61"/>
        <v>5.4128289443844944</v>
      </c>
      <c r="AA577" s="250">
        <f t="shared" ca="1" si="62"/>
        <v>541.28289443844949</v>
      </c>
    </row>
    <row r="578" spans="5:27" x14ac:dyDescent="0.3">
      <c r="E578" s="241"/>
      <c r="F578" s="241"/>
      <c r="T578" s="254">
        <v>566</v>
      </c>
      <c r="U578" s="248">
        <f t="shared" si="57"/>
        <v>-18.258500000000002</v>
      </c>
      <c r="V578" s="248">
        <f t="shared" si="58"/>
        <v>-149.60849999999999</v>
      </c>
      <c r="W578" s="248">
        <f t="shared" si="59"/>
        <v>171.74</v>
      </c>
      <c r="X578" s="248">
        <f t="shared" si="60"/>
        <v>3.8730000000000189</v>
      </c>
      <c r="Y578" s="248">
        <f t="shared" ca="1" si="56"/>
        <v>13.385727699892982</v>
      </c>
      <c r="Z578" s="248">
        <f t="shared" ca="1" si="61"/>
        <v>5.4128289443844944</v>
      </c>
      <c r="AA578" s="250">
        <f t="shared" ca="1" si="62"/>
        <v>541.28289443844949</v>
      </c>
    </row>
    <row r="579" spans="5:27" x14ac:dyDescent="0.3">
      <c r="E579" s="241"/>
      <c r="F579" s="241"/>
      <c r="T579" s="254">
        <v>567</v>
      </c>
      <c r="U579" s="248">
        <f t="shared" si="57"/>
        <v>-18.258500000000002</v>
      </c>
      <c r="V579" s="248">
        <f t="shared" si="58"/>
        <v>-148.60849999999999</v>
      </c>
      <c r="W579" s="248">
        <f t="shared" si="59"/>
        <v>170.74</v>
      </c>
      <c r="X579" s="248">
        <f t="shared" si="60"/>
        <v>3.8730000000000189</v>
      </c>
      <c r="Y579" s="248">
        <f t="shared" ca="1" si="56"/>
        <v>13.385727699892982</v>
      </c>
      <c r="Z579" s="248">
        <f t="shared" ca="1" si="61"/>
        <v>5.4128289443844944</v>
      </c>
      <c r="AA579" s="250">
        <f t="shared" ca="1" si="62"/>
        <v>541.28289443844949</v>
      </c>
    </row>
    <row r="580" spans="5:27" x14ac:dyDescent="0.3">
      <c r="E580" s="241"/>
      <c r="F580" s="241"/>
      <c r="T580" s="254">
        <v>568</v>
      </c>
      <c r="U580" s="248">
        <f t="shared" si="57"/>
        <v>-18.258500000000002</v>
      </c>
      <c r="V580" s="248">
        <f t="shared" si="58"/>
        <v>-147.60849999999999</v>
      </c>
      <c r="W580" s="248">
        <f t="shared" si="59"/>
        <v>169.74</v>
      </c>
      <c r="X580" s="248">
        <f t="shared" si="60"/>
        <v>3.8730000000000189</v>
      </c>
      <c r="Y580" s="248">
        <f t="shared" ca="1" si="56"/>
        <v>13.385727699892982</v>
      </c>
      <c r="Z580" s="248">
        <f t="shared" ca="1" si="61"/>
        <v>5.4128289443844944</v>
      </c>
      <c r="AA580" s="250">
        <f t="shared" ca="1" si="62"/>
        <v>541.28289443844949</v>
      </c>
    </row>
    <row r="581" spans="5:27" x14ac:dyDescent="0.3">
      <c r="E581" s="241"/>
      <c r="F581" s="241"/>
      <c r="T581" s="254">
        <v>569</v>
      </c>
      <c r="U581" s="248">
        <f t="shared" si="57"/>
        <v>-18.258500000000002</v>
      </c>
      <c r="V581" s="248">
        <f t="shared" si="58"/>
        <v>-146.60849999999999</v>
      </c>
      <c r="W581" s="248">
        <f t="shared" si="59"/>
        <v>168.74</v>
      </c>
      <c r="X581" s="248">
        <f t="shared" si="60"/>
        <v>3.8730000000000189</v>
      </c>
      <c r="Y581" s="248">
        <f t="shared" ca="1" si="56"/>
        <v>13.385727699892982</v>
      </c>
      <c r="Z581" s="248">
        <f t="shared" ca="1" si="61"/>
        <v>5.4128289443844944</v>
      </c>
      <c r="AA581" s="250">
        <f t="shared" ca="1" si="62"/>
        <v>541.28289443844949</v>
      </c>
    </row>
    <row r="582" spans="5:27" x14ac:dyDescent="0.3">
      <c r="E582" s="241"/>
      <c r="F582" s="241"/>
      <c r="T582" s="254">
        <v>570</v>
      </c>
      <c r="U582" s="248">
        <f t="shared" si="57"/>
        <v>-18.258500000000002</v>
      </c>
      <c r="V582" s="248">
        <f t="shared" si="58"/>
        <v>-145.60849999999999</v>
      </c>
      <c r="W582" s="248">
        <f t="shared" si="59"/>
        <v>167.74</v>
      </c>
      <c r="X582" s="248">
        <f t="shared" si="60"/>
        <v>3.8730000000000189</v>
      </c>
      <c r="Y582" s="248">
        <f t="shared" ca="1" si="56"/>
        <v>13.385727699892982</v>
      </c>
      <c r="Z582" s="248">
        <f t="shared" ca="1" si="61"/>
        <v>5.4128289443844944</v>
      </c>
      <c r="AA582" s="250">
        <f t="shared" ca="1" si="62"/>
        <v>541.28289443844949</v>
      </c>
    </row>
    <row r="583" spans="5:27" x14ac:dyDescent="0.3">
      <c r="E583" s="241"/>
      <c r="F583" s="241"/>
      <c r="T583" s="254">
        <v>571</v>
      </c>
      <c r="U583" s="248">
        <f t="shared" si="57"/>
        <v>-18.258500000000002</v>
      </c>
      <c r="V583" s="248">
        <f t="shared" si="58"/>
        <v>-144.60849999999999</v>
      </c>
      <c r="W583" s="248">
        <f t="shared" si="59"/>
        <v>166.74</v>
      </c>
      <c r="X583" s="248">
        <f t="shared" si="60"/>
        <v>3.8730000000000189</v>
      </c>
      <c r="Y583" s="248">
        <f t="shared" ca="1" si="56"/>
        <v>13.385727699892982</v>
      </c>
      <c r="Z583" s="248">
        <f t="shared" ca="1" si="61"/>
        <v>5.4128289443844944</v>
      </c>
      <c r="AA583" s="250">
        <f t="shared" ca="1" si="62"/>
        <v>541.28289443844949</v>
      </c>
    </row>
    <row r="584" spans="5:27" x14ac:dyDescent="0.3">
      <c r="E584" s="241"/>
      <c r="F584" s="241"/>
      <c r="T584" s="254">
        <v>572</v>
      </c>
      <c r="U584" s="248">
        <f t="shared" si="57"/>
        <v>-18.258500000000002</v>
      </c>
      <c r="V584" s="248">
        <f t="shared" si="58"/>
        <v>-143.60849999999999</v>
      </c>
      <c r="W584" s="248">
        <f t="shared" si="59"/>
        <v>165.74</v>
      </c>
      <c r="X584" s="248">
        <f t="shared" si="60"/>
        <v>3.8730000000000189</v>
      </c>
      <c r="Y584" s="248">
        <f t="shared" ca="1" si="56"/>
        <v>13.385727699892982</v>
      </c>
      <c r="Z584" s="248">
        <f t="shared" ca="1" si="61"/>
        <v>5.4128289443844944</v>
      </c>
      <c r="AA584" s="250">
        <f t="shared" ca="1" si="62"/>
        <v>541.28289443844949</v>
      </c>
    </row>
    <row r="585" spans="5:27" x14ac:dyDescent="0.3">
      <c r="E585" s="241"/>
      <c r="F585" s="241"/>
      <c r="T585" s="254">
        <v>573</v>
      </c>
      <c r="U585" s="248">
        <f t="shared" si="57"/>
        <v>-18.258500000000002</v>
      </c>
      <c r="V585" s="248">
        <f t="shared" si="58"/>
        <v>-142.60849999999999</v>
      </c>
      <c r="W585" s="248">
        <f t="shared" si="59"/>
        <v>164.74</v>
      </c>
      <c r="X585" s="248">
        <f t="shared" si="60"/>
        <v>3.8730000000000189</v>
      </c>
      <c r="Y585" s="248">
        <f t="shared" ca="1" si="56"/>
        <v>13.385727699892982</v>
      </c>
      <c r="Z585" s="248">
        <f t="shared" ca="1" si="61"/>
        <v>5.4128289443844944</v>
      </c>
      <c r="AA585" s="250">
        <f t="shared" ca="1" si="62"/>
        <v>541.28289443844949</v>
      </c>
    </row>
    <row r="586" spans="5:27" x14ac:dyDescent="0.3">
      <c r="E586" s="241"/>
      <c r="F586" s="241"/>
      <c r="T586" s="254">
        <v>574</v>
      </c>
      <c r="U586" s="248">
        <f t="shared" si="57"/>
        <v>-18.258500000000002</v>
      </c>
      <c r="V586" s="248">
        <f t="shared" si="58"/>
        <v>-141.60849999999999</v>
      </c>
      <c r="W586" s="248">
        <f t="shared" si="59"/>
        <v>163.74</v>
      </c>
      <c r="X586" s="248">
        <f t="shared" si="60"/>
        <v>3.8730000000000189</v>
      </c>
      <c r="Y586" s="248">
        <f t="shared" ca="1" si="56"/>
        <v>13.385727699892982</v>
      </c>
      <c r="Z586" s="248">
        <f t="shared" ca="1" si="61"/>
        <v>5.4128289443844944</v>
      </c>
      <c r="AA586" s="250">
        <f t="shared" ca="1" si="62"/>
        <v>541.28289443844949</v>
      </c>
    </row>
    <row r="587" spans="5:27" x14ac:dyDescent="0.3">
      <c r="E587" s="241"/>
      <c r="F587" s="241"/>
      <c r="T587" s="254">
        <v>575</v>
      </c>
      <c r="U587" s="248">
        <f t="shared" si="57"/>
        <v>-18.258500000000002</v>
      </c>
      <c r="V587" s="248">
        <f t="shared" si="58"/>
        <v>-140.60849999999999</v>
      </c>
      <c r="W587" s="248">
        <f t="shared" si="59"/>
        <v>162.74</v>
      </c>
      <c r="X587" s="248">
        <f t="shared" si="60"/>
        <v>3.8730000000000189</v>
      </c>
      <c r="Y587" s="248">
        <f t="shared" ca="1" si="56"/>
        <v>13.385727699892982</v>
      </c>
      <c r="Z587" s="248">
        <f t="shared" ca="1" si="61"/>
        <v>5.4128289443844944</v>
      </c>
      <c r="AA587" s="250">
        <f t="shared" ca="1" si="62"/>
        <v>541.28289443844949</v>
      </c>
    </row>
    <row r="588" spans="5:27" x14ac:dyDescent="0.3">
      <c r="E588" s="241"/>
      <c r="F588" s="241"/>
      <c r="T588" s="254">
        <v>576</v>
      </c>
      <c r="U588" s="248">
        <f t="shared" si="57"/>
        <v>-18.258500000000002</v>
      </c>
      <c r="V588" s="248">
        <f t="shared" si="58"/>
        <v>-139.60849999999999</v>
      </c>
      <c r="W588" s="248">
        <f t="shared" si="59"/>
        <v>161.74</v>
      </c>
      <c r="X588" s="248">
        <f t="shared" si="60"/>
        <v>3.8730000000000189</v>
      </c>
      <c r="Y588" s="248">
        <f t="shared" ref="Y588:Y651" ca="1" si="63">$Y$10*EXP($Y$7*$C$6)-$Y$10</f>
        <v>13.385727699892982</v>
      </c>
      <c r="Z588" s="248">
        <f t="shared" ca="1" si="61"/>
        <v>5.4128289443844944</v>
      </c>
      <c r="AA588" s="250">
        <f t="shared" ca="1" si="62"/>
        <v>541.28289443844949</v>
      </c>
    </row>
    <row r="589" spans="5:27" x14ac:dyDescent="0.3">
      <c r="E589" s="241"/>
      <c r="F589" s="241"/>
      <c r="T589" s="254">
        <v>577</v>
      </c>
      <c r="U589" s="248">
        <f t="shared" ref="U589:U652" si="64">MAX(0,T589-$U$9)-$U$10-$U$11/100</f>
        <v>-18.258500000000002</v>
      </c>
      <c r="V589" s="248">
        <f t="shared" ref="V589:V652" si="65">$V$10-MAX(0,$V$9-T589)-$V$11/100</f>
        <v>-138.60849999999999</v>
      </c>
      <c r="W589" s="248">
        <f t="shared" ref="W589:W652" si="66">$W$10-T589</f>
        <v>160.74</v>
      </c>
      <c r="X589" s="248">
        <f t="shared" ref="X589:X652" si="67">SUM(U589:W589)</f>
        <v>3.8730000000000189</v>
      </c>
      <c r="Y589" s="248">
        <f t="shared" ca="1" si="63"/>
        <v>13.385727699892982</v>
      </c>
      <c r="Z589" s="248">
        <f t="shared" ref="Z589:Z652" ca="1" si="68">EXP(-$E$3*$C$6)*SUM(X589:Y589)</f>
        <v>5.4128289443844944</v>
      </c>
      <c r="AA589" s="250">
        <f t="shared" ref="AA589:AA652" ca="1" si="69">Z589*100</f>
        <v>541.28289443844949</v>
      </c>
    </row>
    <row r="590" spans="5:27" x14ac:dyDescent="0.3">
      <c r="E590" s="241"/>
      <c r="F590" s="241"/>
      <c r="T590" s="254">
        <v>578</v>
      </c>
      <c r="U590" s="248">
        <f t="shared" si="64"/>
        <v>-18.258500000000002</v>
      </c>
      <c r="V590" s="248">
        <f t="shared" si="65"/>
        <v>-137.60849999999999</v>
      </c>
      <c r="W590" s="248">
        <f t="shared" si="66"/>
        <v>159.74</v>
      </c>
      <c r="X590" s="248">
        <f t="shared" si="67"/>
        <v>3.8730000000000189</v>
      </c>
      <c r="Y590" s="248">
        <f t="shared" ca="1" si="63"/>
        <v>13.385727699892982</v>
      </c>
      <c r="Z590" s="248">
        <f t="shared" ca="1" si="68"/>
        <v>5.4128289443844944</v>
      </c>
      <c r="AA590" s="250">
        <f t="shared" ca="1" si="69"/>
        <v>541.28289443844949</v>
      </c>
    </row>
    <row r="591" spans="5:27" x14ac:dyDescent="0.3">
      <c r="E591" s="241"/>
      <c r="F591" s="241"/>
      <c r="T591" s="254">
        <v>579</v>
      </c>
      <c r="U591" s="248">
        <f t="shared" si="64"/>
        <v>-18.258500000000002</v>
      </c>
      <c r="V591" s="248">
        <f t="shared" si="65"/>
        <v>-136.60849999999999</v>
      </c>
      <c r="W591" s="248">
        <f t="shared" si="66"/>
        <v>158.74</v>
      </c>
      <c r="X591" s="248">
        <f t="shared" si="67"/>
        <v>3.8730000000000189</v>
      </c>
      <c r="Y591" s="248">
        <f t="shared" ca="1" si="63"/>
        <v>13.385727699892982</v>
      </c>
      <c r="Z591" s="248">
        <f t="shared" ca="1" si="68"/>
        <v>5.4128289443844944</v>
      </c>
      <c r="AA591" s="250">
        <f t="shared" ca="1" si="69"/>
        <v>541.28289443844949</v>
      </c>
    </row>
    <row r="592" spans="5:27" x14ac:dyDescent="0.3">
      <c r="E592" s="241"/>
      <c r="F592" s="241"/>
      <c r="T592" s="254">
        <v>580</v>
      </c>
      <c r="U592" s="248">
        <f t="shared" si="64"/>
        <v>-18.258500000000002</v>
      </c>
      <c r="V592" s="248">
        <f t="shared" si="65"/>
        <v>-135.60849999999999</v>
      </c>
      <c r="W592" s="248">
        <f t="shared" si="66"/>
        <v>157.74</v>
      </c>
      <c r="X592" s="248">
        <f t="shared" si="67"/>
        <v>3.8730000000000189</v>
      </c>
      <c r="Y592" s="248">
        <f t="shared" ca="1" si="63"/>
        <v>13.385727699892982</v>
      </c>
      <c r="Z592" s="248">
        <f t="shared" ca="1" si="68"/>
        <v>5.4128289443844944</v>
      </c>
      <c r="AA592" s="250">
        <f t="shared" ca="1" si="69"/>
        <v>541.28289443844949</v>
      </c>
    </row>
    <row r="593" spans="5:27" x14ac:dyDescent="0.3">
      <c r="E593" s="241"/>
      <c r="F593" s="241"/>
      <c r="T593" s="254">
        <v>581</v>
      </c>
      <c r="U593" s="248">
        <f t="shared" si="64"/>
        <v>-18.258500000000002</v>
      </c>
      <c r="V593" s="248">
        <f t="shared" si="65"/>
        <v>-134.60849999999999</v>
      </c>
      <c r="W593" s="248">
        <f t="shared" si="66"/>
        <v>156.74</v>
      </c>
      <c r="X593" s="248">
        <f t="shared" si="67"/>
        <v>3.8730000000000189</v>
      </c>
      <c r="Y593" s="248">
        <f t="shared" ca="1" si="63"/>
        <v>13.385727699892982</v>
      </c>
      <c r="Z593" s="248">
        <f t="shared" ca="1" si="68"/>
        <v>5.4128289443844944</v>
      </c>
      <c r="AA593" s="250">
        <f t="shared" ca="1" si="69"/>
        <v>541.28289443844949</v>
      </c>
    </row>
    <row r="594" spans="5:27" x14ac:dyDescent="0.3">
      <c r="E594" s="241"/>
      <c r="F594" s="241"/>
      <c r="T594" s="254">
        <v>582</v>
      </c>
      <c r="U594" s="248">
        <f t="shared" si="64"/>
        <v>-18.258500000000002</v>
      </c>
      <c r="V594" s="248">
        <f t="shared" si="65"/>
        <v>-133.60849999999999</v>
      </c>
      <c r="W594" s="248">
        <f t="shared" si="66"/>
        <v>155.74</v>
      </c>
      <c r="X594" s="248">
        <f t="shared" si="67"/>
        <v>3.8730000000000189</v>
      </c>
      <c r="Y594" s="248">
        <f t="shared" ca="1" si="63"/>
        <v>13.385727699892982</v>
      </c>
      <c r="Z594" s="248">
        <f t="shared" ca="1" si="68"/>
        <v>5.4128289443844944</v>
      </c>
      <c r="AA594" s="250">
        <f t="shared" ca="1" si="69"/>
        <v>541.28289443844949</v>
      </c>
    </row>
    <row r="595" spans="5:27" x14ac:dyDescent="0.3">
      <c r="E595" s="241"/>
      <c r="F595" s="241"/>
      <c r="T595" s="254">
        <v>583</v>
      </c>
      <c r="U595" s="248">
        <f t="shared" si="64"/>
        <v>-18.258500000000002</v>
      </c>
      <c r="V595" s="248">
        <f t="shared" si="65"/>
        <v>-132.60849999999999</v>
      </c>
      <c r="W595" s="248">
        <f t="shared" si="66"/>
        <v>154.74</v>
      </c>
      <c r="X595" s="248">
        <f t="shared" si="67"/>
        <v>3.8730000000000189</v>
      </c>
      <c r="Y595" s="248">
        <f t="shared" ca="1" si="63"/>
        <v>13.385727699892982</v>
      </c>
      <c r="Z595" s="248">
        <f t="shared" ca="1" si="68"/>
        <v>5.4128289443844944</v>
      </c>
      <c r="AA595" s="250">
        <f t="shared" ca="1" si="69"/>
        <v>541.28289443844949</v>
      </c>
    </row>
    <row r="596" spans="5:27" x14ac:dyDescent="0.3">
      <c r="E596" s="241"/>
      <c r="F596" s="241"/>
      <c r="T596" s="254">
        <v>584</v>
      </c>
      <c r="U596" s="248">
        <f t="shared" si="64"/>
        <v>-18.258500000000002</v>
      </c>
      <c r="V596" s="248">
        <f t="shared" si="65"/>
        <v>-131.60849999999999</v>
      </c>
      <c r="W596" s="248">
        <f t="shared" si="66"/>
        <v>153.74</v>
      </c>
      <c r="X596" s="248">
        <f t="shared" si="67"/>
        <v>3.8730000000000189</v>
      </c>
      <c r="Y596" s="248">
        <f t="shared" ca="1" si="63"/>
        <v>13.385727699892982</v>
      </c>
      <c r="Z596" s="248">
        <f t="shared" ca="1" si="68"/>
        <v>5.4128289443844944</v>
      </c>
      <c r="AA596" s="250">
        <f t="shared" ca="1" si="69"/>
        <v>541.28289443844949</v>
      </c>
    </row>
    <row r="597" spans="5:27" x14ac:dyDescent="0.3">
      <c r="E597" s="241"/>
      <c r="F597" s="241"/>
      <c r="T597" s="254">
        <v>585</v>
      </c>
      <c r="U597" s="248">
        <f t="shared" si="64"/>
        <v>-18.258500000000002</v>
      </c>
      <c r="V597" s="248">
        <f t="shared" si="65"/>
        <v>-130.60849999999999</v>
      </c>
      <c r="W597" s="248">
        <f t="shared" si="66"/>
        <v>152.74</v>
      </c>
      <c r="X597" s="248">
        <f t="shared" si="67"/>
        <v>3.8730000000000189</v>
      </c>
      <c r="Y597" s="248">
        <f t="shared" ca="1" si="63"/>
        <v>13.385727699892982</v>
      </c>
      <c r="Z597" s="248">
        <f t="shared" ca="1" si="68"/>
        <v>5.4128289443844944</v>
      </c>
      <c r="AA597" s="250">
        <f t="shared" ca="1" si="69"/>
        <v>541.28289443844949</v>
      </c>
    </row>
    <row r="598" spans="5:27" x14ac:dyDescent="0.3">
      <c r="E598" s="241"/>
      <c r="F598" s="241"/>
      <c r="T598" s="254">
        <v>586</v>
      </c>
      <c r="U598" s="248">
        <f t="shared" si="64"/>
        <v>-18.258500000000002</v>
      </c>
      <c r="V598" s="248">
        <f t="shared" si="65"/>
        <v>-129.60849999999999</v>
      </c>
      <c r="W598" s="248">
        <f t="shared" si="66"/>
        <v>151.74</v>
      </c>
      <c r="X598" s="248">
        <f t="shared" si="67"/>
        <v>3.8730000000000189</v>
      </c>
      <c r="Y598" s="248">
        <f t="shared" ca="1" si="63"/>
        <v>13.385727699892982</v>
      </c>
      <c r="Z598" s="248">
        <f t="shared" ca="1" si="68"/>
        <v>5.4128289443844944</v>
      </c>
      <c r="AA598" s="250">
        <f t="shared" ca="1" si="69"/>
        <v>541.28289443844949</v>
      </c>
    </row>
    <row r="599" spans="5:27" x14ac:dyDescent="0.3">
      <c r="E599" s="241"/>
      <c r="F599" s="241"/>
      <c r="T599" s="254">
        <v>587</v>
      </c>
      <c r="U599" s="248">
        <f t="shared" si="64"/>
        <v>-18.258500000000002</v>
      </c>
      <c r="V599" s="248">
        <f t="shared" si="65"/>
        <v>-128.60849999999999</v>
      </c>
      <c r="W599" s="248">
        <f t="shared" si="66"/>
        <v>150.74</v>
      </c>
      <c r="X599" s="248">
        <f t="shared" si="67"/>
        <v>3.8730000000000189</v>
      </c>
      <c r="Y599" s="248">
        <f t="shared" ca="1" si="63"/>
        <v>13.385727699892982</v>
      </c>
      <c r="Z599" s="248">
        <f t="shared" ca="1" si="68"/>
        <v>5.4128289443844944</v>
      </c>
      <c r="AA599" s="250">
        <f t="shared" ca="1" si="69"/>
        <v>541.28289443844949</v>
      </c>
    </row>
    <row r="600" spans="5:27" x14ac:dyDescent="0.3">
      <c r="E600" s="241"/>
      <c r="F600" s="241"/>
      <c r="T600" s="254">
        <v>588</v>
      </c>
      <c r="U600" s="248">
        <f t="shared" si="64"/>
        <v>-18.258500000000002</v>
      </c>
      <c r="V600" s="248">
        <f t="shared" si="65"/>
        <v>-127.60849999999999</v>
      </c>
      <c r="W600" s="248">
        <f t="shared" si="66"/>
        <v>149.74</v>
      </c>
      <c r="X600" s="248">
        <f t="shared" si="67"/>
        <v>3.8730000000000189</v>
      </c>
      <c r="Y600" s="248">
        <f t="shared" ca="1" si="63"/>
        <v>13.385727699892982</v>
      </c>
      <c r="Z600" s="248">
        <f t="shared" ca="1" si="68"/>
        <v>5.4128289443844944</v>
      </c>
      <c r="AA600" s="250">
        <f t="shared" ca="1" si="69"/>
        <v>541.28289443844949</v>
      </c>
    </row>
    <row r="601" spans="5:27" x14ac:dyDescent="0.3">
      <c r="E601" s="241"/>
      <c r="F601" s="241"/>
      <c r="T601" s="254">
        <v>589</v>
      </c>
      <c r="U601" s="248">
        <f t="shared" si="64"/>
        <v>-18.258500000000002</v>
      </c>
      <c r="V601" s="248">
        <f t="shared" si="65"/>
        <v>-126.60849999999999</v>
      </c>
      <c r="W601" s="248">
        <f t="shared" si="66"/>
        <v>148.74</v>
      </c>
      <c r="X601" s="248">
        <f t="shared" si="67"/>
        <v>3.8730000000000189</v>
      </c>
      <c r="Y601" s="248">
        <f t="shared" ca="1" si="63"/>
        <v>13.385727699892982</v>
      </c>
      <c r="Z601" s="248">
        <f t="shared" ca="1" si="68"/>
        <v>5.4128289443844944</v>
      </c>
      <c r="AA601" s="250">
        <f t="shared" ca="1" si="69"/>
        <v>541.28289443844949</v>
      </c>
    </row>
    <row r="602" spans="5:27" x14ac:dyDescent="0.3">
      <c r="E602" s="241"/>
      <c r="F602" s="241"/>
      <c r="T602" s="254">
        <v>590</v>
      </c>
      <c r="U602" s="248">
        <f t="shared" si="64"/>
        <v>-18.258500000000002</v>
      </c>
      <c r="V602" s="248">
        <f t="shared" si="65"/>
        <v>-125.60849999999999</v>
      </c>
      <c r="W602" s="248">
        <f t="shared" si="66"/>
        <v>147.74</v>
      </c>
      <c r="X602" s="248">
        <f t="shared" si="67"/>
        <v>3.8730000000000189</v>
      </c>
      <c r="Y602" s="248">
        <f t="shared" ca="1" si="63"/>
        <v>13.385727699892982</v>
      </c>
      <c r="Z602" s="248">
        <f t="shared" ca="1" si="68"/>
        <v>5.4128289443844944</v>
      </c>
      <c r="AA602" s="250">
        <f t="shared" ca="1" si="69"/>
        <v>541.28289443844949</v>
      </c>
    </row>
    <row r="603" spans="5:27" x14ac:dyDescent="0.3">
      <c r="E603" s="241"/>
      <c r="F603" s="241"/>
      <c r="T603" s="254">
        <v>591</v>
      </c>
      <c r="U603" s="248">
        <f t="shared" si="64"/>
        <v>-18.258500000000002</v>
      </c>
      <c r="V603" s="248">
        <f t="shared" si="65"/>
        <v>-124.60849999999999</v>
      </c>
      <c r="W603" s="248">
        <f t="shared" si="66"/>
        <v>146.74</v>
      </c>
      <c r="X603" s="248">
        <f t="shared" si="67"/>
        <v>3.8730000000000189</v>
      </c>
      <c r="Y603" s="248">
        <f t="shared" ca="1" si="63"/>
        <v>13.385727699892982</v>
      </c>
      <c r="Z603" s="248">
        <f t="shared" ca="1" si="68"/>
        <v>5.4128289443844944</v>
      </c>
      <c r="AA603" s="250">
        <f t="shared" ca="1" si="69"/>
        <v>541.28289443844949</v>
      </c>
    </row>
    <row r="604" spans="5:27" x14ac:dyDescent="0.3">
      <c r="E604" s="241"/>
      <c r="F604" s="241"/>
      <c r="T604" s="254">
        <v>592</v>
      </c>
      <c r="U604" s="248">
        <f t="shared" si="64"/>
        <v>-18.258500000000002</v>
      </c>
      <c r="V604" s="248">
        <f t="shared" si="65"/>
        <v>-123.60849999999999</v>
      </c>
      <c r="W604" s="248">
        <f t="shared" si="66"/>
        <v>145.74</v>
      </c>
      <c r="X604" s="248">
        <f t="shared" si="67"/>
        <v>3.8730000000000189</v>
      </c>
      <c r="Y604" s="248">
        <f t="shared" ca="1" si="63"/>
        <v>13.385727699892982</v>
      </c>
      <c r="Z604" s="248">
        <f t="shared" ca="1" si="68"/>
        <v>5.4128289443844944</v>
      </c>
      <c r="AA604" s="250">
        <f t="shared" ca="1" si="69"/>
        <v>541.28289443844949</v>
      </c>
    </row>
    <row r="605" spans="5:27" x14ac:dyDescent="0.3">
      <c r="E605" s="241"/>
      <c r="F605" s="241"/>
      <c r="T605" s="254">
        <v>593</v>
      </c>
      <c r="U605" s="248">
        <f t="shared" si="64"/>
        <v>-18.258500000000002</v>
      </c>
      <c r="V605" s="248">
        <f t="shared" si="65"/>
        <v>-122.60849999999999</v>
      </c>
      <c r="W605" s="248">
        <f t="shared" si="66"/>
        <v>144.74</v>
      </c>
      <c r="X605" s="248">
        <f t="shared" si="67"/>
        <v>3.8730000000000189</v>
      </c>
      <c r="Y605" s="248">
        <f t="shared" ca="1" si="63"/>
        <v>13.385727699892982</v>
      </c>
      <c r="Z605" s="248">
        <f t="shared" ca="1" si="68"/>
        <v>5.4128289443844944</v>
      </c>
      <c r="AA605" s="250">
        <f t="shared" ca="1" si="69"/>
        <v>541.28289443844949</v>
      </c>
    </row>
    <row r="606" spans="5:27" x14ac:dyDescent="0.3">
      <c r="E606" s="241"/>
      <c r="F606" s="241"/>
      <c r="T606" s="254">
        <v>594</v>
      </c>
      <c r="U606" s="248">
        <f t="shared" si="64"/>
        <v>-18.258500000000002</v>
      </c>
      <c r="V606" s="248">
        <f t="shared" si="65"/>
        <v>-121.60849999999999</v>
      </c>
      <c r="W606" s="248">
        <f t="shared" si="66"/>
        <v>143.74</v>
      </c>
      <c r="X606" s="248">
        <f t="shared" si="67"/>
        <v>3.8730000000000189</v>
      </c>
      <c r="Y606" s="248">
        <f t="shared" ca="1" si="63"/>
        <v>13.385727699892982</v>
      </c>
      <c r="Z606" s="248">
        <f t="shared" ca="1" si="68"/>
        <v>5.4128289443844944</v>
      </c>
      <c r="AA606" s="250">
        <f t="shared" ca="1" si="69"/>
        <v>541.28289443844949</v>
      </c>
    </row>
    <row r="607" spans="5:27" x14ac:dyDescent="0.3">
      <c r="E607" s="241"/>
      <c r="F607" s="241"/>
      <c r="T607" s="254">
        <v>595</v>
      </c>
      <c r="U607" s="248">
        <f t="shared" si="64"/>
        <v>-18.258500000000002</v>
      </c>
      <c r="V607" s="248">
        <f t="shared" si="65"/>
        <v>-120.60849999999999</v>
      </c>
      <c r="W607" s="248">
        <f t="shared" si="66"/>
        <v>142.74</v>
      </c>
      <c r="X607" s="248">
        <f t="shared" si="67"/>
        <v>3.8730000000000189</v>
      </c>
      <c r="Y607" s="248">
        <f t="shared" ca="1" si="63"/>
        <v>13.385727699892982</v>
      </c>
      <c r="Z607" s="248">
        <f t="shared" ca="1" si="68"/>
        <v>5.4128289443844944</v>
      </c>
      <c r="AA607" s="250">
        <f t="shared" ca="1" si="69"/>
        <v>541.28289443844949</v>
      </c>
    </row>
    <row r="608" spans="5:27" x14ac:dyDescent="0.3">
      <c r="E608" s="241"/>
      <c r="F608" s="241"/>
      <c r="T608" s="254">
        <v>596</v>
      </c>
      <c r="U608" s="248">
        <f t="shared" si="64"/>
        <v>-18.258500000000002</v>
      </c>
      <c r="V608" s="248">
        <f t="shared" si="65"/>
        <v>-119.60849999999999</v>
      </c>
      <c r="W608" s="248">
        <f t="shared" si="66"/>
        <v>141.74</v>
      </c>
      <c r="X608" s="248">
        <f t="shared" si="67"/>
        <v>3.8730000000000189</v>
      </c>
      <c r="Y608" s="248">
        <f t="shared" ca="1" si="63"/>
        <v>13.385727699892982</v>
      </c>
      <c r="Z608" s="248">
        <f t="shared" ca="1" si="68"/>
        <v>5.4128289443844944</v>
      </c>
      <c r="AA608" s="250">
        <f t="shared" ca="1" si="69"/>
        <v>541.28289443844949</v>
      </c>
    </row>
    <row r="609" spans="5:27" x14ac:dyDescent="0.3">
      <c r="E609" s="241"/>
      <c r="F609" s="241"/>
      <c r="T609" s="254">
        <v>597</v>
      </c>
      <c r="U609" s="248">
        <f t="shared" si="64"/>
        <v>-18.258500000000002</v>
      </c>
      <c r="V609" s="248">
        <f t="shared" si="65"/>
        <v>-118.60849999999999</v>
      </c>
      <c r="W609" s="248">
        <f t="shared" si="66"/>
        <v>140.74</v>
      </c>
      <c r="X609" s="248">
        <f t="shared" si="67"/>
        <v>3.8730000000000189</v>
      </c>
      <c r="Y609" s="248">
        <f t="shared" ca="1" si="63"/>
        <v>13.385727699892982</v>
      </c>
      <c r="Z609" s="248">
        <f t="shared" ca="1" si="68"/>
        <v>5.4128289443844944</v>
      </c>
      <c r="AA609" s="250">
        <f t="shared" ca="1" si="69"/>
        <v>541.28289443844949</v>
      </c>
    </row>
    <row r="610" spans="5:27" x14ac:dyDescent="0.3">
      <c r="E610" s="241"/>
      <c r="F610" s="241"/>
      <c r="T610" s="254">
        <v>598</v>
      </c>
      <c r="U610" s="248">
        <f t="shared" si="64"/>
        <v>-18.258500000000002</v>
      </c>
      <c r="V610" s="248">
        <f t="shared" si="65"/>
        <v>-117.60849999999999</v>
      </c>
      <c r="W610" s="248">
        <f t="shared" si="66"/>
        <v>139.74</v>
      </c>
      <c r="X610" s="248">
        <f t="shared" si="67"/>
        <v>3.8730000000000189</v>
      </c>
      <c r="Y610" s="248">
        <f t="shared" ca="1" si="63"/>
        <v>13.385727699892982</v>
      </c>
      <c r="Z610" s="248">
        <f t="shared" ca="1" si="68"/>
        <v>5.4128289443844944</v>
      </c>
      <c r="AA610" s="250">
        <f t="shared" ca="1" si="69"/>
        <v>541.28289443844949</v>
      </c>
    </row>
    <row r="611" spans="5:27" x14ac:dyDescent="0.3">
      <c r="E611" s="241"/>
      <c r="F611" s="241"/>
      <c r="T611" s="254">
        <v>599</v>
      </c>
      <c r="U611" s="248">
        <f t="shared" si="64"/>
        <v>-18.258500000000002</v>
      </c>
      <c r="V611" s="248">
        <f t="shared" si="65"/>
        <v>-116.60849999999999</v>
      </c>
      <c r="W611" s="248">
        <f t="shared" si="66"/>
        <v>138.74</v>
      </c>
      <c r="X611" s="248">
        <f t="shared" si="67"/>
        <v>3.8730000000000189</v>
      </c>
      <c r="Y611" s="248">
        <f t="shared" ca="1" si="63"/>
        <v>13.385727699892982</v>
      </c>
      <c r="Z611" s="248">
        <f t="shared" ca="1" si="68"/>
        <v>5.4128289443844944</v>
      </c>
      <c r="AA611" s="250">
        <f t="shared" ca="1" si="69"/>
        <v>541.28289443844949</v>
      </c>
    </row>
    <row r="612" spans="5:27" x14ac:dyDescent="0.3">
      <c r="E612" s="241"/>
      <c r="F612" s="241"/>
      <c r="T612" s="254">
        <v>600</v>
      </c>
      <c r="U612" s="248">
        <f t="shared" si="64"/>
        <v>-18.258500000000002</v>
      </c>
      <c r="V612" s="248">
        <f t="shared" si="65"/>
        <v>-115.60849999999999</v>
      </c>
      <c r="W612" s="248">
        <f t="shared" si="66"/>
        <v>137.74</v>
      </c>
      <c r="X612" s="248">
        <f t="shared" si="67"/>
        <v>3.8730000000000189</v>
      </c>
      <c r="Y612" s="248">
        <f t="shared" ca="1" si="63"/>
        <v>13.385727699892982</v>
      </c>
      <c r="Z612" s="248">
        <f t="shared" ca="1" si="68"/>
        <v>5.4128289443844944</v>
      </c>
      <c r="AA612" s="250">
        <f t="shared" ca="1" si="69"/>
        <v>541.28289443844949</v>
      </c>
    </row>
    <row r="613" spans="5:27" x14ac:dyDescent="0.3">
      <c r="E613" s="241"/>
      <c r="F613" s="241"/>
      <c r="T613" s="254">
        <v>601</v>
      </c>
      <c r="U613" s="248">
        <f t="shared" si="64"/>
        <v>-18.258500000000002</v>
      </c>
      <c r="V613" s="248">
        <f t="shared" si="65"/>
        <v>-114.60849999999999</v>
      </c>
      <c r="W613" s="248">
        <f t="shared" si="66"/>
        <v>136.74</v>
      </c>
      <c r="X613" s="248">
        <f t="shared" si="67"/>
        <v>3.8730000000000189</v>
      </c>
      <c r="Y613" s="248">
        <f t="shared" ca="1" si="63"/>
        <v>13.385727699892982</v>
      </c>
      <c r="Z613" s="248">
        <f t="shared" ca="1" si="68"/>
        <v>5.4128289443844944</v>
      </c>
      <c r="AA613" s="250">
        <f t="shared" ca="1" si="69"/>
        <v>541.28289443844949</v>
      </c>
    </row>
    <row r="614" spans="5:27" x14ac:dyDescent="0.3">
      <c r="E614" s="241"/>
      <c r="F614" s="241"/>
      <c r="T614" s="254">
        <v>602</v>
      </c>
      <c r="U614" s="248">
        <f t="shared" si="64"/>
        <v>-18.258500000000002</v>
      </c>
      <c r="V614" s="248">
        <f t="shared" si="65"/>
        <v>-113.60849999999999</v>
      </c>
      <c r="W614" s="248">
        <f t="shared" si="66"/>
        <v>135.74</v>
      </c>
      <c r="X614" s="248">
        <f t="shared" si="67"/>
        <v>3.8730000000000189</v>
      </c>
      <c r="Y614" s="248">
        <f t="shared" ca="1" si="63"/>
        <v>13.385727699892982</v>
      </c>
      <c r="Z614" s="248">
        <f t="shared" ca="1" si="68"/>
        <v>5.4128289443844944</v>
      </c>
      <c r="AA614" s="250">
        <f t="shared" ca="1" si="69"/>
        <v>541.28289443844949</v>
      </c>
    </row>
    <row r="615" spans="5:27" x14ac:dyDescent="0.3">
      <c r="E615" s="241"/>
      <c r="F615" s="241"/>
      <c r="T615" s="254">
        <v>603</v>
      </c>
      <c r="U615" s="248">
        <f t="shared" si="64"/>
        <v>-18.258500000000002</v>
      </c>
      <c r="V615" s="248">
        <f t="shared" si="65"/>
        <v>-112.60849999999999</v>
      </c>
      <c r="W615" s="248">
        <f t="shared" si="66"/>
        <v>134.74</v>
      </c>
      <c r="X615" s="248">
        <f t="shared" si="67"/>
        <v>3.8730000000000189</v>
      </c>
      <c r="Y615" s="248">
        <f t="shared" ca="1" si="63"/>
        <v>13.385727699892982</v>
      </c>
      <c r="Z615" s="248">
        <f t="shared" ca="1" si="68"/>
        <v>5.4128289443844944</v>
      </c>
      <c r="AA615" s="250">
        <f t="shared" ca="1" si="69"/>
        <v>541.28289443844949</v>
      </c>
    </row>
    <row r="616" spans="5:27" x14ac:dyDescent="0.3">
      <c r="E616" s="241"/>
      <c r="F616" s="241"/>
      <c r="T616" s="254">
        <v>604</v>
      </c>
      <c r="U616" s="248">
        <f t="shared" si="64"/>
        <v>-18.258500000000002</v>
      </c>
      <c r="V616" s="248">
        <f t="shared" si="65"/>
        <v>-111.60849999999999</v>
      </c>
      <c r="W616" s="248">
        <f t="shared" si="66"/>
        <v>133.74</v>
      </c>
      <c r="X616" s="248">
        <f t="shared" si="67"/>
        <v>3.8730000000000189</v>
      </c>
      <c r="Y616" s="248">
        <f t="shared" ca="1" si="63"/>
        <v>13.385727699892982</v>
      </c>
      <c r="Z616" s="248">
        <f t="shared" ca="1" si="68"/>
        <v>5.4128289443844944</v>
      </c>
      <c r="AA616" s="250">
        <f t="shared" ca="1" si="69"/>
        <v>541.28289443844949</v>
      </c>
    </row>
    <row r="617" spans="5:27" x14ac:dyDescent="0.3">
      <c r="E617" s="241"/>
      <c r="F617" s="241"/>
      <c r="T617" s="254">
        <v>605</v>
      </c>
      <c r="U617" s="248">
        <f t="shared" si="64"/>
        <v>-18.258500000000002</v>
      </c>
      <c r="V617" s="248">
        <f t="shared" si="65"/>
        <v>-110.60849999999999</v>
      </c>
      <c r="W617" s="248">
        <f t="shared" si="66"/>
        <v>132.74</v>
      </c>
      <c r="X617" s="248">
        <f t="shared" si="67"/>
        <v>3.8730000000000189</v>
      </c>
      <c r="Y617" s="248">
        <f t="shared" ca="1" si="63"/>
        <v>13.385727699892982</v>
      </c>
      <c r="Z617" s="248">
        <f t="shared" ca="1" si="68"/>
        <v>5.4128289443844944</v>
      </c>
      <c r="AA617" s="250">
        <f t="shared" ca="1" si="69"/>
        <v>541.28289443844949</v>
      </c>
    </row>
    <row r="618" spans="5:27" x14ac:dyDescent="0.3">
      <c r="E618" s="241"/>
      <c r="F618" s="241"/>
      <c r="T618" s="254">
        <v>606</v>
      </c>
      <c r="U618" s="248">
        <f t="shared" si="64"/>
        <v>-18.258500000000002</v>
      </c>
      <c r="V618" s="248">
        <f t="shared" si="65"/>
        <v>-109.60849999999999</v>
      </c>
      <c r="W618" s="248">
        <f t="shared" si="66"/>
        <v>131.74</v>
      </c>
      <c r="X618" s="248">
        <f t="shared" si="67"/>
        <v>3.8730000000000189</v>
      </c>
      <c r="Y618" s="248">
        <f t="shared" ca="1" si="63"/>
        <v>13.385727699892982</v>
      </c>
      <c r="Z618" s="248">
        <f t="shared" ca="1" si="68"/>
        <v>5.4128289443844944</v>
      </c>
      <c r="AA618" s="250">
        <f t="shared" ca="1" si="69"/>
        <v>541.28289443844949</v>
      </c>
    </row>
    <row r="619" spans="5:27" x14ac:dyDescent="0.3">
      <c r="E619" s="241"/>
      <c r="F619" s="241"/>
      <c r="T619" s="254">
        <v>607</v>
      </c>
      <c r="U619" s="248">
        <f t="shared" si="64"/>
        <v>-18.258500000000002</v>
      </c>
      <c r="V619" s="248">
        <f t="shared" si="65"/>
        <v>-108.60849999999999</v>
      </c>
      <c r="W619" s="248">
        <f t="shared" si="66"/>
        <v>130.74</v>
      </c>
      <c r="X619" s="248">
        <f t="shared" si="67"/>
        <v>3.8730000000000189</v>
      </c>
      <c r="Y619" s="248">
        <f t="shared" ca="1" si="63"/>
        <v>13.385727699892982</v>
      </c>
      <c r="Z619" s="248">
        <f t="shared" ca="1" si="68"/>
        <v>5.4128289443844944</v>
      </c>
      <c r="AA619" s="250">
        <f t="shared" ca="1" si="69"/>
        <v>541.28289443844949</v>
      </c>
    </row>
    <row r="620" spans="5:27" x14ac:dyDescent="0.3">
      <c r="E620" s="241"/>
      <c r="F620" s="241"/>
      <c r="T620" s="254">
        <v>608</v>
      </c>
      <c r="U620" s="248">
        <f t="shared" si="64"/>
        <v>-18.258500000000002</v>
      </c>
      <c r="V620" s="248">
        <f t="shared" si="65"/>
        <v>-107.60849999999999</v>
      </c>
      <c r="W620" s="248">
        <f t="shared" si="66"/>
        <v>129.74</v>
      </c>
      <c r="X620" s="248">
        <f t="shared" si="67"/>
        <v>3.8730000000000189</v>
      </c>
      <c r="Y620" s="248">
        <f t="shared" ca="1" si="63"/>
        <v>13.385727699892982</v>
      </c>
      <c r="Z620" s="248">
        <f t="shared" ca="1" si="68"/>
        <v>5.4128289443844944</v>
      </c>
      <c r="AA620" s="250">
        <f t="shared" ca="1" si="69"/>
        <v>541.28289443844949</v>
      </c>
    </row>
    <row r="621" spans="5:27" x14ac:dyDescent="0.3">
      <c r="E621" s="241"/>
      <c r="F621" s="241"/>
      <c r="T621" s="254">
        <v>609</v>
      </c>
      <c r="U621" s="248">
        <f t="shared" si="64"/>
        <v>-18.258500000000002</v>
      </c>
      <c r="V621" s="248">
        <f t="shared" si="65"/>
        <v>-106.60849999999999</v>
      </c>
      <c r="W621" s="248">
        <f t="shared" si="66"/>
        <v>128.74</v>
      </c>
      <c r="X621" s="248">
        <f t="shared" si="67"/>
        <v>3.8730000000000189</v>
      </c>
      <c r="Y621" s="248">
        <f t="shared" ca="1" si="63"/>
        <v>13.385727699892982</v>
      </c>
      <c r="Z621" s="248">
        <f t="shared" ca="1" si="68"/>
        <v>5.4128289443844944</v>
      </c>
      <c r="AA621" s="250">
        <f t="shared" ca="1" si="69"/>
        <v>541.28289443844949</v>
      </c>
    </row>
    <row r="622" spans="5:27" x14ac:dyDescent="0.3">
      <c r="E622" s="241"/>
      <c r="F622" s="241"/>
      <c r="T622" s="254">
        <v>610</v>
      </c>
      <c r="U622" s="248">
        <f t="shared" si="64"/>
        <v>-18.258500000000002</v>
      </c>
      <c r="V622" s="248">
        <f t="shared" si="65"/>
        <v>-105.60849999999999</v>
      </c>
      <c r="W622" s="248">
        <f t="shared" si="66"/>
        <v>127.74000000000001</v>
      </c>
      <c r="X622" s="248">
        <f t="shared" si="67"/>
        <v>3.8730000000000189</v>
      </c>
      <c r="Y622" s="248">
        <f t="shared" ca="1" si="63"/>
        <v>13.385727699892982</v>
      </c>
      <c r="Z622" s="248">
        <f t="shared" ca="1" si="68"/>
        <v>5.4128289443844944</v>
      </c>
      <c r="AA622" s="250">
        <f t="shared" ca="1" si="69"/>
        <v>541.28289443844949</v>
      </c>
    </row>
    <row r="623" spans="5:27" x14ac:dyDescent="0.3">
      <c r="E623" s="241"/>
      <c r="F623" s="241"/>
      <c r="T623" s="254">
        <v>611</v>
      </c>
      <c r="U623" s="248">
        <f t="shared" si="64"/>
        <v>-18.258500000000002</v>
      </c>
      <c r="V623" s="248">
        <f t="shared" si="65"/>
        <v>-104.60849999999999</v>
      </c>
      <c r="W623" s="248">
        <f t="shared" si="66"/>
        <v>126.74000000000001</v>
      </c>
      <c r="X623" s="248">
        <f t="shared" si="67"/>
        <v>3.8730000000000189</v>
      </c>
      <c r="Y623" s="248">
        <f t="shared" ca="1" si="63"/>
        <v>13.385727699892982</v>
      </c>
      <c r="Z623" s="248">
        <f t="shared" ca="1" si="68"/>
        <v>5.4128289443844944</v>
      </c>
      <c r="AA623" s="250">
        <f t="shared" ca="1" si="69"/>
        <v>541.28289443844949</v>
      </c>
    </row>
    <row r="624" spans="5:27" x14ac:dyDescent="0.3">
      <c r="E624" s="241"/>
      <c r="F624" s="241"/>
      <c r="T624" s="254">
        <v>612</v>
      </c>
      <c r="U624" s="248">
        <f t="shared" si="64"/>
        <v>-18.258500000000002</v>
      </c>
      <c r="V624" s="248">
        <f t="shared" si="65"/>
        <v>-103.60849999999999</v>
      </c>
      <c r="W624" s="248">
        <f t="shared" si="66"/>
        <v>125.74000000000001</v>
      </c>
      <c r="X624" s="248">
        <f t="shared" si="67"/>
        <v>3.8730000000000189</v>
      </c>
      <c r="Y624" s="248">
        <f t="shared" ca="1" si="63"/>
        <v>13.385727699892982</v>
      </c>
      <c r="Z624" s="248">
        <f t="shared" ca="1" si="68"/>
        <v>5.4128289443844944</v>
      </c>
      <c r="AA624" s="250">
        <f t="shared" ca="1" si="69"/>
        <v>541.28289443844949</v>
      </c>
    </row>
    <row r="625" spans="5:27" x14ac:dyDescent="0.3">
      <c r="E625" s="241"/>
      <c r="F625" s="241"/>
      <c r="T625" s="254">
        <v>613</v>
      </c>
      <c r="U625" s="248">
        <f t="shared" si="64"/>
        <v>-18.258500000000002</v>
      </c>
      <c r="V625" s="248">
        <f t="shared" si="65"/>
        <v>-102.60849999999999</v>
      </c>
      <c r="W625" s="248">
        <f t="shared" si="66"/>
        <v>124.74000000000001</v>
      </c>
      <c r="X625" s="248">
        <f t="shared" si="67"/>
        <v>3.8730000000000189</v>
      </c>
      <c r="Y625" s="248">
        <f t="shared" ca="1" si="63"/>
        <v>13.385727699892982</v>
      </c>
      <c r="Z625" s="248">
        <f t="shared" ca="1" si="68"/>
        <v>5.4128289443844944</v>
      </c>
      <c r="AA625" s="250">
        <f t="shared" ca="1" si="69"/>
        <v>541.28289443844949</v>
      </c>
    </row>
    <row r="626" spans="5:27" x14ac:dyDescent="0.3">
      <c r="E626" s="241"/>
      <c r="F626" s="241"/>
      <c r="T626" s="254">
        <v>614</v>
      </c>
      <c r="U626" s="248">
        <f t="shared" si="64"/>
        <v>-18.258500000000002</v>
      </c>
      <c r="V626" s="248">
        <f t="shared" si="65"/>
        <v>-101.60849999999999</v>
      </c>
      <c r="W626" s="248">
        <f t="shared" si="66"/>
        <v>123.74000000000001</v>
      </c>
      <c r="X626" s="248">
        <f t="shared" si="67"/>
        <v>3.8730000000000189</v>
      </c>
      <c r="Y626" s="248">
        <f t="shared" ca="1" si="63"/>
        <v>13.385727699892982</v>
      </c>
      <c r="Z626" s="248">
        <f t="shared" ca="1" si="68"/>
        <v>5.4128289443844944</v>
      </c>
      <c r="AA626" s="250">
        <f t="shared" ca="1" si="69"/>
        <v>541.28289443844949</v>
      </c>
    </row>
    <row r="627" spans="5:27" x14ac:dyDescent="0.3">
      <c r="E627" s="241"/>
      <c r="F627" s="241"/>
      <c r="T627" s="254">
        <v>615</v>
      </c>
      <c r="U627" s="248">
        <f t="shared" si="64"/>
        <v>-18.258500000000002</v>
      </c>
      <c r="V627" s="248">
        <f t="shared" si="65"/>
        <v>-100.60849999999999</v>
      </c>
      <c r="W627" s="248">
        <f t="shared" si="66"/>
        <v>122.74000000000001</v>
      </c>
      <c r="X627" s="248">
        <f t="shared" si="67"/>
        <v>3.8730000000000189</v>
      </c>
      <c r="Y627" s="248">
        <f t="shared" ca="1" si="63"/>
        <v>13.385727699892982</v>
      </c>
      <c r="Z627" s="248">
        <f t="shared" ca="1" si="68"/>
        <v>5.4128289443844944</v>
      </c>
      <c r="AA627" s="250">
        <f t="shared" ca="1" si="69"/>
        <v>541.28289443844949</v>
      </c>
    </row>
    <row r="628" spans="5:27" x14ac:dyDescent="0.3">
      <c r="E628" s="241"/>
      <c r="F628" s="241"/>
      <c r="T628" s="254">
        <v>616</v>
      </c>
      <c r="U628" s="248">
        <f t="shared" si="64"/>
        <v>-18.258500000000002</v>
      </c>
      <c r="V628" s="248">
        <f t="shared" si="65"/>
        <v>-99.608499999999992</v>
      </c>
      <c r="W628" s="248">
        <f t="shared" si="66"/>
        <v>121.74000000000001</v>
      </c>
      <c r="X628" s="248">
        <f t="shared" si="67"/>
        <v>3.8730000000000189</v>
      </c>
      <c r="Y628" s="248">
        <f t="shared" ca="1" si="63"/>
        <v>13.385727699892982</v>
      </c>
      <c r="Z628" s="248">
        <f t="shared" ca="1" si="68"/>
        <v>5.4128289443844944</v>
      </c>
      <c r="AA628" s="250">
        <f t="shared" ca="1" si="69"/>
        <v>541.28289443844949</v>
      </c>
    </row>
    <row r="629" spans="5:27" x14ac:dyDescent="0.3">
      <c r="E629" s="241"/>
      <c r="F629" s="241"/>
      <c r="T629" s="254">
        <v>617</v>
      </c>
      <c r="U629" s="248">
        <f t="shared" si="64"/>
        <v>-18.258500000000002</v>
      </c>
      <c r="V629" s="248">
        <f t="shared" si="65"/>
        <v>-98.608499999999992</v>
      </c>
      <c r="W629" s="248">
        <f t="shared" si="66"/>
        <v>120.74000000000001</v>
      </c>
      <c r="X629" s="248">
        <f t="shared" si="67"/>
        <v>3.8730000000000189</v>
      </c>
      <c r="Y629" s="248">
        <f t="shared" ca="1" si="63"/>
        <v>13.385727699892982</v>
      </c>
      <c r="Z629" s="248">
        <f t="shared" ca="1" si="68"/>
        <v>5.4128289443844944</v>
      </c>
      <c r="AA629" s="250">
        <f t="shared" ca="1" si="69"/>
        <v>541.28289443844949</v>
      </c>
    </row>
    <row r="630" spans="5:27" x14ac:dyDescent="0.3">
      <c r="E630" s="241"/>
      <c r="F630" s="241"/>
      <c r="T630" s="254">
        <v>618</v>
      </c>
      <c r="U630" s="248">
        <f t="shared" si="64"/>
        <v>-18.258500000000002</v>
      </c>
      <c r="V630" s="248">
        <f t="shared" si="65"/>
        <v>-97.608499999999992</v>
      </c>
      <c r="W630" s="248">
        <f t="shared" si="66"/>
        <v>119.74000000000001</v>
      </c>
      <c r="X630" s="248">
        <f t="shared" si="67"/>
        <v>3.8730000000000189</v>
      </c>
      <c r="Y630" s="248">
        <f t="shared" ca="1" si="63"/>
        <v>13.385727699892982</v>
      </c>
      <c r="Z630" s="248">
        <f t="shared" ca="1" si="68"/>
        <v>5.4128289443844944</v>
      </c>
      <c r="AA630" s="250">
        <f t="shared" ca="1" si="69"/>
        <v>541.28289443844949</v>
      </c>
    </row>
    <row r="631" spans="5:27" x14ac:dyDescent="0.3">
      <c r="E631" s="241"/>
      <c r="F631" s="241"/>
      <c r="T631" s="254">
        <v>619</v>
      </c>
      <c r="U631" s="248">
        <f t="shared" si="64"/>
        <v>-18.258500000000002</v>
      </c>
      <c r="V631" s="248">
        <f t="shared" si="65"/>
        <v>-96.608499999999992</v>
      </c>
      <c r="W631" s="248">
        <f t="shared" si="66"/>
        <v>118.74000000000001</v>
      </c>
      <c r="X631" s="248">
        <f t="shared" si="67"/>
        <v>3.8730000000000189</v>
      </c>
      <c r="Y631" s="248">
        <f t="shared" ca="1" si="63"/>
        <v>13.385727699892982</v>
      </c>
      <c r="Z631" s="248">
        <f t="shared" ca="1" si="68"/>
        <v>5.4128289443844944</v>
      </c>
      <c r="AA631" s="250">
        <f t="shared" ca="1" si="69"/>
        <v>541.28289443844949</v>
      </c>
    </row>
    <row r="632" spans="5:27" x14ac:dyDescent="0.3">
      <c r="E632" s="241"/>
      <c r="F632" s="241"/>
      <c r="T632" s="254">
        <v>620</v>
      </c>
      <c r="U632" s="248">
        <f t="shared" si="64"/>
        <v>-18.258500000000002</v>
      </c>
      <c r="V632" s="248">
        <f t="shared" si="65"/>
        <v>-95.608499999999992</v>
      </c>
      <c r="W632" s="248">
        <f t="shared" si="66"/>
        <v>117.74000000000001</v>
      </c>
      <c r="X632" s="248">
        <f t="shared" si="67"/>
        <v>3.8730000000000189</v>
      </c>
      <c r="Y632" s="248">
        <f t="shared" ca="1" si="63"/>
        <v>13.385727699892982</v>
      </c>
      <c r="Z632" s="248">
        <f t="shared" ca="1" si="68"/>
        <v>5.4128289443844944</v>
      </c>
      <c r="AA632" s="250">
        <f t="shared" ca="1" si="69"/>
        <v>541.28289443844949</v>
      </c>
    </row>
    <row r="633" spans="5:27" x14ac:dyDescent="0.3">
      <c r="E633" s="241"/>
      <c r="F633" s="241"/>
      <c r="T633" s="254">
        <v>621</v>
      </c>
      <c r="U633" s="248">
        <f t="shared" si="64"/>
        <v>-18.258500000000002</v>
      </c>
      <c r="V633" s="248">
        <f t="shared" si="65"/>
        <v>-94.608499999999992</v>
      </c>
      <c r="W633" s="248">
        <f t="shared" si="66"/>
        <v>116.74000000000001</v>
      </c>
      <c r="X633" s="248">
        <f t="shared" si="67"/>
        <v>3.8730000000000189</v>
      </c>
      <c r="Y633" s="248">
        <f t="shared" ca="1" si="63"/>
        <v>13.385727699892982</v>
      </c>
      <c r="Z633" s="248">
        <f t="shared" ca="1" si="68"/>
        <v>5.4128289443844944</v>
      </c>
      <c r="AA633" s="250">
        <f t="shared" ca="1" si="69"/>
        <v>541.28289443844949</v>
      </c>
    </row>
    <row r="634" spans="5:27" x14ac:dyDescent="0.3">
      <c r="E634" s="241"/>
      <c r="F634" s="241"/>
      <c r="T634" s="254">
        <v>622</v>
      </c>
      <c r="U634" s="248">
        <f t="shared" si="64"/>
        <v>-18.258500000000002</v>
      </c>
      <c r="V634" s="248">
        <f t="shared" si="65"/>
        <v>-93.608499999999992</v>
      </c>
      <c r="W634" s="248">
        <f t="shared" si="66"/>
        <v>115.74000000000001</v>
      </c>
      <c r="X634" s="248">
        <f t="shared" si="67"/>
        <v>3.8730000000000189</v>
      </c>
      <c r="Y634" s="248">
        <f t="shared" ca="1" si="63"/>
        <v>13.385727699892982</v>
      </c>
      <c r="Z634" s="248">
        <f t="shared" ca="1" si="68"/>
        <v>5.4128289443844944</v>
      </c>
      <c r="AA634" s="250">
        <f t="shared" ca="1" si="69"/>
        <v>541.28289443844949</v>
      </c>
    </row>
    <row r="635" spans="5:27" x14ac:dyDescent="0.3">
      <c r="E635" s="241"/>
      <c r="F635" s="241"/>
      <c r="T635" s="254">
        <v>623</v>
      </c>
      <c r="U635" s="248">
        <f t="shared" si="64"/>
        <v>-18.258500000000002</v>
      </c>
      <c r="V635" s="248">
        <f t="shared" si="65"/>
        <v>-92.608499999999992</v>
      </c>
      <c r="W635" s="248">
        <f t="shared" si="66"/>
        <v>114.74000000000001</v>
      </c>
      <c r="X635" s="248">
        <f t="shared" si="67"/>
        <v>3.8730000000000189</v>
      </c>
      <c r="Y635" s="248">
        <f t="shared" ca="1" si="63"/>
        <v>13.385727699892982</v>
      </c>
      <c r="Z635" s="248">
        <f t="shared" ca="1" si="68"/>
        <v>5.4128289443844944</v>
      </c>
      <c r="AA635" s="250">
        <f t="shared" ca="1" si="69"/>
        <v>541.28289443844949</v>
      </c>
    </row>
    <row r="636" spans="5:27" x14ac:dyDescent="0.3">
      <c r="E636" s="241"/>
      <c r="F636" s="241"/>
      <c r="T636" s="254">
        <v>624</v>
      </c>
      <c r="U636" s="248">
        <f t="shared" si="64"/>
        <v>-18.258500000000002</v>
      </c>
      <c r="V636" s="248">
        <f t="shared" si="65"/>
        <v>-91.608499999999992</v>
      </c>
      <c r="W636" s="248">
        <f t="shared" si="66"/>
        <v>113.74000000000001</v>
      </c>
      <c r="X636" s="248">
        <f t="shared" si="67"/>
        <v>3.8730000000000189</v>
      </c>
      <c r="Y636" s="248">
        <f t="shared" ca="1" si="63"/>
        <v>13.385727699892982</v>
      </c>
      <c r="Z636" s="248">
        <f t="shared" ca="1" si="68"/>
        <v>5.4128289443844944</v>
      </c>
      <c r="AA636" s="250">
        <f t="shared" ca="1" si="69"/>
        <v>541.28289443844949</v>
      </c>
    </row>
    <row r="637" spans="5:27" x14ac:dyDescent="0.3">
      <c r="E637" s="241"/>
      <c r="F637" s="241"/>
      <c r="T637" s="254">
        <v>625</v>
      </c>
      <c r="U637" s="248">
        <f t="shared" si="64"/>
        <v>-18.258500000000002</v>
      </c>
      <c r="V637" s="248">
        <f t="shared" si="65"/>
        <v>-90.608499999999992</v>
      </c>
      <c r="W637" s="248">
        <f t="shared" si="66"/>
        <v>112.74000000000001</v>
      </c>
      <c r="X637" s="248">
        <f t="shared" si="67"/>
        <v>3.8730000000000189</v>
      </c>
      <c r="Y637" s="248">
        <f t="shared" ca="1" si="63"/>
        <v>13.385727699892982</v>
      </c>
      <c r="Z637" s="248">
        <f t="shared" ca="1" si="68"/>
        <v>5.4128289443844944</v>
      </c>
      <c r="AA637" s="250">
        <f t="shared" ca="1" si="69"/>
        <v>541.28289443844949</v>
      </c>
    </row>
    <row r="638" spans="5:27" x14ac:dyDescent="0.3">
      <c r="E638" s="241"/>
      <c r="F638" s="241"/>
      <c r="T638" s="254">
        <v>626</v>
      </c>
      <c r="U638" s="248">
        <f t="shared" si="64"/>
        <v>-18.258500000000002</v>
      </c>
      <c r="V638" s="248">
        <f t="shared" si="65"/>
        <v>-89.608499999999992</v>
      </c>
      <c r="W638" s="248">
        <f t="shared" si="66"/>
        <v>111.74000000000001</v>
      </c>
      <c r="X638" s="248">
        <f t="shared" si="67"/>
        <v>3.8730000000000189</v>
      </c>
      <c r="Y638" s="248">
        <f t="shared" ca="1" si="63"/>
        <v>13.385727699892982</v>
      </c>
      <c r="Z638" s="248">
        <f t="shared" ca="1" si="68"/>
        <v>5.4128289443844944</v>
      </c>
      <c r="AA638" s="250">
        <f t="shared" ca="1" si="69"/>
        <v>541.28289443844949</v>
      </c>
    </row>
    <row r="639" spans="5:27" x14ac:dyDescent="0.3">
      <c r="E639" s="241"/>
      <c r="F639" s="241"/>
      <c r="T639" s="254">
        <v>627</v>
      </c>
      <c r="U639" s="248">
        <f t="shared" si="64"/>
        <v>-18.258500000000002</v>
      </c>
      <c r="V639" s="248">
        <f t="shared" si="65"/>
        <v>-88.608499999999992</v>
      </c>
      <c r="W639" s="248">
        <f t="shared" si="66"/>
        <v>110.74000000000001</v>
      </c>
      <c r="X639" s="248">
        <f t="shared" si="67"/>
        <v>3.8730000000000189</v>
      </c>
      <c r="Y639" s="248">
        <f t="shared" ca="1" si="63"/>
        <v>13.385727699892982</v>
      </c>
      <c r="Z639" s="248">
        <f t="shared" ca="1" si="68"/>
        <v>5.4128289443844944</v>
      </c>
      <c r="AA639" s="250">
        <f t="shared" ca="1" si="69"/>
        <v>541.28289443844949</v>
      </c>
    </row>
    <row r="640" spans="5:27" x14ac:dyDescent="0.3">
      <c r="E640" s="241"/>
      <c r="F640" s="241"/>
      <c r="T640" s="254">
        <v>628</v>
      </c>
      <c r="U640" s="248">
        <f t="shared" si="64"/>
        <v>-18.258500000000002</v>
      </c>
      <c r="V640" s="248">
        <f t="shared" si="65"/>
        <v>-87.608499999999992</v>
      </c>
      <c r="W640" s="248">
        <f t="shared" si="66"/>
        <v>109.74000000000001</v>
      </c>
      <c r="X640" s="248">
        <f t="shared" si="67"/>
        <v>3.8730000000000189</v>
      </c>
      <c r="Y640" s="248">
        <f t="shared" ca="1" si="63"/>
        <v>13.385727699892982</v>
      </c>
      <c r="Z640" s="248">
        <f t="shared" ca="1" si="68"/>
        <v>5.4128289443844944</v>
      </c>
      <c r="AA640" s="250">
        <f t="shared" ca="1" si="69"/>
        <v>541.28289443844949</v>
      </c>
    </row>
    <row r="641" spans="5:27" x14ac:dyDescent="0.3">
      <c r="E641" s="241"/>
      <c r="F641" s="241"/>
      <c r="T641" s="254">
        <v>629</v>
      </c>
      <c r="U641" s="248">
        <f t="shared" si="64"/>
        <v>-18.258500000000002</v>
      </c>
      <c r="V641" s="248">
        <f t="shared" si="65"/>
        <v>-86.608499999999992</v>
      </c>
      <c r="W641" s="248">
        <f t="shared" si="66"/>
        <v>108.74000000000001</v>
      </c>
      <c r="X641" s="248">
        <f t="shared" si="67"/>
        <v>3.8730000000000189</v>
      </c>
      <c r="Y641" s="248">
        <f t="shared" ca="1" si="63"/>
        <v>13.385727699892982</v>
      </c>
      <c r="Z641" s="248">
        <f t="shared" ca="1" si="68"/>
        <v>5.4128289443844944</v>
      </c>
      <c r="AA641" s="250">
        <f t="shared" ca="1" si="69"/>
        <v>541.28289443844949</v>
      </c>
    </row>
    <row r="642" spans="5:27" x14ac:dyDescent="0.3">
      <c r="E642" s="241"/>
      <c r="F642" s="241"/>
      <c r="T642" s="254">
        <v>630</v>
      </c>
      <c r="U642" s="248">
        <f t="shared" si="64"/>
        <v>-18.258500000000002</v>
      </c>
      <c r="V642" s="248">
        <f t="shared" si="65"/>
        <v>-85.608499999999992</v>
      </c>
      <c r="W642" s="248">
        <f t="shared" si="66"/>
        <v>107.74000000000001</v>
      </c>
      <c r="X642" s="248">
        <f t="shared" si="67"/>
        <v>3.8730000000000189</v>
      </c>
      <c r="Y642" s="248">
        <f t="shared" ca="1" si="63"/>
        <v>13.385727699892982</v>
      </c>
      <c r="Z642" s="248">
        <f t="shared" ca="1" si="68"/>
        <v>5.4128289443844944</v>
      </c>
      <c r="AA642" s="250">
        <f t="shared" ca="1" si="69"/>
        <v>541.28289443844949</v>
      </c>
    </row>
    <row r="643" spans="5:27" x14ac:dyDescent="0.3">
      <c r="E643" s="241"/>
      <c r="F643" s="241"/>
      <c r="T643" s="254">
        <v>631</v>
      </c>
      <c r="U643" s="248">
        <f t="shared" si="64"/>
        <v>-18.258500000000002</v>
      </c>
      <c r="V643" s="248">
        <f t="shared" si="65"/>
        <v>-84.608499999999992</v>
      </c>
      <c r="W643" s="248">
        <f t="shared" si="66"/>
        <v>106.74000000000001</v>
      </c>
      <c r="X643" s="248">
        <f t="shared" si="67"/>
        <v>3.8730000000000189</v>
      </c>
      <c r="Y643" s="248">
        <f t="shared" ca="1" si="63"/>
        <v>13.385727699892982</v>
      </c>
      <c r="Z643" s="248">
        <f t="shared" ca="1" si="68"/>
        <v>5.4128289443844944</v>
      </c>
      <c r="AA643" s="250">
        <f t="shared" ca="1" si="69"/>
        <v>541.28289443844949</v>
      </c>
    </row>
    <row r="644" spans="5:27" x14ac:dyDescent="0.3">
      <c r="E644" s="241"/>
      <c r="F644" s="241"/>
      <c r="T644" s="254">
        <v>632</v>
      </c>
      <c r="U644" s="248">
        <f t="shared" si="64"/>
        <v>-18.258500000000002</v>
      </c>
      <c r="V644" s="248">
        <f t="shared" si="65"/>
        <v>-83.608499999999992</v>
      </c>
      <c r="W644" s="248">
        <f t="shared" si="66"/>
        <v>105.74000000000001</v>
      </c>
      <c r="X644" s="248">
        <f t="shared" si="67"/>
        <v>3.8730000000000189</v>
      </c>
      <c r="Y644" s="248">
        <f t="shared" ca="1" si="63"/>
        <v>13.385727699892982</v>
      </c>
      <c r="Z644" s="248">
        <f t="shared" ca="1" si="68"/>
        <v>5.4128289443844944</v>
      </c>
      <c r="AA644" s="250">
        <f t="shared" ca="1" si="69"/>
        <v>541.28289443844949</v>
      </c>
    </row>
    <row r="645" spans="5:27" x14ac:dyDescent="0.3">
      <c r="E645" s="241"/>
      <c r="F645" s="241"/>
      <c r="T645" s="254">
        <v>633</v>
      </c>
      <c r="U645" s="248">
        <f t="shared" si="64"/>
        <v>-18.258500000000002</v>
      </c>
      <c r="V645" s="248">
        <f t="shared" si="65"/>
        <v>-82.608499999999992</v>
      </c>
      <c r="W645" s="248">
        <f t="shared" si="66"/>
        <v>104.74000000000001</v>
      </c>
      <c r="X645" s="248">
        <f t="shared" si="67"/>
        <v>3.8730000000000189</v>
      </c>
      <c r="Y645" s="248">
        <f t="shared" ca="1" si="63"/>
        <v>13.385727699892982</v>
      </c>
      <c r="Z645" s="248">
        <f t="shared" ca="1" si="68"/>
        <v>5.4128289443844944</v>
      </c>
      <c r="AA645" s="250">
        <f t="shared" ca="1" si="69"/>
        <v>541.28289443844949</v>
      </c>
    </row>
    <row r="646" spans="5:27" x14ac:dyDescent="0.3">
      <c r="E646" s="241"/>
      <c r="F646" s="241"/>
      <c r="T646" s="254">
        <v>634</v>
      </c>
      <c r="U646" s="248">
        <f t="shared" si="64"/>
        <v>-18.258500000000002</v>
      </c>
      <c r="V646" s="248">
        <f t="shared" si="65"/>
        <v>-81.608499999999992</v>
      </c>
      <c r="W646" s="248">
        <f t="shared" si="66"/>
        <v>103.74000000000001</v>
      </c>
      <c r="X646" s="248">
        <f t="shared" si="67"/>
        <v>3.8730000000000189</v>
      </c>
      <c r="Y646" s="248">
        <f t="shared" ca="1" si="63"/>
        <v>13.385727699892982</v>
      </c>
      <c r="Z646" s="248">
        <f t="shared" ca="1" si="68"/>
        <v>5.4128289443844944</v>
      </c>
      <c r="AA646" s="250">
        <f t="shared" ca="1" si="69"/>
        <v>541.28289443844949</v>
      </c>
    </row>
    <row r="647" spans="5:27" x14ac:dyDescent="0.3">
      <c r="E647" s="241"/>
      <c r="F647" s="241"/>
      <c r="T647" s="254">
        <v>635</v>
      </c>
      <c r="U647" s="248">
        <f t="shared" si="64"/>
        <v>-18.258500000000002</v>
      </c>
      <c r="V647" s="248">
        <f t="shared" si="65"/>
        <v>-80.608499999999992</v>
      </c>
      <c r="W647" s="248">
        <f t="shared" si="66"/>
        <v>102.74000000000001</v>
      </c>
      <c r="X647" s="248">
        <f t="shared" si="67"/>
        <v>3.8730000000000189</v>
      </c>
      <c r="Y647" s="248">
        <f t="shared" ca="1" si="63"/>
        <v>13.385727699892982</v>
      </c>
      <c r="Z647" s="248">
        <f t="shared" ca="1" si="68"/>
        <v>5.4128289443844944</v>
      </c>
      <c r="AA647" s="250">
        <f t="shared" ca="1" si="69"/>
        <v>541.28289443844949</v>
      </c>
    </row>
    <row r="648" spans="5:27" x14ac:dyDescent="0.3">
      <c r="E648" s="241"/>
      <c r="F648" s="241"/>
      <c r="T648" s="254">
        <v>636</v>
      </c>
      <c r="U648" s="248">
        <f t="shared" si="64"/>
        <v>-18.258500000000002</v>
      </c>
      <c r="V648" s="248">
        <f t="shared" si="65"/>
        <v>-79.608499999999992</v>
      </c>
      <c r="W648" s="248">
        <f t="shared" si="66"/>
        <v>101.74000000000001</v>
      </c>
      <c r="X648" s="248">
        <f t="shared" si="67"/>
        <v>3.8730000000000189</v>
      </c>
      <c r="Y648" s="248">
        <f t="shared" ca="1" si="63"/>
        <v>13.385727699892982</v>
      </c>
      <c r="Z648" s="248">
        <f t="shared" ca="1" si="68"/>
        <v>5.4128289443844944</v>
      </c>
      <c r="AA648" s="250">
        <f t="shared" ca="1" si="69"/>
        <v>541.28289443844949</v>
      </c>
    </row>
    <row r="649" spans="5:27" x14ac:dyDescent="0.3">
      <c r="E649" s="241"/>
      <c r="F649" s="241"/>
      <c r="T649" s="254">
        <v>637</v>
      </c>
      <c r="U649" s="248">
        <f t="shared" si="64"/>
        <v>-18.258500000000002</v>
      </c>
      <c r="V649" s="248">
        <f t="shared" si="65"/>
        <v>-78.608499999999992</v>
      </c>
      <c r="W649" s="248">
        <f t="shared" si="66"/>
        <v>100.74000000000001</v>
      </c>
      <c r="X649" s="248">
        <f t="shared" si="67"/>
        <v>3.8730000000000189</v>
      </c>
      <c r="Y649" s="248">
        <f t="shared" ca="1" si="63"/>
        <v>13.385727699892982</v>
      </c>
      <c r="Z649" s="248">
        <f t="shared" ca="1" si="68"/>
        <v>5.4128289443844944</v>
      </c>
      <c r="AA649" s="250">
        <f t="shared" ca="1" si="69"/>
        <v>541.28289443844949</v>
      </c>
    </row>
    <row r="650" spans="5:27" x14ac:dyDescent="0.3">
      <c r="E650" s="241"/>
      <c r="F650" s="241"/>
      <c r="T650" s="254">
        <v>638</v>
      </c>
      <c r="U650" s="248">
        <f t="shared" si="64"/>
        <v>-18.258500000000002</v>
      </c>
      <c r="V650" s="248">
        <f t="shared" si="65"/>
        <v>-77.608499999999992</v>
      </c>
      <c r="W650" s="248">
        <f t="shared" si="66"/>
        <v>99.740000000000009</v>
      </c>
      <c r="X650" s="248">
        <f t="shared" si="67"/>
        <v>3.8730000000000189</v>
      </c>
      <c r="Y650" s="248">
        <f t="shared" ca="1" si="63"/>
        <v>13.385727699892982</v>
      </c>
      <c r="Z650" s="248">
        <f t="shared" ca="1" si="68"/>
        <v>5.4128289443844944</v>
      </c>
      <c r="AA650" s="250">
        <f t="shared" ca="1" si="69"/>
        <v>541.28289443844949</v>
      </c>
    </row>
    <row r="651" spans="5:27" x14ac:dyDescent="0.3">
      <c r="E651" s="241"/>
      <c r="F651" s="241"/>
      <c r="T651" s="254">
        <v>639</v>
      </c>
      <c r="U651" s="248">
        <f t="shared" si="64"/>
        <v>-18.258500000000002</v>
      </c>
      <c r="V651" s="248">
        <f t="shared" si="65"/>
        <v>-76.608499999999992</v>
      </c>
      <c r="W651" s="248">
        <f t="shared" si="66"/>
        <v>98.740000000000009</v>
      </c>
      <c r="X651" s="248">
        <f t="shared" si="67"/>
        <v>3.8730000000000189</v>
      </c>
      <c r="Y651" s="248">
        <f t="shared" ca="1" si="63"/>
        <v>13.385727699892982</v>
      </c>
      <c r="Z651" s="248">
        <f t="shared" ca="1" si="68"/>
        <v>5.4128289443844944</v>
      </c>
      <c r="AA651" s="250">
        <f t="shared" ca="1" si="69"/>
        <v>541.28289443844949</v>
      </c>
    </row>
    <row r="652" spans="5:27" x14ac:dyDescent="0.3">
      <c r="E652" s="241"/>
      <c r="F652" s="241"/>
      <c r="T652" s="254">
        <v>640</v>
      </c>
      <c r="U652" s="248">
        <f t="shared" si="64"/>
        <v>-18.258500000000002</v>
      </c>
      <c r="V652" s="248">
        <f t="shared" si="65"/>
        <v>-75.608499999999992</v>
      </c>
      <c r="W652" s="248">
        <f t="shared" si="66"/>
        <v>97.740000000000009</v>
      </c>
      <c r="X652" s="248">
        <f t="shared" si="67"/>
        <v>3.8730000000000189</v>
      </c>
      <c r="Y652" s="248">
        <f t="shared" ref="Y652:Y715" ca="1" si="70">$Y$10*EXP($Y$7*$C$6)-$Y$10</f>
        <v>13.385727699892982</v>
      </c>
      <c r="Z652" s="248">
        <f t="shared" ca="1" si="68"/>
        <v>5.4128289443844944</v>
      </c>
      <c r="AA652" s="250">
        <f t="shared" ca="1" si="69"/>
        <v>541.28289443844949</v>
      </c>
    </row>
    <row r="653" spans="5:27" x14ac:dyDescent="0.3">
      <c r="E653" s="241"/>
      <c r="F653" s="241"/>
      <c r="T653" s="254">
        <v>641</v>
      </c>
      <c r="U653" s="248">
        <f t="shared" ref="U653:U716" si="71">MAX(0,T653-$U$9)-$U$10-$U$11/100</f>
        <v>-18.258500000000002</v>
      </c>
      <c r="V653" s="248">
        <f t="shared" ref="V653:V716" si="72">$V$10-MAX(0,$V$9-T653)-$V$11/100</f>
        <v>-74.608499999999992</v>
      </c>
      <c r="W653" s="248">
        <f t="shared" ref="W653:W716" si="73">$W$10-T653</f>
        <v>96.740000000000009</v>
      </c>
      <c r="X653" s="248">
        <f t="shared" ref="X653:X716" si="74">SUM(U653:W653)</f>
        <v>3.8730000000000189</v>
      </c>
      <c r="Y653" s="248">
        <f t="shared" ca="1" si="70"/>
        <v>13.385727699892982</v>
      </c>
      <c r="Z653" s="248">
        <f t="shared" ref="Z653:Z716" ca="1" si="75">EXP(-$E$3*$C$6)*SUM(X653:Y653)</f>
        <v>5.4128289443844944</v>
      </c>
      <c r="AA653" s="250">
        <f t="shared" ref="AA653:AA716" ca="1" si="76">Z653*100</f>
        <v>541.28289443844949</v>
      </c>
    </row>
    <row r="654" spans="5:27" x14ac:dyDescent="0.3">
      <c r="E654" s="241"/>
      <c r="F654" s="241"/>
      <c r="T654" s="254">
        <v>642</v>
      </c>
      <c r="U654" s="248">
        <f t="shared" si="71"/>
        <v>-18.258500000000002</v>
      </c>
      <c r="V654" s="248">
        <f t="shared" si="72"/>
        <v>-73.608499999999992</v>
      </c>
      <c r="W654" s="248">
        <f t="shared" si="73"/>
        <v>95.740000000000009</v>
      </c>
      <c r="X654" s="248">
        <f t="shared" si="74"/>
        <v>3.8730000000000189</v>
      </c>
      <c r="Y654" s="248">
        <f t="shared" ca="1" si="70"/>
        <v>13.385727699892982</v>
      </c>
      <c r="Z654" s="248">
        <f t="shared" ca="1" si="75"/>
        <v>5.4128289443844944</v>
      </c>
      <c r="AA654" s="250">
        <f t="shared" ca="1" si="76"/>
        <v>541.28289443844949</v>
      </c>
    </row>
    <row r="655" spans="5:27" x14ac:dyDescent="0.3">
      <c r="E655" s="241"/>
      <c r="F655" s="241"/>
      <c r="T655" s="254">
        <v>643</v>
      </c>
      <c r="U655" s="248">
        <f t="shared" si="71"/>
        <v>-18.258500000000002</v>
      </c>
      <c r="V655" s="248">
        <f t="shared" si="72"/>
        <v>-72.608499999999992</v>
      </c>
      <c r="W655" s="248">
        <f t="shared" si="73"/>
        <v>94.740000000000009</v>
      </c>
      <c r="X655" s="248">
        <f t="shared" si="74"/>
        <v>3.8730000000000189</v>
      </c>
      <c r="Y655" s="248">
        <f t="shared" ca="1" si="70"/>
        <v>13.385727699892982</v>
      </c>
      <c r="Z655" s="248">
        <f t="shared" ca="1" si="75"/>
        <v>5.4128289443844944</v>
      </c>
      <c r="AA655" s="250">
        <f t="shared" ca="1" si="76"/>
        <v>541.28289443844949</v>
      </c>
    </row>
    <row r="656" spans="5:27" x14ac:dyDescent="0.3">
      <c r="E656" s="241"/>
      <c r="F656" s="241"/>
      <c r="T656" s="254">
        <v>644</v>
      </c>
      <c r="U656" s="248">
        <f t="shared" si="71"/>
        <v>-18.258500000000002</v>
      </c>
      <c r="V656" s="248">
        <f t="shared" si="72"/>
        <v>-71.608499999999992</v>
      </c>
      <c r="W656" s="248">
        <f t="shared" si="73"/>
        <v>93.740000000000009</v>
      </c>
      <c r="X656" s="248">
        <f t="shared" si="74"/>
        <v>3.8730000000000189</v>
      </c>
      <c r="Y656" s="248">
        <f t="shared" ca="1" si="70"/>
        <v>13.385727699892982</v>
      </c>
      <c r="Z656" s="248">
        <f t="shared" ca="1" si="75"/>
        <v>5.4128289443844944</v>
      </c>
      <c r="AA656" s="250">
        <f t="shared" ca="1" si="76"/>
        <v>541.28289443844949</v>
      </c>
    </row>
    <row r="657" spans="5:27" x14ac:dyDescent="0.3">
      <c r="E657" s="241"/>
      <c r="F657" s="241"/>
      <c r="T657" s="254">
        <v>645</v>
      </c>
      <c r="U657" s="248">
        <f t="shared" si="71"/>
        <v>-18.258500000000002</v>
      </c>
      <c r="V657" s="248">
        <f t="shared" si="72"/>
        <v>-70.608499999999992</v>
      </c>
      <c r="W657" s="248">
        <f t="shared" si="73"/>
        <v>92.740000000000009</v>
      </c>
      <c r="X657" s="248">
        <f t="shared" si="74"/>
        <v>3.8730000000000189</v>
      </c>
      <c r="Y657" s="248">
        <f t="shared" ca="1" si="70"/>
        <v>13.385727699892982</v>
      </c>
      <c r="Z657" s="248">
        <f t="shared" ca="1" si="75"/>
        <v>5.4128289443844944</v>
      </c>
      <c r="AA657" s="250">
        <f t="shared" ca="1" si="76"/>
        <v>541.28289443844949</v>
      </c>
    </row>
    <row r="658" spans="5:27" x14ac:dyDescent="0.3">
      <c r="E658" s="241"/>
      <c r="F658" s="241"/>
      <c r="T658" s="254">
        <v>646</v>
      </c>
      <c r="U658" s="248">
        <f t="shared" si="71"/>
        <v>-18.258500000000002</v>
      </c>
      <c r="V658" s="248">
        <f t="shared" si="72"/>
        <v>-69.608499999999992</v>
      </c>
      <c r="W658" s="248">
        <f t="shared" si="73"/>
        <v>91.740000000000009</v>
      </c>
      <c r="X658" s="248">
        <f t="shared" si="74"/>
        <v>3.8730000000000189</v>
      </c>
      <c r="Y658" s="248">
        <f t="shared" ca="1" si="70"/>
        <v>13.385727699892982</v>
      </c>
      <c r="Z658" s="248">
        <f t="shared" ca="1" si="75"/>
        <v>5.4128289443844944</v>
      </c>
      <c r="AA658" s="250">
        <f t="shared" ca="1" si="76"/>
        <v>541.28289443844949</v>
      </c>
    </row>
    <row r="659" spans="5:27" x14ac:dyDescent="0.3">
      <c r="E659" s="241"/>
      <c r="F659" s="241"/>
      <c r="T659" s="254">
        <v>647</v>
      </c>
      <c r="U659" s="248">
        <f t="shared" si="71"/>
        <v>-18.258500000000002</v>
      </c>
      <c r="V659" s="248">
        <f t="shared" si="72"/>
        <v>-68.608499999999992</v>
      </c>
      <c r="W659" s="248">
        <f t="shared" si="73"/>
        <v>90.740000000000009</v>
      </c>
      <c r="X659" s="248">
        <f t="shared" si="74"/>
        <v>3.8730000000000189</v>
      </c>
      <c r="Y659" s="248">
        <f t="shared" ca="1" si="70"/>
        <v>13.385727699892982</v>
      </c>
      <c r="Z659" s="248">
        <f t="shared" ca="1" si="75"/>
        <v>5.4128289443844944</v>
      </c>
      <c r="AA659" s="250">
        <f t="shared" ca="1" si="76"/>
        <v>541.28289443844949</v>
      </c>
    </row>
    <row r="660" spans="5:27" x14ac:dyDescent="0.3">
      <c r="E660" s="241"/>
      <c r="F660" s="241"/>
      <c r="T660" s="254">
        <v>648</v>
      </c>
      <c r="U660" s="248">
        <f t="shared" si="71"/>
        <v>-18.258500000000002</v>
      </c>
      <c r="V660" s="248">
        <f t="shared" si="72"/>
        <v>-67.608499999999992</v>
      </c>
      <c r="W660" s="248">
        <f t="shared" si="73"/>
        <v>89.740000000000009</v>
      </c>
      <c r="X660" s="248">
        <f t="shared" si="74"/>
        <v>3.8730000000000189</v>
      </c>
      <c r="Y660" s="248">
        <f t="shared" ca="1" si="70"/>
        <v>13.385727699892982</v>
      </c>
      <c r="Z660" s="248">
        <f t="shared" ca="1" si="75"/>
        <v>5.4128289443844944</v>
      </c>
      <c r="AA660" s="250">
        <f t="shared" ca="1" si="76"/>
        <v>541.28289443844949</v>
      </c>
    </row>
    <row r="661" spans="5:27" x14ac:dyDescent="0.3">
      <c r="E661" s="241"/>
      <c r="F661" s="241"/>
      <c r="T661" s="254">
        <v>649</v>
      </c>
      <c r="U661" s="248">
        <f t="shared" si="71"/>
        <v>-18.258500000000002</v>
      </c>
      <c r="V661" s="248">
        <f t="shared" si="72"/>
        <v>-66.608499999999992</v>
      </c>
      <c r="W661" s="248">
        <f t="shared" si="73"/>
        <v>88.740000000000009</v>
      </c>
      <c r="X661" s="248">
        <f t="shared" si="74"/>
        <v>3.8730000000000189</v>
      </c>
      <c r="Y661" s="248">
        <f t="shared" ca="1" si="70"/>
        <v>13.385727699892982</v>
      </c>
      <c r="Z661" s="248">
        <f t="shared" ca="1" si="75"/>
        <v>5.4128289443844944</v>
      </c>
      <c r="AA661" s="250">
        <f t="shared" ca="1" si="76"/>
        <v>541.28289443844949</v>
      </c>
    </row>
    <row r="662" spans="5:27" x14ac:dyDescent="0.3">
      <c r="E662" s="241"/>
      <c r="F662" s="241"/>
      <c r="T662" s="254">
        <v>650</v>
      </c>
      <c r="U662" s="248">
        <f t="shared" si="71"/>
        <v>-18.258500000000002</v>
      </c>
      <c r="V662" s="248">
        <f t="shared" si="72"/>
        <v>-65.608499999999992</v>
      </c>
      <c r="W662" s="248">
        <f t="shared" si="73"/>
        <v>87.740000000000009</v>
      </c>
      <c r="X662" s="248">
        <f t="shared" si="74"/>
        <v>3.8730000000000189</v>
      </c>
      <c r="Y662" s="248">
        <f t="shared" ca="1" si="70"/>
        <v>13.385727699892982</v>
      </c>
      <c r="Z662" s="248">
        <f t="shared" ca="1" si="75"/>
        <v>5.4128289443844944</v>
      </c>
      <c r="AA662" s="250">
        <f t="shared" ca="1" si="76"/>
        <v>541.28289443844949</v>
      </c>
    </row>
    <row r="663" spans="5:27" x14ac:dyDescent="0.3">
      <c r="E663" s="241"/>
      <c r="F663" s="241"/>
      <c r="T663" s="254">
        <v>651</v>
      </c>
      <c r="U663" s="248">
        <f t="shared" si="71"/>
        <v>-18.258500000000002</v>
      </c>
      <c r="V663" s="248">
        <f t="shared" si="72"/>
        <v>-64.608499999999992</v>
      </c>
      <c r="W663" s="248">
        <f t="shared" si="73"/>
        <v>86.740000000000009</v>
      </c>
      <c r="X663" s="248">
        <f t="shared" si="74"/>
        <v>3.8730000000000189</v>
      </c>
      <c r="Y663" s="248">
        <f t="shared" ca="1" si="70"/>
        <v>13.385727699892982</v>
      </c>
      <c r="Z663" s="248">
        <f t="shared" ca="1" si="75"/>
        <v>5.4128289443844944</v>
      </c>
      <c r="AA663" s="250">
        <f t="shared" ca="1" si="76"/>
        <v>541.28289443844949</v>
      </c>
    </row>
    <row r="664" spans="5:27" x14ac:dyDescent="0.3">
      <c r="E664" s="241"/>
      <c r="F664" s="241"/>
      <c r="T664" s="254">
        <v>652</v>
      </c>
      <c r="U664" s="248">
        <f t="shared" si="71"/>
        <v>-18.258500000000002</v>
      </c>
      <c r="V664" s="248">
        <f t="shared" si="72"/>
        <v>-63.608499999999999</v>
      </c>
      <c r="W664" s="248">
        <f t="shared" si="73"/>
        <v>85.740000000000009</v>
      </c>
      <c r="X664" s="248">
        <f t="shared" si="74"/>
        <v>3.8730000000000047</v>
      </c>
      <c r="Y664" s="248">
        <f t="shared" ca="1" si="70"/>
        <v>13.385727699892982</v>
      </c>
      <c r="Z664" s="248">
        <f t="shared" ca="1" si="75"/>
        <v>5.4128289443844801</v>
      </c>
      <c r="AA664" s="250">
        <f t="shared" ca="1" si="76"/>
        <v>541.28289443844801</v>
      </c>
    </row>
    <row r="665" spans="5:27" x14ac:dyDescent="0.3">
      <c r="E665" s="241"/>
      <c r="F665" s="241"/>
      <c r="T665" s="254">
        <v>653</v>
      </c>
      <c r="U665" s="248">
        <f t="shared" si="71"/>
        <v>-18.258500000000002</v>
      </c>
      <c r="V665" s="248">
        <f t="shared" si="72"/>
        <v>-62.608499999999999</v>
      </c>
      <c r="W665" s="248">
        <f t="shared" si="73"/>
        <v>84.740000000000009</v>
      </c>
      <c r="X665" s="248">
        <f t="shared" si="74"/>
        <v>3.8730000000000047</v>
      </c>
      <c r="Y665" s="248">
        <f t="shared" ca="1" si="70"/>
        <v>13.385727699892982</v>
      </c>
      <c r="Z665" s="248">
        <f t="shared" ca="1" si="75"/>
        <v>5.4128289443844801</v>
      </c>
      <c r="AA665" s="250">
        <f t="shared" ca="1" si="76"/>
        <v>541.28289443844801</v>
      </c>
    </row>
    <row r="666" spans="5:27" x14ac:dyDescent="0.3">
      <c r="E666" s="241"/>
      <c r="F666" s="241"/>
      <c r="T666" s="254">
        <v>654</v>
      </c>
      <c r="U666" s="248">
        <f t="shared" si="71"/>
        <v>-18.258500000000002</v>
      </c>
      <c r="V666" s="248">
        <f t="shared" si="72"/>
        <v>-61.608499999999999</v>
      </c>
      <c r="W666" s="248">
        <f t="shared" si="73"/>
        <v>83.740000000000009</v>
      </c>
      <c r="X666" s="248">
        <f t="shared" si="74"/>
        <v>3.8730000000000047</v>
      </c>
      <c r="Y666" s="248">
        <f t="shared" ca="1" si="70"/>
        <v>13.385727699892982</v>
      </c>
      <c r="Z666" s="248">
        <f t="shared" ca="1" si="75"/>
        <v>5.4128289443844801</v>
      </c>
      <c r="AA666" s="250">
        <f t="shared" ca="1" si="76"/>
        <v>541.28289443844801</v>
      </c>
    </row>
    <row r="667" spans="5:27" x14ac:dyDescent="0.3">
      <c r="E667" s="241"/>
      <c r="F667" s="241"/>
      <c r="T667" s="254">
        <v>655</v>
      </c>
      <c r="U667" s="248">
        <f t="shared" si="71"/>
        <v>-18.258500000000002</v>
      </c>
      <c r="V667" s="248">
        <f t="shared" si="72"/>
        <v>-60.608499999999999</v>
      </c>
      <c r="W667" s="248">
        <f t="shared" si="73"/>
        <v>82.740000000000009</v>
      </c>
      <c r="X667" s="248">
        <f t="shared" si="74"/>
        <v>3.8730000000000047</v>
      </c>
      <c r="Y667" s="248">
        <f t="shared" ca="1" si="70"/>
        <v>13.385727699892982</v>
      </c>
      <c r="Z667" s="248">
        <f t="shared" ca="1" si="75"/>
        <v>5.4128289443844801</v>
      </c>
      <c r="AA667" s="250">
        <f t="shared" ca="1" si="76"/>
        <v>541.28289443844801</v>
      </c>
    </row>
    <row r="668" spans="5:27" x14ac:dyDescent="0.3">
      <c r="E668" s="241"/>
      <c r="F668" s="241"/>
      <c r="T668" s="254">
        <v>656</v>
      </c>
      <c r="U668" s="248">
        <f t="shared" si="71"/>
        <v>-18.258500000000002</v>
      </c>
      <c r="V668" s="248">
        <f t="shared" si="72"/>
        <v>-59.608499999999999</v>
      </c>
      <c r="W668" s="248">
        <f t="shared" si="73"/>
        <v>81.740000000000009</v>
      </c>
      <c r="X668" s="248">
        <f t="shared" si="74"/>
        <v>3.8730000000000047</v>
      </c>
      <c r="Y668" s="248">
        <f t="shared" ca="1" si="70"/>
        <v>13.385727699892982</v>
      </c>
      <c r="Z668" s="248">
        <f t="shared" ca="1" si="75"/>
        <v>5.4128289443844801</v>
      </c>
      <c r="AA668" s="250">
        <f t="shared" ca="1" si="76"/>
        <v>541.28289443844801</v>
      </c>
    </row>
    <row r="669" spans="5:27" x14ac:dyDescent="0.3">
      <c r="E669" s="241"/>
      <c r="F669" s="241"/>
      <c r="T669" s="254">
        <v>657</v>
      </c>
      <c r="U669" s="248">
        <f t="shared" si="71"/>
        <v>-18.258500000000002</v>
      </c>
      <c r="V669" s="248">
        <f t="shared" si="72"/>
        <v>-58.608499999999999</v>
      </c>
      <c r="W669" s="248">
        <f t="shared" si="73"/>
        <v>80.740000000000009</v>
      </c>
      <c r="X669" s="248">
        <f t="shared" si="74"/>
        <v>3.8730000000000047</v>
      </c>
      <c r="Y669" s="248">
        <f t="shared" ca="1" si="70"/>
        <v>13.385727699892982</v>
      </c>
      <c r="Z669" s="248">
        <f t="shared" ca="1" si="75"/>
        <v>5.4128289443844801</v>
      </c>
      <c r="AA669" s="250">
        <f t="shared" ca="1" si="76"/>
        <v>541.28289443844801</v>
      </c>
    </row>
    <row r="670" spans="5:27" x14ac:dyDescent="0.3">
      <c r="E670" s="241"/>
      <c r="F670" s="241"/>
      <c r="T670" s="254">
        <v>658</v>
      </c>
      <c r="U670" s="248">
        <f t="shared" si="71"/>
        <v>-18.258500000000002</v>
      </c>
      <c r="V670" s="248">
        <f t="shared" si="72"/>
        <v>-57.608499999999999</v>
      </c>
      <c r="W670" s="248">
        <f t="shared" si="73"/>
        <v>79.740000000000009</v>
      </c>
      <c r="X670" s="248">
        <f t="shared" si="74"/>
        <v>3.8730000000000047</v>
      </c>
      <c r="Y670" s="248">
        <f t="shared" ca="1" si="70"/>
        <v>13.385727699892982</v>
      </c>
      <c r="Z670" s="248">
        <f t="shared" ca="1" si="75"/>
        <v>5.4128289443844801</v>
      </c>
      <c r="AA670" s="250">
        <f t="shared" ca="1" si="76"/>
        <v>541.28289443844801</v>
      </c>
    </row>
    <row r="671" spans="5:27" x14ac:dyDescent="0.3">
      <c r="E671" s="241"/>
      <c r="F671" s="241"/>
      <c r="T671" s="254">
        <v>659</v>
      </c>
      <c r="U671" s="248">
        <f t="shared" si="71"/>
        <v>-18.258500000000002</v>
      </c>
      <c r="V671" s="248">
        <f t="shared" si="72"/>
        <v>-56.608499999999999</v>
      </c>
      <c r="W671" s="248">
        <f t="shared" si="73"/>
        <v>78.740000000000009</v>
      </c>
      <c r="X671" s="248">
        <f t="shared" si="74"/>
        <v>3.8730000000000047</v>
      </c>
      <c r="Y671" s="248">
        <f t="shared" ca="1" si="70"/>
        <v>13.385727699892982</v>
      </c>
      <c r="Z671" s="248">
        <f t="shared" ca="1" si="75"/>
        <v>5.4128289443844801</v>
      </c>
      <c r="AA671" s="250">
        <f t="shared" ca="1" si="76"/>
        <v>541.28289443844801</v>
      </c>
    </row>
    <row r="672" spans="5:27" x14ac:dyDescent="0.3">
      <c r="E672" s="241"/>
      <c r="F672" s="241"/>
      <c r="T672" s="254">
        <v>660</v>
      </c>
      <c r="U672" s="248">
        <f t="shared" si="71"/>
        <v>-18.258500000000002</v>
      </c>
      <c r="V672" s="248">
        <f t="shared" si="72"/>
        <v>-55.608499999999999</v>
      </c>
      <c r="W672" s="248">
        <f t="shared" si="73"/>
        <v>77.740000000000009</v>
      </c>
      <c r="X672" s="248">
        <f t="shared" si="74"/>
        <v>3.8730000000000047</v>
      </c>
      <c r="Y672" s="248">
        <f t="shared" ca="1" si="70"/>
        <v>13.385727699892982</v>
      </c>
      <c r="Z672" s="248">
        <f t="shared" ca="1" si="75"/>
        <v>5.4128289443844801</v>
      </c>
      <c r="AA672" s="250">
        <f t="shared" ca="1" si="76"/>
        <v>541.28289443844801</v>
      </c>
    </row>
    <row r="673" spans="5:27" x14ac:dyDescent="0.3">
      <c r="E673" s="241"/>
      <c r="F673" s="241"/>
      <c r="T673" s="254">
        <v>661</v>
      </c>
      <c r="U673" s="248">
        <f t="shared" si="71"/>
        <v>-18.258500000000002</v>
      </c>
      <c r="V673" s="248">
        <f t="shared" si="72"/>
        <v>-54.608499999999999</v>
      </c>
      <c r="W673" s="248">
        <f t="shared" si="73"/>
        <v>76.740000000000009</v>
      </c>
      <c r="X673" s="248">
        <f t="shared" si="74"/>
        <v>3.8730000000000047</v>
      </c>
      <c r="Y673" s="248">
        <f t="shared" ca="1" si="70"/>
        <v>13.385727699892982</v>
      </c>
      <c r="Z673" s="248">
        <f t="shared" ca="1" si="75"/>
        <v>5.4128289443844801</v>
      </c>
      <c r="AA673" s="250">
        <f t="shared" ca="1" si="76"/>
        <v>541.28289443844801</v>
      </c>
    </row>
    <row r="674" spans="5:27" x14ac:dyDescent="0.3">
      <c r="E674" s="241"/>
      <c r="F674" s="241"/>
      <c r="T674" s="254">
        <v>662</v>
      </c>
      <c r="U674" s="248">
        <f t="shared" si="71"/>
        <v>-18.258500000000002</v>
      </c>
      <c r="V674" s="248">
        <f t="shared" si="72"/>
        <v>-53.608499999999999</v>
      </c>
      <c r="W674" s="248">
        <f t="shared" si="73"/>
        <v>75.740000000000009</v>
      </c>
      <c r="X674" s="248">
        <f t="shared" si="74"/>
        <v>3.8730000000000047</v>
      </c>
      <c r="Y674" s="248">
        <f t="shared" ca="1" si="70"/>
        <v>13.385727699892982</v>
      </c>
      <c r="Z674" s="248">
        <f t="shared" ca="1" si="75"/>
        <v>5.4128289443844801</v>
      </c>
      <c r="AA674" s="250">
        <f t="shared" ca="1" si="76"/>
        <v>541.28289443844801</v>
      </c>
    </row>
    <row r="675" spans="5:27" x14ac:dyDescent="0.3">
      <c r="E675" s="241"/>
      <c r="F675" s="241"/>
      <c r="T675" s="254">
        <v>663</v>
      </c>
      <c r="U675" s="248">
        <f t="shared" si="71"/>
        <v>-18.258500000000002</v>
      </c>
      <c r="V675" s="248">
        <f t="shared" si="72"/>
        <v>-52.608499999999999</v>
      </c>
      <c r="W675" s="248">
        <f t="shared" si="73"/>
        <v>74.740000000000009</v>
      </c>
      <c r="X675" s="248">
        <f t="shared" si="74"/>
        <v>3.8730000000000047</v>
      </c>
      <c r="Y675" s="248">
        <f t="shared" ca="1" si="70"/>
        <v>13.385727699892982</v>
      </c>
      <c r="Z675" s="248">
        <f t="shared" ca="1" si="75"/>
        <v>5.4128289443844801</v>
      </c>
      <c r="AA675" s="250">
        <f t="shared" ca="1" si="76"/>
        <v>541.28289443844801</v>
      </c>
    </row>
    <row r="676" spans="5:27" x14ac:dyDescent="0.3">
      <c r="E676" s="241"/>
      <c r="F676" s="241"/>
      <c r="T676" s="254">
        <v>664</v>
      </c>
      <c r="U676" s="248">
        <f t="shared" si="71"/>
        <v>-18.258500000000002</v>
      </c>
      <c r="V676" s="248">
        <f t="shared" si="72"/>
        <v>-51.608499999999999</v>
      </c>
      <c r="W676" s="248">
        <f t="shared" si="73"/>
        <v>73.740000000000009</v>
      </c>
      <c r="X676" s="248">
        <f t="shared" si="74"/>
        <v>3.8730000000000047</v>
      </c>
      <c r="Y676" s="248">
        <f t="shared" ca="1" si="70"/>
        <v>13.385727699892982</v>
      </c>
      <c r="Z676" s="248">
        <f t="shared" ca="1" si="75"/>
        <v>5.4128289443844801</v>
      </c>
      <c r="AA676" s="250">
        <f t="shared" ca="1" si="76"/>
        <v>541.28289443844801</v>
      </c>
    </row>
    <row r="677" spans="5:27" x14ac:dyDescent="0.3">
      <c r="E677" s="241"/>
      <c r="F677" s="241"/>
      <c r="T677" s="254">
        <v>665</v>
      </c>
      <c r="U677" s="248">
        <f t="shared" si="71"/>
        <v>-18.258500000000002</v>
      </c>
      <c r="V677" s="248">
        <f t="shared" si="72"/>
        <v>-50.608499999999999</v>
      </c>
      <c r="W677" s="248">
        <f t="shared" si="73"/>
        <v>72.740000000000009</v>
      </c>
      <c r="X677" s="248">
        <f t="shared" si="74"/>
        <v>3.8730000000000047</v>
      </c>
      <c r="Y677" s="248">
        <f t="shared" ca="1" si="70"/>
        <v>13.385727699892982</v>
      </c>
      <c r="Z677" s="248">
        <f t="shared" ca="1" si="75"/>
        <v>5.4128289443844801</v>
      </c>
      <c r="AA677" s="250">
        <f t="shared" ca="1" si="76"/>
        <v>541.28289443844801</v>
      </c>
    </row>
    <row r="678" spans="5:27" x14ac:dyDescent="0.3">
      <c r="E678" s="241"/>
      <c r="F678" s="241"/>
      <c r="T678" s="254">
        <v>666</v>
      </c>
      <c r="U678" s="248">
        <f t="shared" si="71"/>
        <v>-18.258500000000002</v>
      </c>
      <c r="V678" s="248">
        <f t="shared" si="72"/>
        <v>-49.608499999999999</v>
      </c>
      <c r="W678" s="248">
        <f t="shared" si="73"/>
        <v>71.740000000000009</v>
      </c>
      <c r="X678" s="248">
        <f t="shared" si="74"/>
        <v>3.8730000000000047</v>
      </c>
      <c r="Y678" s="248">
        <f t="shared" ca="1" si="70"/>
        <v>13.385727699892982</v>
      </c>
      <c r="Z678" s="248">
        <f t="shared" ca="1" si="75"/>
        <v>5.4128289443844801</v>
      </c>
      <c r="AA678" s="250">
        <f t="shared" ca="1" si="76"/>
        <v>541.28289443844801</v>
      </c>
    </row>
    <row r="679" spans="5:27" x14ac:dyDescent="0.3">
      <c r="E679" s="241"/>
      <c r="F679" s="241"/>
      <c r="T679" s="254">
        <v>667</v>
      </c>
      <c r="U679" s="248">
        <f t="shared" si="71"/>
        <v>-18.258500000000002</v>
      </c>
      <c r="V679" s="248">
        <f t="shared" si="72"/>
        <v>-48.608499999999999</v>
      </c>
      <c r="W679" s="248">
        <f t="shared" si="73"/>
        <v>70.740000000000009</v>
      </c>
      <c r="X679" s="248">
        <f t="shared" si="74"/>
        <v>3.8730000000000047</v>
      </c>
      <c r="Y679" s="248">
        <f t="shared" ca="1" si="70"/>
        <v>13.385727699892982</v>
      </c>
      <c r="Z679" s="248">
        <f t="shared" ca="1" si="75"/>
        <v>5.4128289443844801</v>
      </c>
      <c r="AA679" s="250">
        <f t="shared" ca="1" si="76"/>
        <v>541.28289443844801</v>
      </c>
    </row>
    <row r="680" spans="5:27" x14ac:dyDescent="0.3">
      <c r="E680" s="241"/>
      <c r="F680" s="241"/>
      <c r="T680" s="254">
        <v>668</v>
      </c>
      <c r="U680" s="248">
        <f t="shared" si="71"/>
        <v>-18.258500000000002</v>
      </c>
      <c r="V680" s="248">
        <f t="shared" si="72"/>
        <v>-47.608499999999999</v>
      </c>
      <c r="W680" s="248">
        <f t="shared" si="73"/>
        <v>69.740000000000009</v>
      </c>
      <c r="X680" s="248">
        <f t="shared" si="74"/>
        <v>3.8730000000000047</v>
      </c>
      <c r="Y680" s="248">
        <f t="shared" ca="1" si="70"/>
        <v>13.385727699892982</v>
      </c>
      <c r="Z680" s="248">
        <f t="shared" ca="1" si="75"/>
        <v>5.4128289443844801</v>
      </c>
      <c r="AA680" s="250">
        <f t="shared" ca="1" si="76"/>
        <v>541.28289443844801</v>
      </c>
    </row>
    <row r="681" spans="5:27" x14ac:dyDescent="0.3">
      <c r="E681" s="241"/>
      <c r="F681" s="241"/>
      <c r="T681" s="254">
        <v>669</v>
      </c>
      <c r="U681" s="248">
        <f t="shared" si="71"/>
        <v>-18.258500000000002</v>
      </c>
      <c r="V681" s="248">
        <f t="shared" si="72"/>
        <v>-46.608499999999999</v>
      </c>
      <c r="W681" s="248">
        <f t="shared" si="73"/>
        <v>68.740000000000009</v>
      </c>
      <c r="X681" s="248">
        <f t="shared" si="74"/>
        <v>3.8730000000000047</v>
      </c>
      <c r="Y681" s="248">
        <f t="shared" ca="1" si="70"/>
        <v>13.385727699892982</v>
      </c>
      <c r="Z681" s="248">
        <f t="shared" ca="1" si="75"/>
        <v>5.4128289443844801</v>
      </c>
      <c r="AA681" s="250">
        <f t="shared" ca="1" si="76"/>
        <v>541.28289443844801</v>
      </c>
    </row>
    <row r="682" spans="5:27" x14ac:dyDescent="0.3">
      <c r="E682" s="241"/>
      <c r="F682" s="241"/>
      <c r="T682" s="254">
        <v>670</v>
      </c>
      <c r="U682" s="248">
        <f t="shared" si="71"/>
        <v>-18.258500000000002</v>
      </c>
      <c r="V682" s="248">
        <f t="shared" si="72"/>
        <v>-45.608499999999999</v>
      </c>
      <c r="W682" s="248">
        <f t="shared" si="73"/>
        <v>67.740000000000009</v>
      </c>
      <c r="X682" s="248">
        <f t="shared" si="74"/>
        <v>3.8730000000000047</v>
      </c>
      <c r="Y682" s="248">
        <f t="shared" ca="1" si="70"/>
        <v>13.385727699892982</v>
      </c>
      <c r="Z682" s="248">
        <f t="shared" ca="1" si="75"/>
        <v>5.4128289443844801</v>
      </c>
      <c r="AA682" s="250">
        <f t="shared" ca="1" si="76"/>
        <v>541.28289443844801</v>
      </c>
    </row>
    <row r="683" spans="5:27" x14ac:dyDescent="0.3">
      <c r="E683" s="241"/>
      <c r="F683" s="241"/>
      <c r="T683" s="254">
        <v>671</v>
      </c>
      <c r="U683" s="248">
        <f t="shared" si="71"/>
        <v>-18.258500000000002</v>
      </c>
      <c r="V683" s="248">
        <f t="shared" si="72"/>
        <v>-44.608499999999999</v>
      </c>
      <c r="W683" s="248">
        <f t="shared" si="73"/>
        <v>66.740000000000009</v>
      </c>
      <c r="X683" s="248">
        <f t="shared" si="74"/>
        <v>3.8730000000000047</v>
      </c>
      <c r="Y683" s="248">
        <f t="shared" ca="1" si="70"/>
        <v>13.385727699892982</v>
      </c>
      <c r="Z683" s="248">
        <f t="shared" ca="1" si="75"/>
        <v>5.4128289443844801</v>
      </c>
      <c r="AA683" s="250">
        <f t="shared" ca="1" si="76"/>
        <v>541.28289443844801</v>
      </c>
    </row>
    <row r="684" spans="5:27" x14ac:dyDescent="0.3">
      <c r="E684" s="241"/>
      <c r="F684" s="241"/>
      <c r="T684" s="254">
        <v>672</v>
      </c>
      <c r="U684" s="248">
        <f t="shared" si="71"/>
        <v>-18.258500000000002</v>
      </c>
      <c r="V684" s="248">
        <f t="shared" si="72"/>
        <v>-43.608499999999999</v>
      </c>
      <c r="W684" s="248">
        <f t="shared" si="73"/>
        <v>65.740000000000009</v>
      </c>
      <c r="X684" s="248">
        <f t="shared" si="74"/>
        <v>3.8730000000000047</v>
      </c>
      <c r="Y684" s="248">
        <f t="shared" ca="1" si="70"/>
        <v>13.385727699892982</v>
      </c>
      <c r="Z684" s="248">
        <f t="shared" ca="1" si="75"/>
        <v>5.4128289443844801</v>
      </c>
      <c r="AA684" s="250">
        <f t="shared" ca="1" si="76"/>
        <v>541.28289443844801</v>
      </c>
    </row>
    <row r="685" spans="5:27" x14ac:dyDescent="0.3">
      <c r="E685" s="241"/>
      <c r="F685" s="241"/>
      <c r="T685" s="254">
        <v>673</v>
      </c>
      <c r="U685" s="248">
        <f t="shared" si="71"/>
        <v>-18.258500000000002</v>
      </c>
      <c r="V685" s="248">
        <f t="shared" si="72"/>
        <v>-42.608499999999999</v>
      </c>
      <c r="W685" s="248">
        <f t="shared" si="73"/>
        <v>64.740000000000009</v>
      </c>
      <c r="X685" s="248">
        <f t="shared" si="74"/>
        <v>3.8730000000000047</v>
      </c>
      <c r="Y685" s="248">
        <f t="shared" ca="1" si="70"/>
        <v>13.385727699892982</v>
      </c>
      <c r="Z685" s="248">
        <f t="shared" ca="1" si="75"/>
        <v>5.4128289443844801</v>
      </c>
      <c r="AA685" s="250">
        <f t="shared" ca="1" si="76"/>
        <v>541.28289443844801</v>
      </c>
    </row>
    <row r="686" spans="5:27" x14ac:dyDescent="0.3">
      <c r="E686" s="241"/>
      <c r="F686" s="241"/>
      <c r="T686" s="254">
        <v>674</v>
      </c>
      <c r="U686" s="248">
        <f t="shared" si="71"/>
        <v>-18.258500000000002</v>
      </c>
      <c r="V686" s="248">
        <f t="shared" si="72"/>
        <v>-41.608499999999999</v>
      </c>
      <c r="W686" s="248">
        <f t="shared" si="73"/>
        <v>63.740000000000009</v>
      </c>
      <c r="X686" s="248">
        <f t="shared" si="74"/>
        <v>3.8730000000000047</v>
      </c>
      <c r="Y686" s="248">
        <f t="shared" ca="1" si="70"/>
        <v>13.385727699892982</v>
      </c>
      <c r="Z686" s="248">
        <f t="shared" ca="1" si="75"/>
        <v>5.4128289443844801</v>
      </c>
      <c r="AA686" s="250">
        <f t="shared" ca="1" si="76"/>
        <v>541.28289443844801</v>
      </c>
    </row>
    <row r="687" spans="5:27" x14ac:dyDescent="0.3">
      <c r="E687" s="241"/>
      <c r="F687" s="241"/>
      <c r="T687" s="254">
        <v>675</v>
      </c>
      <c r="U687" s="248">
        <f t="shared" si="71"/>
        <v>-18.258500000000002</v>
      </c>
      <c r="V687" s="248">
        <f t="shared" si="72"/>
        <v>-40.608499999999999</v>
      </c>
      <c r="W687" s="248">
        <f t="shared" si="73"/>
        <v>62.740000000000009</v>
      </c>
      <c r="X687" s="248">
        <f t="shared" si="74"/>
        <v>3.8730000000000047</v>
      </c>
      <c r="Y687" s="248">
        <f t="shared" ca="1" si="70"/>
        <v>13.385727699892982</v>
      </c>
      <c r="Z687" s="248">
        <f t="shared" ca="1" si="75"/>
        <v>5.4128289443844801</v>
      </c>
      <c r="AA687" s="250">
        <f t="shared" ca="1" si="76"/>
        <v>541.28289443844801</v>
      </c>
    </row>
    <row r="688" spans="5:27" x14ac:dyDescent="0.3">
      <c r="E688" s="241"/>
      <c r="F688" s="241"/>
      <c r="T688" s="254">
        <v>676</v>
      </c>
      <c r="U688" s="248">
        <f t="shared" si="71"/>
        <v>-18.258500000000002</v>
      </c>
      <c r="V688" s="248">
        <f t="shared" si="72"/>
        <v>-39.608499999999999</v>
      </c>
      <c r="W688" s="248">
        <f t="shared" si="73"/>
        <v>61.740000000000009</v>
      </c>
      <c r="X688" s="248">
        <f t="shared" si="74"/>
        <v>3.8730000000000047</v>
      </c>
      <c r="Y688" s="248">
        <f t="shared" ca="1" si="70"/>
        <v>13.385727699892982</v>
      </c>
      <c r="Z688" s="248">
        <f t="shared" ca="1" si="75"/>
        <v>5.4128289443844801</v>
      </c>
      <c r="AA688" s="250">
        <f t="shared" ca="1" si="76"/>
        <v>541.28289443844801</v>
      </c>
    </row>
    <row r="689" spans="5:27" x14ac:dyDescent="0.3">
      <c r="E689" s="241"/>
      <c r="F689" s="241"/>
      <c r="T689" s="254">
        <v>677</v>
      </c>
      <c r="U689" s="248">
        <f t="shared" si="71"/>
        <v>-18.258500000000002</v>
      </c>
      <c r="V689" s="248">
        <f t="shared" si="72"/>
        <v>-38.608499999999999</v>
      </c>
      <c r="W689" s="248">
        <f t="shared" si="73"/>
        <v>60.740000000000009</v>
      </c>
      <c r="X689" s="248">
        <f t="shared" si="74"/>
        <v>3.8730000000000047</v>
      </c>
      <c r="Y689" s="248">
        <f t="shared" ca="1" si="70"/>
        <v>13.385727699892982</v>
      </c>
      <c r="Z689" s="248">
        <f t="shared" ca="1" si="75"/>
        <v>5.4128289443844801</v>
      </c>
      <c r="AA689" s="250">
        <f t="shared" ca="1" si="76"/>
        <v>541.28289443844801</v>
      </c>
    </row>
    <row r="690" spans="5:27" x14ac:dyDescent="0.3">
      <c r="E690" s="241"/>
      <c r="F690" s="241"/>
      <c r="T690" s="254">
        <v>678</v>
      </c>
      <c r="U690" s="248">
        <f t="shared" si="71"/>
        <v>-18.258500000000002</v>
      </c>
      <c r="V690" s="248">
        <f t="shared" si="72"/>
        <v>-37.608499999999999</v>
      </c>
      <c r="W690" s="248">
        <f t="shared" si="73"/>
        <v>59.740000000000009</v>
      </c>
      <c r="X690" s="248">
        <f t="shared" si="74"/>
        <v>3.8730000000000047</v>
      </c>
      <c r="Y690" s="248">
        <f t="shared" ca="1" si="70"/>
        <v>13.385727699892982</v>
      </c>
      <c r="Z690" s="248">
        <f t="shared" ca="1" si="75"/>
        <v>5.4128289443844801</v>
      </c>
      <c r="AA690" s="250">
        <f t="shared" ca="1" si="76"/>
        <v>541.28289443844801</v>
      </c>
    </row>
    <row r="691" spans="5:27" x14ac:dyDescent="0.3">
      <c r="E691" s="241"/>
      <c r="F691" s="241"/>
      <c r="T691" s="254">
        <v>679</v>
      </c>
      <c r="U691" s="248">
        <f t="shared" si="71"/>
        <v>-18.258500000000002</v>
      </c>
      <c r="V691" s="248">
        <f t="shared" si="72"/>
        <v>-36.608499999999999</v>
      </c>
      <c r="W691" s="248">
        <f t="shared" si="73"/>
        <v>58.740000000000009</v>
      </c>
      <c r="X691" s="248">
        <f t="shared" si="74"/>
        <v>3.8730000000000047</v>
      </c>
      <c r="Y691" s="248">
        <f t="shared" ca="1" si="70"/>
        <v>13.385727699892982</v>
      </c>
      <c r="Z691" s="248">
        <f t="shared" ca="1" si="75"/>
        <v>5.4128289443844801</v>
      </c>
      <c r="AA691" s="250">
        <f t="shared" ca="1" si="76"/>
        <v>541.28289443844801</v>
      </c>
    </row>
    <row r="692" spans="5:27" x14ac:dyDescent="0.3">
      <c r="E692" s="241"/>
      <c r="F692" s="241"/>
      <c r="T692" s="254">
        <v>680</v>
      </c>
      <c r="U692" s="248">
        <f t="shared" si="71"/>
        <v>-18.258500000000002</v>
      </c>
      <c r="V692" s="248">
        <f t="shared" si="72"/>
        <v>-35.608499999999999</v>
      </c>
      <c r="W692" s="248">
        <f t="shared" si="73"/>
        <v>57.740000000000009</v>
      </c>
      <c r="X692" s="248">
        <f t="shared" si="74"/>
        <v>3.8730000000000047</v>
      </c>
      <c r="Y692" s="248">
        <f t="shared" ca="1" si="70"/>
        <v>13.385727699892982</v>
      </c>
      <c r="Z692" s="248">
        <f t="shared" ca="1" si="75"/>
        <v>5.4128289443844801</v>
      </c>
      <c r="AA692" s="250">
        <f t="shared" ca="1" si="76"/>
        <v>541.28289443844801</v>
      </c>
    </row>
    <row r="693" spans="5:27" x14ac:dyDescent="0.3">
      <c r="E693" s="241"/>
      <c r="F693" s="241"/>
      <c r="T693" s="254">
        <v>681</v>
      </c>
      <c r="U693" s="248">
        <f t="shared" si="71"/>
        <v>-18.258500000000002</v>
      </c>
      <c r="V693" s="248">
        <f t="shared" si="72"/>
        <v>-34.608499999999999</v>
      </c>
      <c r="W693" s="248">
        <f t="shared" si="73"/>
        <v>56.740000000000009</v>
      </c>
      <c r="X693" s="248">
        <f t="shared" si="74"/>
        <v>3.8730000000000047</v>
      </c>
      <c r="Y693" s="248">
        <f t="shared" ca="1" si="70"/>
        <v>13.385727699892982</v>
      </c>
      <c r="Z693" s="248">
        <f t="shared" ca="1" si="75"/>
        <v>5.4128289443844801</v>
      </c>
      <c r="AA693" s="250">
        <f t="shared" ca="1" si="76"/>
        <v>541.28289443844801</v>
      </c>
    </row>
    <row r="694" spans="5:27" x14ac:dyDescent="0.3">
      <c r="E694" s="241"/>
      <c r="F694" s="241"/>
      <c r="T694" s="254">
        <v>682</v>
      </c>
      <c r="U694" s="248">
        <f t="shared" si="71"/>
        <v>-18.258500000000002</v>
      </c>
      <c r="V694" s="248">
        <f t="shared" si="72"/>
        <v>-33.608499999999999</v>
      </c>
      <c r="W694" s="248">
        <f t="shared" si="73"/>
        <v>55.740000000000009</v>
      </c>
      <c r="X694" s="248">
        <f t="shared" si="74"/>
        <v>3.8730000000000047</v>
      </c>
      <c r="Y694" s="248">
        <f t="shared" ca="1" si="70"/>
        <v>13.385727699892982</v>
      </c>
      <c r="Z694" s="248">
        <f t="shared" ca="1" si="75"/>
        <v>5.4128289443844801</v>
      </c>
      <c r="AA694" s="250">
        <f t="shared" ca="1" si="76"/>
        <v>541.28289443844801</v>
      </c>
    </row>
    <row r="695" spans="5:27" x14ac:dyDescent="0.3">
      <c r="E695" s="241"/>
      <c r="F695" s="241"/>
      <c r="T695" s="254">
        <v>683</v>
      </c>
      <c r="U695" s="248">
        <f t="shared" si="71"/>
        <v>-18.258500000000002</v>
      </c>
      <c r="V695" s="248">
        <f t="shared" si="72"/>
        <v>-32.608499999999999</v>
      </c>
      <c r="W695" s="248">
        <f t="shared" si="73"/>
        <v>54.740000000000009</v>
      </c>
      <c r="X695" s="248">
        <f t="shared" si="74"/>
        <v>3.8730000000000047</v>
      </c>
      <c r="Y695" s="248">
        <f t="shared" ca="1" si="70"/>
        <v>13.385727699892982</v>
      </c>
      <c r="Z695" s="248">
        <f t="shared" ca="1" si="75"/>
        <v>5.4128289443844801</v>
      </c>
      <c r="AA695" s="250">
        <f t="shared" ca="1" si="76"/>
        <v>541.28289443844801</v>
      </c>
    </row>
    <row r="696" spans="5:27" x14ac:dyDescent="0.3">
      <c r="E696" s="241"/>
      <c r="F696" s="241"/>
      <c r="T696" s="254">
        <v>684</v>
      </c>
      <c r="U696" s="248">
        <f t="shared" si="71"/>
        <v>-18.258500000000002</v>
      </c>
      <c r="V696" s="248">
        <f t="shared" si="72"/>
        <v>-31.608500000000003</v>
      </c>
      <c r="W696" s="248">
        <f t="shared" si="73"/>
        <v>53.740000000000009</v>
      </c>
      <c r="X696" s="248">
        <f t="shared" si="74"/>
        <v>3.8730000000000047</v>
      </c>
      <c r="Y696" s="248">
        <f t="shared" ca="1" si="70"/>
        <v>13.385727699892982</v>
      </c>
      <c r="Z696" s="248">
        <f t="shared" ca="1" si="75"/>
        <v>5.4128289443844801</v>
      </c>
      <c r="AA696" s="250">
        <f t="shared" ca="1" si="76"/>
        <v>541.28289443844801</v>
      </c>
    </row>
    <row r="697" spans="5:27" x14ac:dyDescent="0.3">
      <c r="E697" s="241"/>
      <c r="F697" s="241"/>
      <c r="T697" s="254">
        <v>685</v>
      </c>
      <c r="U697" s="248">
        <f t="shared" si="71"/>
        <v>-18.258500000000002</v>
      </c>
      <c r="V697" s="248">
        <f t="shared" si="72"/>
        <v>-30.608500000000003</v>
      </c>
      <c r="W697" s="248">
        <f t="shared" si="73"/>
        <v>52.740000000000009</v>
      </c>
      <c r="X697" s="248">
        <f t="shared" si="74"/>
        <v>3.8730000000000047</v>
      </c>
      <c r="Y697" s="248">
        <f t="shared" ca="1" si="70"/>
        <v>13.385727699892982</v>
      </c>
      <c r="Z697" s="248">
        <f t="shared" ca="1" si="75"/>
        <v>5.4128289443844801</v>
      </c>
      <c r="AA697" s="250">
        <f t="shared" ca="1" si="76"/>
        <v>541.28289443844801</v>
      </c>
    </row>
    <row r="698" spans="5:27" x14ac:dyDescent="0.3">
      <c r="E698" s="241"/>
      <c r="F698" s="241"/>
      <c r="T698" s="254">
        <v>686</v>
      </c>
      <c r="U698" s="248">
        <f t="shared" si="71"/>
        <v>-18.258500000000002</v>
      </c>
      <c r="V698" s="248">
        <f t="shared" si="72"/>
        <v>-29.608500000000003</v>
      </c>
      <c r="W698" s="248">
        <f t="shared" si="73"/>
        <v>51.740000000000009</v>
      </c>
      <c r="X698" s="248">
        <f t="shared" si="74"/>
        <v>3.8730000000000047</v>
      </c>
      <c r="Y698" s="248">
        <f t="shared" ca="1" si="70"/>
        <v>13.385727699892982</v>
      </c>
      <c r="Z698" s="248">
        <f t="shared" ca="1" si="75"/>
        <v>5.4128289443844801</v>
      </c>
      <c r="AA698" s="250">
        <f t="shared" ca="1" si="76"/>
        <v>541.28289443844801</v>
      </c>
    </row>
    <row r="699" spans="5:27" x14ac:dyDescent="0.3">
      <c r="E699" s="241"/>
      <c r="F699" s="241"/>
      <c r="T699" s="254">
        <v>687</v>
      </c>
      <c r="U699" s="248">
        <f t="shared" si="71"/>
        <v>-18.258500000000002</v>
      </c>
      <c r="V699" s="248">
        <f t="shared" si="72"/>
        <v>-28.608500000000003</v>
      </c>
      <c r="W699" s="248">
        <f t="shared" si="73"/>
        <v>50.740000000000009</v>
      </c>
      <c r="X699" s="248">
        <f t="shared" si="74"/>
        <v>3.8730000000000047</v>
      </c>
      <c r="Y699" s="248">
        <f t="shared" ca="1" si="70"/>
        <v>13.385727699892982</v>
      </c>
      <c r="Z699" s="248">
        <f t="shared" ca="1" si="75"/>
        <v>5.4128289443844801</v>
      </c>
      <c r="AA699" s="250">
        <f t="shared" ca="1" si="76"/>
        <v>541.28289443844801</v>
      </c>
    </row>
    <row r="700" spans="5:27" x14ac:dyDescent="0.3">
      <c r="E700" s="241"/>
      <c r="F700" s="241"/>
      <c r="T700" s="254">
        <v>688</v>
      </c>
      <c r="U700" s="248">
        <f t="shared" si="71"/>
        <v>-18.258500000000002</v>
      </c>
      <c r="V700" s="248">
        <f t="shared" si="72"/>
        <v>-27.608500000000003</v>
      </c>
      <c r="W700" s="248">
        <f t="shared" si="73"/>
        <v>49.740000000000009</v>
      </c>
      <c r="X700" s="248">
        <f t="shared" si="74"/>
        <v>3.8730000000000047</v>
      </c>
      <c r="Y700" s="248">
        <f t="shared" ca="1" si="70"/>
        <v>13.385727699892982</v>
      </c>
      <c r="Z700" s="248">
        <f t="shared" ca="1" si="75"/>
        <v>5.4128289443844801</v>
      </c>
      <c r="AA700" s="250">
        <f t="shared" ca="1" si="76"/>
        <v>541.28289443844801</v>
      </c>
    </row>
    <row r="701" spans="5:27" x14ac:dyDescent="0.3">
      <c r="E701" s="241"/>
      <c r="F701" s="241"/>
      <c r="T701" s="254">
        <v>689</v>
      </c>
      <c r="U701" s="248">
        <f t="shared" si="71"/>
        <v>-18.258500000000002</v>
      </c>
      <c r="V701" s="248">
        <f t="shared" si="72"/>
        <v>-26.608500000000003</v>
      </c>
      <c r="W701" s="248">
        <f t="shared" si="73"/>
        <v>48.740000000000009</v>
      </c>
      <c r="X701" s="248">
        <f t="shared" si="74"/>
        <v>3.8730000000000047</v>
      </c>
      <c r="Y701" s="248">
        <f t="shared" ca="1" si="70"/>
        <v>13.385727699892982</v>
      </c>
      <c r="Z701" s="248">
        <f t="shared" ca="1" si="75"/>
        <v>5.4128289443844801</v>
      </c>
      <c r="AA701" s="250">
        <f t="shared" ca="1" si="76"/>
        <v>541.28289443844801</v>
      </c>
    </row>
    <row r="702" spans="5:27" x14ac:dyDescent="0.3">
      <c r="E702" s="241"/>
      <c r="F702" s="241"/>
      <c r="T702" s="254">
        <v>690</v>
      </c>
      <c r="U702" s="248">
        <f t="shared" si="71"/>
        <v>-18.258500000000002</v>
      </c>
      <c r="V702" s="248">
        <f t="shared" si="72"/>
        <v>-25.608500000000003</v>
      </c>
      <c r="W702" s="248">
        <f t="shared" si="73"/>
        <v>47.740000000000009</v>
      </c>
      <c r="X702" s="248">
        <f t="shared" si="74"/>
        <v>3.8730000000000047</v>
      </c>
      <c r="Y702" s="248">
        <f t="shared" ca="1" si="70"/>
        <v>13.385727699892982</v>
      </c>
      <c r="Z702" s="248">
        <f t="shared" ca="1" si="75"/>
        <v>5.4128289443844801</v>
      </c>
      <c r="AA702" s="250">
        <f t="shared" ca="1" si="76"/>
        <v>541.28289443844801</v>
      </c>
    </row>
    <row r="703" spans="5:27" x14ac:dyDescent="0.3">
      <c r="E703" s="241"/>
      <c r="F703" s="241"/>
      <c r="T703" s="254">
        <v>691</v>
      </c>
      <c r="U703" s="248">
        <f t="shared" si="71"/>
        <v>-18.258500000000002</v>
      </c>
      <c r="V703" s="248">
        <f t="shared" si="72"/>
        <v>-24.608500000000003</v>
      </c>
      <c r="W703" s="248">
        <f t="shared" si="73"/>
        <v>46.740000000000009</v>
      </c>
      <c r="X703" s="248">
        <f t="shared" si="74"/>
        <v>3.8730000000000047</v>
      </c>
      <c r="Y703" s="248">
        <f t="shared" ca="1" si="70"/>
        <v>13.385727699892982</v>
      </c>
      <c r="Z703" s="248">
        <f t="shared" ca="1" si="75"/>
        <v>5.4128289443844801</v>
      </c>
      <c r="AA703" s="250">
        <f t="shared" ca="1" si="76"/>
        <v>541.28289443844801</v>
      </c>
    </row>
    <row r="704" spans="5:27" x14ac:dyDescent="0.3">
      <c r="E704" s="241"/>
      <c r="F704" s="241"/>
      <c r="T704" s="254">
        <v>692</v>
      </c>
      <c r="U704" s="248">
        <f t="shared" si="71"/>
        <v>-18.258500000000002</v>
      </c>
      <c r="V704" s="248">
        <f t="shared" si="72"/>
        <v>-23.608500000000003</v>
      </c>
      <c r="W704" s="248">
        <f t="shared" si="73"/>
        <v>45.740000000000009</v>
      </c>
      <c r="X704" s="248">
        <f t="shared" si="74"/>
        <v>3.8730000000000047</v>
      </c>
      <c r="Y704" s="248">
        <f t="shared" ca="1" si="70"/>
        <v>13.385727699892982</v>
      </c>
      <c r="Z704" s="248">
        <f t="shared" ca="1" si="75"/>
        <v>5.4128289443844801</v>
      </c>
      <c r="AA704" s="250">
        <f t="shared" ca="1" si="76"/>
        <v>541.28289443844801</v>
      </c>
    </row>
    <row r="705" spans="5:27" x14ac:dyDescent="0.3">
      <c r="E705" s="241"/>
      <c r="F705" s="241"/>
      <c r="T705" s="254">
        <v>693</v>
      </c>
      <c r="U705" s="248">
        <f t="shared" si="71"/>
        <v>-18.258500000000002</v>
      </c>
      <c r="V705" s="248">
        <f t="shared" si="72"/>
        <v>-22.608500000000003</v>
      </c>
      <c r="W705" s="248">
        <f t="shared" si="73"/>
        <v>44.740000000000009</v>
      </c>
      <c r="X705" s="248">
        <f t="shared" si="74"/>
        <v>3.8730000000000047</v>
      </c>
      <c r="Y705" s="248">
        <f t="shared" ca="1" si="70"/>
        <v>13.385727699892982</v>
      </c>
      <c r="Z705" s="248">
        <f t="shared" ca="1" si="75"/>
        <v>5.4128289443844801</v>
      </c>
      <c r="AA705" s="250">
        <f t="shared" ca="1" si="76"/>
        <v>541.28289443844801</v>
      </c>
    </row>
    <row r="706" spans="5:27" x14ac:dyDescent="0.3">
      <c r="E706" s="241"/>
      <c r="F706" s="241"/>
      <c r="T706" s="254">
        <v>694</v>
      </c>
      <c r="U706" s="248">
        <f t="shared" si="71"/>
        <v>-18.258500000000002</v>
      </c>
      <c r="V706" s="248">
        <f t="shared" si="72"/>
        <v>-21.608500000000003</v>
      </c>
      <c r="W706" s="248">
        <f t="shared" si="73"/>
        <v>43.740000000000009</v>
      </c>
      <c r="X706" s="248">
        <f t="shared" si="74"/>
        <v>3.8730000000000047</v>
      </c>
      <c r="Y706" s="248">
        <f t="shared" ca="1" si="70"/>
        <v>13.385727699892982</v>
      </c>
      <c r="Z706" s="248">
        <f t="shared" ca="1" si="75"/>
        <v>5.4128289443844801</v>
      </c>
      <c r="AA706" s="250">
        <f t="shared" ca="1" si="76"/>
        <v>541.28289443844801</v>
      </c>
    </row>
    <row r="707" spans="5:27" x14ac:dyDescent="0.3">
      <c r="E707" s="241"/>
      <c r="F707" s="241"/>
      <c r="T707" s="254">
        <v>695</v>
      </c>
      <c r="U707" s="248">
        <f t="shared" si="71"/>
        <v>-18.258500000000002</v>
      </c>
      <c r="V707" s="248">
        <f t="shared" si="72"/>
        <v>-20.608500000000003</v>
      </c>
      <c r="W707" s="248">
        <f t="shared" si="73"/>
        <v>42.740000000000009</v>
      </c>
      <c r="X707" s="248">
        <f t="shared" si="74"/>
        <v>3.8730000000000047</v>
      </c>
      <c r="Y707" s="248">
        <f t="shared" ca="1" si="70"/>
        <v>13.385727699892982</v>
      </c>
      <c r="Z707" s="248">
        <f t="shared" ca="1" si="75"/>
        <v>5.4128289443844801</v>
      </c>
      <c r="AA707" s="250">
        <f t="shared" ca="1" si="76"/>
        <v>541.28289443844801</v>
      </c>
    </row>
    <row r="708" spans="5:27" x14ac:dyDescent="0.3">
      <c r="E708" s="241"/>
      <c r="F708" s="241"/>
      <c r="T708" s="254">
        <v>696</v>
      </c>
      <c r="U708" s="248">
        <f t="shared" si="71"/>
        <v>-18.258500000000002</v>
      </c>
      <c r="V708" s="248">
        <f t="shared" si="72"/>
        <v>-19.608500000000003</v>
      </c>
      <c r="W708" s="248">
        <f t="shared" si="73"/>
        <v>41.740000000000009</v>
      </c>
      <c r="X708" s="248">
        <f t="shared" si="74"/>
        <v>3.8730000000000047</v>
      </c>
      <c r="Y708" s="248">
        <f t="shared" ca="1" si="70"/>
        <v>13.385727699892982</v>
      </c>
      <c r="Z708" s="248">
        <f t="shared" ca="1" si="75"/>
        <v>5.4128289443844801</v>
      </c>
      <c r="AA708" s="250">
        <f t="shared" ca="1" si="76"/>
        <v>541.28289443844801</v>
      </c>
    </row>
    <row r="709" spans="5:27" x14ac:dyDescent="0.3">
      <c r="E709" s="241"/>
      <c r="F709" s="241"/>
      <c r="T709" s="254">
        <v>697</v>
      </c>
      <c r="U709" s="248">
        <f t="shared" si="71"/>
        <v>-18.258500000000002</v>
      </c>
      <c r="V709" s="248">
        <f t="shared" si="72"/>
        <v>-18.608500000000003</v>
      </c>
      <c r="W709" s="248">
        <f t="shared" si="73"/>
        <v>40.740000000000009</v>
      </c>
      <c r="X709" s="248">
        <f t="shared" si="74"/>
        <v>3.8730000000000047</v>
      </c>
      <c r="Y709" s="248">
        <f t="shared" ca="1" si="70"/>
        <v>13.385727699892982</v>
      </c>
      <c r="Z709" s="248">
        <f t="shared" ca="1" si="75"/>
        <v>5.4128289443844801</v>
      </c>
      <c r="AA709" s="250">
        <f t="shared" ca="1" si="76"/>
        <v>541.28289443844801</v>
      </c>
    </row>
    <row r="710" spans="5:27" x14ac:dyDescent="0.3">
      <c r="E710" s="241"/>
      <c r="F710" s="241"/>
      <c r="T710" s="254">
        <v>698</v>
      </c>
      <c r="U710" s="248">
        <f t="shared" si="71"/>
        <v>-18.258500000000002</v>
      </c>
      <c r="V710" s="248">
        <f t="shared" si="72"/>
        <v>-17.608500000000003</v>
      </c>
      <c r="W710" s="248">
        <f t="shared" si="73"/>
        <v>39.740000000000009</v>
      </c>
      <c r="X710" s="248">
        <f t="shared" si="74"/>
        <v>3.8730000000000047</v>
      </c>
      <c r="Y710" s="248">
        <f t="shared" ca="1" si="70"/>
        <v>13.385727699892982</v>
      </c>
      <c r="Z710" s="248">
        <f t="shared" ca="1" si="75"/>
        <v>5.4128289443844801</v>
      </c>
      <c r="AA710" s="250">
        <f t="shared" ca="1" si="76"/>
        <v>541.28289443844801</v>
      </c>
    </row>
    <row r="711" spans="5:27" x14ac:dyDescent="0.3">
      <c r="E711" s="241"/>
      <c r="F711" s="241"/>
      <c r="T711" s="254">
        <v>699</v>
      </c>
      <c r="U711" s="248">
        <f t="shared" si="71"/>
        <v>-18.258500000000002</v>
      </c>
      <c r="V711" s="248">
        <f t="shared" si="72"/>
        <v>-16.608500000000003</v>
      </c>
      <c r="W711" s="248">
        <f t="shared" si="73"/>
        <v>38.740000000000009</v>
      </c>
      <c r="X711" s="248">
        <f t="shared" si="74"/>
        <v>3.8730000000000047</v>
      </c>
      <c r="Y711" s="248">
        <f t="shared" ca="1" si="70"/>
        <v>13.385727699892982</v>
      </c>
      <c r="Z711" s="248">
        <f t="shared" ca="1" si="75"/>
        <v>5.4128289443844801</v>
      </c>
      <c r="AA711" s="250">
        <f t="shared" ca="1" si="76"/>
        <v>541.28289443844801</v>
      </c>
    </row>
    <row r="712" spans="5:27" x14ac:dyDescent="0.3">
      <c r="E712" s="241"/>
      <c r="F712" s="241"/>
      <c r="T712" s="254">
        <v>700</v>
      </c>
      <c r="U712" s="248">
        <f t="shared" si="71"/>
        <v>-18.258500000000002</v>
      </c>
      <c r="V712" s="248">
        <f t="shared" si="72"/>
        <v>-15.608500000000001</v>
      </c>
      <c r="W712" s="248">
        <f t="shared" si="73"/>
        <v>37.740000000000009</v>
      </c>
      <c r="X712" s="248">
        <f t="shared" si="74"/>
        <v>3.8730000000000047</v>
      </c>
      <c r="Y712" s="248">
        <f t="shared" ca="1" si="70"/>
        <v>13.385727699892982</v>
      </c>
      <c r="Z712" s="248">
        <f t="shared" ca="1" si="75"/>
        <v>5.4128289443844801</v>
      </c>
      <c r="AA712" s="250">
        <f t="shared" ca="1" si="76"/>
        <v>541.28289443844801</v>
      </c>
    </row>
    <row r="713" spans="5:27" x14ac:dyDescent="0.3">
      <c r="E713" s="241"/>
      <c r="F713" s="241"/>
      <c r="T713" s="254">
        <v>701</v>
      </c>
      <c r="U713" s="248">
        <f t="shared" si="71"/>
        <v>-18.258500000000002</v>
      </c>
      <c r="V713" s="248">
        <f t="shared" si="72"/>
        <v>-14.608500000000001</v>
      </c>
      <c r="W713" s="248">
        <f t="shared" si="73"/>
        <v>36.740000000000009</v>
      </c>
      <c r="X713" s="248">
        <f t="shared" si="74"/>
        <v>3.8730000000000047</v>
      </c>
      <c r="Y713" s="248">
        <f t="shared" ca="1" si="70"/>
        <v>13.385727699892982</v>
      </c>
      <c r="Z713" s="248">
        <f t="shared" ca="1" si="75"/>
        <v>5.4128289443844801</v>
      </c>
      <c r="AA713" s="250">
        <f t="shared" ca="1" si="76"/>
        <v>541.28289443844801</v>
      </c>
    </row>
    <row r="714" spans="5:27" x14ac:dyDescent="0.3">
      <c r="E714" s="241"/>
      <c r="F714" s="241"/>
      <c r="T714" s="254">
        <v>702</v>
      </c>
      <c r="U714" s="248">
        <f t="shared" si="71"/>
        <v>-18.258500000000002</v>
      </c>
      <c r="V714" s="248">
        <f t="shared" si="72"/>
        <v>-13.608500000000001</v>
      </c>
      <c r="W714" s="248">
        <f t="shared" si="73"/>
        <v>35.740000000000009</v>
      </c>
      <c r="X714" s="248">
        <f t="shared" si="74"/>
        <v>3.8730000000000047</v>
      </c>
      <c r="Y714" s="248">
        <f t="shared" ca="1" si="70"/>
        <v>13.385727699892982</v>
      </c>
      <c r="Z714" s="248">
        <f t="shared" ca="1" si="75"/>
        <v>5.4128289443844801</v>
      </c>
      <c r="AA714" s="250">
        <f t="shared" ca="1" si="76"/>
        <v>541.28289443844801</v>
      </c>
    </row>
    <row r="715" spans="5:27" x14ac:dyDescent="0.3">
      <c r="E715" s="241"/>
      <c r="F715" s="241"/>
      <c r="T715" s="254">
        <v>703</v>
      </c>
      <c r="U715" s="248">
        <f t="shared" si="71"/>
        <v>-18.258500000000002</v>
      </c>
      <c r="V715" s="248">
        <f t="shared" si="72"/>
        <v>-12.608500000000001</v>
      </c>
      <c r="W715" s="248">
        <f t="shared" si="73"/>
        <v>34.740000000000009</v>
      </c>
      <c r="X715" s="248">
        <f t="shared" si="74"/>
        <v>3.8730000000000047</v>
      </c>
      <c r="Y715" s="248">
        <f t="shared" ca="1" si="70"/>
        <v>13.385727699892982</v>
      </c>
      <c r="Z715" s="248">
        <f t="shared" ca="1" si="75"/>
        <v>5.4128289443844801</v>
      </c>
      <c r="AA715" s="250">
        <f t="shared" ca="1" si="76"/>
        <v>541.28289443844801</v>
      </c>
    </row>
    <row r="716" spans="5:27" x14ac:dyDescent="0.3">
      <c r="E716" s="241"/>
      <c r="F716" s="241"/>
      <c r="T716" s="254">
        <v>704</v>
      </c>
      <c r="U716" s="248">
        <f t="shared" si="71"/>
        <v>-18.258500000000002</v>
      </c>
      <c r="V716" s="248">
        <f t="shared" si="72"/>
        <v>-11.608500000000001</v>
      </c>
      <c r="W716" s="248">
        <f t="shared" si="73"/>
        <v>33.740000000000009</v>
      </c>
      <c r="X716" s="248">
        <f t="shared" si="74"/>
        <v>3.8730000000000047</v>
      </c>
      <c r="Y716" s="248">
        <f t="shared" ref="Y716:Y779" ca="1" si="77">$Y$10*EXP($Y$7*$C$6)-$Y$10</f>
        <v>13.385727699892982</v>
      </c>
      <c r="Z716" s="248">
        <f t="shared" ca="1" si="75"/>
        <v>5.4128289443844801</v>
      </c>
      <c r="AA716" s="250">
        <f t="shared" ca="1" si="76"/>
        <v>541.28289443844801</v>
      </c>
    </row>
    <row r="717" spans="5:27" x14ac:dyDescent="0.3">
      <c r="E717" s="241"/>
      <c r="F717" s="241"/>
      <c r="T717" s="254">
        <v>705</v>
      </c>
      <c r="U717" s="248">
        <f t="shared" ref="U717:U780" si="78">MAX(0,T717-$U$9)-$U$10-$U$11/100</f>
        <v>-18.258500000000002</v>
      </c>
      <c r="V717" s="248">
        <f t="shared" ref="V717:V780" si="79">$V$10-MAX(0,$V$9-T717)-$V$11/100</f>
        <v>-10.608500000000001</v>
      </c>
      <c r="W717" s="248">
        <f t="shared" ref="W717:W780" si="80">$W$10-T717</f>
        <v>32.740000000000009</v>
      </c>
      <c r="X717" s="248">
        <f t="shared" ref="X717:X780" si="81">SUM(U717:W717)</f>
        <v>3.8730000000000047</v>
      </c>
      <c r="Y717" s="248">
        <f t="shared" ca="1" si="77"/>
        <v>13.385727699892982</v>
      </c>
      <c r="Z717" s="248">
        <f t="shared" ref="Z717:Z780" ca="1" si="82">EXP(-$E$3*$C$6)*SUM(X717:Y717)</f>
        <v>5.4128289443844801</v>
      </c>
      <c r="AA717" s="250">
        <f t="shared" ref="AA717:AA780" ca="1" si="83">Z717*100</f>
        <v>541.28289443844801</v>
      </c>
    </row>
    <row r="718" spans="5:27" x14ac:dyDescent="0.3">
      <c r="E718" s="241"/>
      <c r="F718" s="241"/>
      <c r="T718" s="254">
        <v>706</v>
      </c>
      <c r="U718" s="248">
        <f t="shared" si="78"/>
        <v>-18.258500000000002</v>
      </c>
      <c r="V718" s="248">
        <f t="shared" si="79"/>
        <v>-9.6085000000000012</v>
      </c>
      <c r="W718" s="248">
        <f t="shared" si="80"/>
        <v>31.740000000000009</v>
      </c>
      <c r="X718" s="248">
        <f t="shared" si="81"/>
        <v>3.8730000000000047</v>
      </c>
      <c r="Y718" s="248">
        <f t="shared" ca="1" si="77"/>
        <v>13.385727699892982</v>
      </c>
      <c r="Z718" s="248">
        <f t="shared" ca="1" si="82"/>
        <v>5.4128289443844801</v>
      </c>
      <c r="AA718" s="250">
        <f t="shared" ca="1" si="83"/>
        <v>541.28289443844801</v>
      </c>
    </row>
    <row r="719" spans="5:27" x14ac:dyDescent="0.3">
      <c r="E719" s="241"/>
      <c r="F719" s="241"/>
      <c r="T719" s="254">
        <v>707</v>
      </c>
      <c r="U719" s="248">
        <f t="shared" si="78"/>
        <v>-18.258500000000002</v>
      </c>
      <c r="V719" s="248">
        <f t="shared" si="79"/>
        <v>-8.6085000000000012</v>
      </c>
      <c r="W719" s="248">
        <f t="shared" si="80"/>
        <v>30.740000000000009</v>
      </c>
      <c r="X719" s="248">
        <f t="shared" si="81"/>
        <v>3.8730000000000047</v>
      </c>
      <c r="Y719" s="248">
        <f t="shared" ca="1" si="77"/>
        <v>13.385727699892982</v>
      </c>
      <c r="Z719" s="248">
        <f t="shared" ca="1" si="82"/>
        <v>5.4128289443844801</v>
      </c>
      <c r="AA719" s="250">
        <f t="shared" ca="1" si="83"/>
        <v>541.28289443844801</v>
      </c>
    </row>
    <row r="720" spans="5:27" x14ac:dyDescent="0.3">
      <c r="E720" s="241"/>
      <c r="F720" s="241"/>
      <c r="T720" s="254">
        <v>708</v>
      </c>
      <c r="U720" s="248">
        <f t="shared" si="78"/>
        <v>-18.258500000000002</v>
      </c>
      <c r="V720" s="248">
        <f t="shared" si="79"/>
        <v>-7.6085000000000012</v>
      </c>
      <c r="W720" s="248">
        <f t="shared" si="80"/>
        <v>29.740000000000009</v>
      </c>
      <c r="X720" s="248">
        <f t="shared" si="81"/>
        <v>3.8730000000000047</v>
      </c>
      <c r="Y720" s="248">
        <f t="shared" ca="1" si="77"/>
        <v>13.385727699892982</v>
      </c>
      <c r="Z720" s="248">
        <f t="shared" ca="1" si="82"/>
        <v>5.4128289443844801</v>
      </c>
      <c r="AA720" s="250">
        <f t="shared" ca="1" si="83"/>
        <v>541.28289443844801</v>
      </c>
    </row>
    <row r="721" spans="5:27" x14ac:dyDescent="0.3">
      <c r="E721" s="241"/>
      <c r="F721" s="241"/>
      <c r="T721" s="254">
        <v>709</v>
      </c>
      <c r="U721" s="248">
        <f t="shared" si="78"/>
        <v>-18.258500000000002</v>
      </c>
      <c r="V721" s="248">
        <f t="shared" si="79"/>
        <v>-6.6085000000000012</v>
      </c>
      <c r="W721" s="248">
        <f t="shared" si="80"/>
        <v>28.740000000000009</v>
      </c>
      <c r="X721" s="248">
        <f t="shared" si="81"/>
        <v>3.8730000000000047</v>
      </c>
      <c r="Y721" s="248">
        <f t="shared" ca="1" si="77"/>
        <v>13.385727699892982</v>
      </c>
      <c r="Z721" s="248">
        <f t="shared" ca="1" si="82"/>
        <v>5.4128289443844801</v>
      </c>
      <c r="AA721" s="250">
        <f t="shared" ca="1" si="83"/>
        <v>541.28289443844801</v>
      </c>
    </row>
    <row r="722" spans="5:27" x14ac:dyDescent="0.3">
      <c r="E722" s="241"/>
      <c r="F722" s="241"/>
      <c r="T722" s="254">
        <v>710</v>
      </c>
      <c r="U722" s="248">
        <f t="shared" si="78"/>
        <v>-18.258500000000002</v>
      </c>
      <c r="V722" s="248">
        <f t="shared" si="79"/>
        <v>-5.6085000000000012</v>
      </c>
      <c r="W722" s="248">
        <f t="shared" si="80"/>
        <v>27.740000000000009</v>
      </c>
      <c r="X722" s="248">
        <f t="shared" si="81"/>
        <v>3.8730000000000047</v>
      </c>
      <c r="Y722" s="248">
        <f t="shared" ca="1" si="77"/>
        <v>13.385727699892982</v>
      </c>
      <c r="Z722" s="248">
        <f t="shared" ca="1" si="82"/>
        <v>5.4128289443844801</v>
      </c>
      <c r="AA722" s="250">
        <f t="shared" ca="1" si="83"/>
        <v>541.28289443844801</v>
      </c>
    </row>
    <row r="723" spans="5:27" x14ac:dyDescent="0.3">
      <c r="E723" s="241"/>
      <c r="F723" s="241"/>
      <c r="T723" s="254">
        <v>711</v>
      </c>
      <c r="U723" s="248">
        <f t="shared" si="78"/>
        <v>-18.258500000000002</v>
      </c>
      <c r="V723" s="248">
        <f t="shared" si="79"/>
        <v>-4.6085000000000012</v>
      </c>
      <c r="W723" s="248">
        <f t="shared" si="80"/>
        <v>26.740000000000009</v>
      </c>
      <c r="X723" s="248">
        <f t="shared" si="81"/>
        <v>3.8730000000000047</v>
      </c>
      <c r="Y723" s="248">
        <f t="shared" ca="1" si="77"/>
        <v>13.385727699892982</v>
      </c>
      <c r="Z723" s="248">
        <f t="shared" ca="1" si="82"/>
        <v>5.4128289443844801</v>
      </c>
      <c r="AA723" s="250">
        <f t="shared" ca="1" si="83"/>
        <v>541.28289443844801</v>
      </c>
    </row>
    <row r="724" spans="5:27" x14ac:dyDescent="0.3">
      <c r="E724" s="241"/>
      <c r="F724" s="241"/>
      <c r="T724" s="254">
        <v>712</v>
      </c>
      <c r="U724" s="248">
        <f t="shared" si="78"/>
        <v>-18.258500000000002</v>
      </c>
      <c r="V724" s="248">
        <f t="shared" si="79"/>
        <v>-3.6085000000000016</v>
      </c>
      <c r="W724" s="248">
        <f t="shared" si="80"/>
        <v>25.740000000000009</v>
      </c>
      <c r="X724" s="248">
        <f t="shared" si="81"/>
        <v>3.8730000000000047</v>
      </c>
      <c r="Y724" s="248">
        <f t="shared" ca="1" si="77"/>
        <v>13.385727699892982</v>
      </c>
      <c r="Z724" s="248">
        <f t="shared" ca="1" si="82"/>
        <v>5.4128289443844801</v>
      </c>
      <c r="AA724" s="250">
        <f t="shared" ca="1" si="83"/>
        <v>541.28289443844801</v>
      </c>
    </row>
    <row r="725" spans="5:27" x14ac:dyDescent="0.3">
      <c r="E725" s="241"/>
      <c r="F725" s="241"/>
      <c r="T725" s="254">
        <v>713</v>
      </c>
      <c r="U725" s="248">
        <f t="shared" si="78"/>
        <v>-18.258500000000002</v>
      </c>
      <c r="V725" s="248">
        <f t="shared" si="79"/>
        <v>-2.6085000000000016</v>
      </c>
      <c r="W725" s="248">
        <f t="shared" si="80"/>
        <v>24.740000000000009</v>
      </c>
      <c r="X725" s="248">
        <f t="shared" si="81"/>
        <v>3.8730000000000047</v>
      </c>
      <c r="Y725" s="248">
        <f t="shared" ca="1" si="77"/>
        <v>13.385727699892982</v>
      </c>
      <c r="Z725" s="248">
        <f t="shared" ca="1" si="82"/>
        <v>5.4128289443844801</v>
      </c>
      <c r="AA725" s="250">
        <f t="shared" ca="1" si="83"/>
        <v>541.28289443844801</v>
      </c>
    </row>
    <row r="726" spans="5:27" x14ac:dyDescent="0.3">
      <c r="E726" s="241"/>
      <c r="F726" s="241"/>
      <c r="T726" s="254">
        <v>714</v>
      </c>
      <c r="U726" s="248">
        <f t="shared" si="78"/>
        <v>-18.258500000000002</v>
      </c>
      <c r="V726" s="248">
        <f t="shared" si="79"/>
        <v>-1.6085000000000014</v>
      </c>
      <c r="W726" s="248">
        <f t="shared" si="80"/>
        <v>23.740000000000009</v>
      </c>
      <c r="X726" s="248">
        <f t="shared" si="81"/>
        <v>3.8730000000000047</v>
      </c>
      <c r="Y726" s="248">
        <f t="shared" ca="1" si="77"/>
        <v>13.385727699892982</v>
      </c>
      <c r="Z726" s="248">
        <f t="shared" ca="1" si="82"/>
        <v>5.4128289443844801</v>
      </c>
      <c r="AA726" s="250">
        <f t="shared" ca="1" si="83"/>
        <v>541.28289443844801</v>
      </c>
    </row>
    <row r="727" spans="5:27" x14ac:dyDescent="0.3">
      <c r="E727" s="241"/>
      <c r="F727" s="241"/>
      <c r="T727" s="254">
        <v>715</v>
      </c>
      <c r="U727" s="248">
        <f t="shared" si="78"/>
        <v>-18.258500000000002</v>
      </c>
      <c r="V727" s="248">
        <f t="shared" si="79"/>
        <v>-0.60850000000000137</v>
      </c>
      <c r="W727" s="248">
        <f t="shared" si="80"/>
        <v>22.740000000000009</v>
      </c>
      <c r="X727" s="248">
        <f t="shared" si="81"/>
        <v>3.8730000000000047</v>
      </c>
      <c r="Y727" s="248">
        <f t="shared" ca="1" si="77"/>
        <v>13.385727699892982</v>
      </c>
      <c r="Z727" s="248">
        <f t="shared" ca="1" si="82"/>
        <v>5.4128289443844801</v>
      </c>
      <c r="AA727" s="250">
        <f t="shared" ca="1" si="83"/>
        <v>541.28289443844801</v>
      </c>
    </row>
    <row r="728" spans="5:27" x14ac:dyDescent="0.3">
      <c r="E728" s="241"/>
      <c r="F728" s="241"/>
      <c r="T728" s="254">
        <v>716</v>
      </c>
      <c r="U728" s="248">
        <f t="shared" si="78"/>
        <v>-18.258500000000002</v>
      </c>
      <c r="V728" s="248">
        <f t="shared" si="79"/>
        <v>0.39149999999999857</v>
      </c>
      <c r="W728" s="248">
        <f t="shared" si="80"/>
        <v>21.740000000000009</v>
      </c>
      <c r="X728" s="248">
        <f t="shared" si="81"/>
        <v>3.8730000000000047</v>
      </c>
      <c r="Y728" s="248">
        <f t="shared" ca="1" si="77"/>
        <v>13.385727699892982</v>
      </c>
      <c r="Z728" s="248">
        <f t="shared" ca="1" si="82"/>
        <v>5.4128289443844801</v>
      </c>
      <c r="AA728" s="250">
        <f t="shared" ca="1" si="83"/>
        <v>541.28289443844801</v>
      </c>
    </row>
    <row r="729" spans="5:27" x14ac:dyDescent="0.3">
      <c r="E729" s="241"/>
      <c r="F729" s="241"/>
      <c r="T729" s="254">
        <v>717</v>
      </c>
      <c r="U729" s="248">
        <f t="shared" si="78"/>
        <v>-18.258500000000002</v>
      </c>
      <c r="V729" s="248">
        <f t="shared" si="79"/>
        <v>1.3914999999999986</v>
      </c>
      <c r="W729" s="248">
        <f t="shared" si="80"/>
        <v>20.740000000000009</v>
      </c>
      <c r="X729" s="248">
        <f t="shared" si="81"/>
        <v>3.8730000000000047</v>
      </c>
      <c r="Y729" s="248">
        <f t="shared" ca="1" si="77"/>
        <v>13.385727699892982</v>
      </c>
      <c r="Z729" s="248">
        <f t="shared" ca="1" si="82"/>
        <v>5.4128289443844801</v>
      </c>
      <c r="AA729" s="250">
        <f t="shared" ca="1" si="83"/>
        <v>541.28289443844801</v>
      </c>
    </row>
    <row r="730" spans="5:27" x14ac:dyDescent="0.3">
      <c r="E730" s="241"/>
      <c r="F730" s="241"/>
      <c r="T730" s="254">
        <v>718</v>
      </c>
      <c r="U730" s="248">
        <f t="shared" si="78"/>
        <v>-18.258500000000002</v>
      </c>
      <c r="V730" s="248">
        <f t="shared" si="79"/>
        <v>2.3914999999999984</v>
      </c>
      <c r="W730" s="248">
        <f t="shared" si="80"/>
        <v>19.740000000000009</v>
      </c>
      <c r="X730" s="248">
        <f t="shared" si="81"/>
        <v>3.8730000000000064</v>
      </c>
      <c r="Y730" s="248">
        <f t="shared" ca="1" si="77"/>
        <v>13.385727699892982</v>
      </c>
      <c r="Z730" s="248">
        <f t="shared" ca="1" si="82"/>
        <v>5.4128289443844819</v>
      </c>
      <c r="AA730" s="250">
        <f t="shared" ca="1" si="83"/>
        <v>541.28289443844824</v>
      </c>
    </row>
    <row r="731" spans="5:27" x14ac:dyDescent="0.3">
      <c r="E731" s="241"/>
      <c r="F731" s="241"/>
      <c r="T731" s="254">
        <v>719</v>
      </c>
      <c r="U731" s="248">
        <f t="shared" si="78"/>
        <v>-18.258500000000002</v>
      </c>
      <c r="V731" s="248">
        <f t="shared" si="79"/>
        <v>3.3914999999999984</v>
      </c>
      <c r="W731" s="248">
        <f t="shared" si="80"/>
        <v>18.740000000000009</v>
      </c>
      <c r="X731" s="248">
        <f t="shared" si="81"/>
        <v>3.8730000000000064</v>
      </c>
      <c r="Y731" s="248">
        <f t="shared" ca="1" si="77"/>
        <v>13.385727699892982</v>
      </c>
      <c r="Z731" s="248">
        <f t="shared" ca="1" si="82"/>
        <v>5.4128289443844819</v>
      </c>
      <c r="AA731" s="250">
        <f t="shared" ca="1" si="83"/>
        <v>541.28289443844824</v>
      </c>
    </row>
    <row r="732" spans="5:27" x14ac:dyDescent="0.3">
      <c r="E732" s="241"/>
      <c r="F732" s="241"/>
      <c r="T732" s="254">
        <v>720</v>
      </c>
      <c r="U732" s="248">
        <f t="shared" si="78"/>
        <v>-18.258500000000002</v>
      </c>
      <c r="V732" s="248">
        <f t="shared" si="79"/>
        <v>4.3914999999999988</v>
      </c>
      <c r="W732" s="248">
        <f t="shared" si="80"/>
        <v>17.740000000000009</v>
      </c>
      <c r="X732" s="248">
        <f t="shared" si="81"/>
        <v>3.8730000000000064</v>
      </c>
      <c r="Y732" s="248">
        <f t="shared" ca="1" si="77"/>
        <v>13.385727699892982</v>
      </c>
      <c r="Z732" s="248">
        <f t="shared" ca="1" si="82"/>
        <v>5.4128289443844819</v>
      </c>
      <c r="AA732" s="250">
        <f t="shared" ca="1" si="83"/>
        <v>541.28289443844824</v>
      </c>
    </row>
    <row r="733" spans="5:27" x14ac:dyDescent="0.3">
      <c r="E733" s="241"/>
      <c r="F733" s="241"/>
      <c r="T733" s="254">
        <v>721</v>
      </c>
      <c r="U733" s="248">
        <f t="shared" si="78"/>
        <v>-18.258500000000002</v>
      </c>
      <c r="V733" s="248">
        <f t="shared" si="79"/>
        <v>5.3914999999999988</v>
      </c>
      <c r="W733" s="248">
        <f t="shared" si="80"/>
        <v>16.740000000000009</v>
      </c>
      <c r="X733" s="248">
        <f t="shared" si="81"/>
        <v>3.8730000000000064</v>
      </c>
      <c r="Y733" s="248">
        <f t="shared" ca="1" si="77"/>
        <v>13.385727699892982</v>
      </c>
      <c r="Z733" s="248">
        <f t="shared" ca="1" si="82"/>
        <v>5.4128289443844819</v>
      </c>
      <c r="AA733" s="250">
        <f t="shared" ca="1" si="83"/>
        <v>541.28289443844824</v>
      </c>
    </row>
    <row r="734" spans="5:27" x14ac:dyDescent="0.3">
      <c r="E734" s="241"/>
      <c r="F734" s="241"/>
      <c r="T734" s="254">
        <v>722</v>
      </c>
      <c r="U734" s="248">
        <f t="shared" si="78"/>
        <v>-18.258500000000002</v>
      </c>
      <c r="V734" s="248">
        <f t="shared" si="79"/>
        <v>6.3914999999999988</v>
      </c>
      <c r="W734" s="248">
        <f t="shared" si="80"/>
        <v>15.740000000000009</v>
      </c>
      <c r="X734" s="248">
        <f t="shared" si="81"/>
        <v>3.8730000000000064</v>
      </c>
      <c r="Y734" s="248">
        <f t="shared" ca="1" si="77"/>
        <v>13.385727699892982</v>
      </c>
      <c r="Z734" s="248">
        <f t="shared" ca="1" si="82"/>
        <v>5.4128289443844819</v>
      </c>
      <c r="AA734" s="250">
        <f t="shared" ca="1" si="83"/>
        <v>541.28289443844824</v>
      </c>
    </row>
    <row r="735" spans="5:27" x14ac:dyDescent="0.3">
      <c r="E735" s="241"/>
      <c r="F735" s="241"/>
      <c r="T735" s="254">
        <v>723</v>
      </c>
      <c r="U735" s="248">
        <f t="shared" si="78"/>
        <v>-18.258500000000002</v>
      </c>
      <c r="V735" s="248">
        <f t="shared" si="79"/>
        <v>7.3914999999999988</v>
      </c>
      <c r="W735" s="248">
        <f t="shared" si="80"/>
        <v>14.740000000000009</v>
      </c>
      <c r="X735" s="248">
        <f t="shared" si="81"/>
        <v>3.8730000000000064</v>
      </c>
      <c r="Y735" s="248">
        <f t="shared" ca="1" si="77"/>
        <v>13.385727699892982</v>
      </c>
      <c r="Z735" s="248">
        <f t="shared" ca="1" si="82"/>
        <v>5.4128289443844819</v>
      </c>
      <c r="AA735" s="250">
        <f t="shared" ca="1" si="83"/>
        <v>541.28289443844824</v>
      </c>
    </row>
    <row r="736" spans="5:27" x14ac:dyDescent="0.3">
      <c r="E736" s="241"/>
      <c r="F736" s="241"/>
      <c r="T736" s="254">
        <v>724</v>
      </c>
      <c r="U736" s="248">
        <f t="shared" si="78"/>
        <v>-18.258500000000002</v>
      </c>
      <c r="V736" s="248">
        <f t="shared" si="79"/>
        <v>8.3914999999999988</v>
      </c>
      <c r="W736" s="248">
        <f t="shared" si="80"/>
        <v>13.740000000000009</v>
      </c>
      <c r="X736" s="248">
        <f t="shared" si="81"/>
        <v>3.8730000000000064</v>
      </c>
      <c r="Y736" s="248">
        <f t="shared" ca="1" si="77"/>
        <v>13.385727699892982</v>
      </c>
      <c r="Z736" s="248">
        <f t="shared" ca="1" si="82"/>
        <v>5.4128289443844819</v>
      </c>
      <c r="AA736" s="250">
        <f t="shared" ca="1" si="83"/>
        <v>541.28289443844824</v>
      </c>
    </row>
    <row r="737" spans="5:27" x14ac:dyDescent="0.3">
      <c r="E737" s="241"/>
      <c r="F737" s="241"/>
      <c r="T737" s="254">
        <v>725</v>
      </c>
      <c r="U737" s="248">
        <f t="shared" si="78"/>
        <v>-18.258500000000002</v>
      </c>
      <c r="V737" s="248">
        <f t="shared" si="79"/>
        <v>9.3914999999999988</v>
      </c>
      <c r="W737" s="248">
        <f t="shared" si="80"/>
        <v>12.740000000000009</v>
      </c>
      <c r="X737" s="248">
        <f t="shared" si="81"/>
        <v>3.8730000000000064</v>
      </c>
      <c r="Y737" s="248">
        <f t="shared" ca="1" si="77"/>
        <v>13.385727699892982</v>
      </c>
      <c r="Z737" s="248">
        <f t="shared" ca="1" si="82"/>
        <v>5.4128289443844819</v>
      </c>
      <c r="AA737" s="250">
        <f t="shared" ca="1" si="83"/>
        <v>541.28289443844824</v>
      </c>
    </row>
    <row r="738" spans="5:27" x14ac:dyDescent="0.3">
      <c r="E738" s="241"/>
      <c r="F738" s="241"/>
      <c r="T738" s="254">
        <v>726</v>
      </c>
      <c r="U738" s="248">
        <f t="shared" si="78"/>
        <v>-18.258500000000002</v>
      </c>
      <c r="V738" s="248">
        <f t="shared" si="79"/>
        <v>10.391499999999999</v>
      </c>
      <c r="W738" s="248">
        <f t="shared" si="80"/>
        <v>11.740000000000009</v>
      </c>
      <c r="X738" s="248">
        <f t="shared" si="81"/>
        <v>3.8730000000000064</v>
      </c>
      <c r="Y738" s="248">
        <f t="shared" ca="1" si="77"/>
        <v>13.385727699892982</v>
      </c>
      <c r="Z738" s="248">
        <f t="shared" ca="1" si="82"/>
        <v>5.4128289443844819</v>
      </c>
      <c r="AA738" s="250">
        <f t="shared" ca="1" si="83"/>
        <v>541.28289443844824</v>
      </c>
    </row>
    <row r="739" spans="5:27" x14ac:dyDescent="0.3">
      <c r="E739" s="241"/>
      <c r="F739" s="241"/>
      <c r="T739" s="254">
        <v>727</v>
      </c>
      <c r="U739" s="248">
        <f t="shared" si="78"/>
        <v>-18.258500000000002</v>
      </c>
      <c r="V739" s="248">
        <f t="shared" si="79"/>
        <v>11.391499999999999</v>
      </c>
      <c r="W739" s="248">
        <f t="shared" si="80"/>
        <v>10.740000000000009</v>
      </c>
      <c r="X739" s="248">
        <f t="shared" si="81"/>
        <v>3.8730000000000064</v>
      </c>
      <c r="Y739" s="248">
        <f t="shared" ca="1" si="77"/>
        <v>13.385727699892982</v>
      </c>
      <c r="Z739" s="248">
        <f t="shared" ca="1" si="82"/>
        <v>5.4128289443844819</v>
      </c>
      <c r="AA739" s="250">
        <f t="shared" ca="1" si="83"/>
        <v>541.28289443844824</v>
      </c>
    </row>
    <row r="740" spans="5:27" x14ac:dyDescent="0.3">
      <c r="E740" s="241"/>
      <c r="F740" s="241"/>
      <c r="T740" s="254">
        <v>728</v>
      </c>
      <c r="U740" s="248">
        <f t="shared" si="78"/>
        <v>-18.258500000000002</v>
      </c>
      <c r="V740" s="248">
        <f t="shared" si="79"/>
        <v>12.391499999999999</v>
      </c>
      <c r="W740" s="248">
        <f t="shared" si="80"/>
        <v>9.7400000000000091</v>
      </c>
      <c r="X740" s="248">
        <f t="shared" si="81"/>
        <v>3.8730000000000064</v>
      </c>
      <c r="Y740" s="248">
        <f t="shared" ca="1" si="77"/>
        <v>13.385727699892982</v>
      </c>
      <c r="Z740" s="248">
        <f t="shared" ca="1" si="82"/>
        <v>5.4128289443844819</v>
      </c>
      <c r="AA740" s="250">
        <f t="shared" ca="1" si="83"/>
        <v>541.28289443844824</v>
      </c>
    </row>
    <row r="741" spans="5:27" x14ac:dyDescent="0.3">
      <c r="E741" s="241"/>
      <c r="F741" s="241"/>
      <c r="T741" s="254">
        <v>729</v>
      </c>
      <c r="U741" s="248">
        <f t="shared" si="78"/>
        <v>-18.258500000000002</v>
      </c>
      <c r="V741" s="248">
        <f t="shared" si="79"/>
        <v>13.391499999999999</v>
      </c>
      <c r="W741" s="248">
        <f t="shared" si="80"/>
        <v>8.7400000000000091</v>
      </c>
      <c r="X741" s="248">
        <f t="shared" si="81"/>
        <v>3.8730000000000064</v>
      </c>
      <c r="Y741" s="248">
        <f t="shared" ca="1" si="77"/>
        <v>13.385727699892982</v>
      </c>
      <c r="Z741" s="248">
        <f t="shared" ca="1" si="82"/>
        <v>5.4128289443844819</v>
      </c>
      <c r="AA741" s="250">
        <f t="shared" ca="1" si="83"/>
        <v>541.28289443844824</v>
      </c>
    </row>
    <row r="742" spans="5:27" x14ac:dyDescent="0.3">
      <c r="E742" s="241"/>
      <c r="F742" s="241"/>
      <c r="T742" s="254">
        <v>730</v>
      </c>
      <c r="U742" s="248">
        <f t="shared" si="78"/>
        <v>-18.258500000000002</v>
      </c>
      <c r="V742" s="248">
        <f t="shared" si="79"/>
        <v>14.391499999999999</v>
      </c>
      <c r="W742" s="248">
        <f t="shared" si="80"/>
        <v>7.7400000000000091</v>
      </c>
      <c r="X742" s="248">
        <f t="shared" si="81"/>
        <v>3.8730000000000064</v>
      </c>
      <c r="Y742" s="248">
        <f t="shared" ca="1" si="77"/>
        <v>13.385727699892982</v>
      </c>
      <c r="Z742" s="248">
        <f t="shared" ca="1" si="82"/>
        <v>5.4128289443844819</v>
      </c>
      <c r="AA742" s="250">
        <f t="shared" ca="1" si="83"/>
        <v>541.28289443844824</v>
      </c>
    </row>
    <row r="743" spans="5:27" x14ac:dyDescent="0.3">
      <c r="E743" s="241"/>
      <c r="F743" s="241"/>
      <c r="T743" s="254">
        <v>731</v>
      </c>
      <c r="U743" s="248">
        <f t="shared" si="78"/>
        <v>-18.258500000000002</v>
      </c>
      <c r="V743" s="248">
        <f t="shared" si="79"/>
        <v>15.391499999999999</v>
      </c>
      <c r="W743" s="248">
        <f t="shared" si="80"/>
        <v>6.7400000000000091</v>
      </c>
      <c r="X743" s="248">
        <f t="shared" si="81"/>
        <v>3.8730000000000064</v>
      </c>
      <c r="Y743" s="248">
        <f t="shared" ca="1" si="77"/>
        <v>13.385727699892982</v>
      </c>
      <c r="Z743" s="248">
        <f t="shared" ca="1" si="82"/>
        <v>5.4128289443844819</v>
      </c>
      <c r="AA743" s="250">
        <f t="shared" ca="1" si="83"/>
        <v>541.28289443844824</v>
      </c>
    </row>
    <row r="744" spans="5:27" x14ac:dyDescent="0.3">
      <c r="E744" s="241"/>
      <c r="F744" s="241"/>
      <c r="T744" s="254">
        <v>732</v>
      </c>
      <c r="U744" s="248">
        <f t="shared" si="78"/>
        <v>-18.258500000000002</v>
      </c>
      <c r="V744" s="248">
        <f t="shared" si="79"/>
        <v>16.391499999999997</v>
      </c>
      <c r="W744" s="248">
        <f t="shared" si="80"/>
        <v>5.7400000000000091</v>
      </c>
      <c r="X744" s="248">
        <f t="shared" si="81"/>
        <v>3.8730000000000047</v>
      </c>
      <c r="Y744" s="248">
        <f t="shared" ca="1" si="77"/>
        <v>13.385727699892982</v>
      </c>
      <c r="Z744" s="248">
        <f t="shared" ca="1" si="82"/>
        <v>5.4128289443844801</v>
      </c>
      <c r="AA744" s="250">
        <f t="shared" ca="1" si="83"/>
        <v>541.28289443844801</v>
      </c>
    </row>
    <row r="745" spans="5:27" x14ac:dyDescent="0.3">
      <c r="E745" s="241"/>
      <c r="F745" s="241"/>
      <c r="T745" s="254">
        <v>733</v>
      </c>
      <c r="U745" s="248">
        <f t="shared" si="78"/>
        <v>-18.258500000000002</v>
      </c>
      <c r="V745" s="248">
        <f t="shared" si="79"/>
        <v>17.391499999999997</v>
      </c>
      <c r="W745" s="248">
        <f t="shared" si="80"/>
        <v>4.7400000000000091</v>
      </c>
      <c r="X745" s="248">
        <f t="shared" si="81"/>
        <v>3.8730000000000047</v>
      </c>
      <c r="Y745" s="248">
        <f t="shared" ca="1" si="77"/>
        <v>13.385727699892982</v>
      </c>
      <c r="Z745" s="248">
        <f t="shared" ca="1" si="82"/>
        <v>5.4128289443844801</v>
      </c>
      <c r="AA745" s="250">
        <f t="shared" ca="1" si="83"/>
        <v>541.28289443844801</v>
      </c>
    </row>
    <row r="746" spans="5:27" x14ac:dyDescent="0.3">
      <c r="E746" s="241"/>
      <c r="F746" s="241"/>
      <c r="T746" s="254">
        <v>734</v>
      </c>
      <c r="U746" s="248">
        <f t="shared" si="78"/>
        <v>-18.258500000000002</v>
      </c>
      <c r="V746" s="248">
        <f t="shared" si="79"/>
        <v>18.391499999999997</v>
      </c>
      <c r="W746" s="248">
        <f t="shared" si="80"/>
        <v>3.7400000000000091</v>
      </c>
      <c r="X746" s="248">
        <f t="shared" si="81"/>
        <v>3.8730000000000047</v>
      </c>
      <c r="Y746" s="248">
        <f t="shared" ca="1" si="77"/>
        <v>13.385727699892982</v>
      </c>
      <c r="Z746" s="248">
        <f t="shared" ca="1" si="82"/>
        <v>5.4128289443844801</v>
      </c>
      <c r="AA746" s="250">
        <f t="shared" ca="1" si="83"/>
        <v>541.28289443844801</v>
      </c>
    </row>
    <row r="747" spans="5:27" x14ac:dyDescent="0.3">
      <c r="E747" s="241"/>
      <c r="F747" s="241"/>
      <c r="T747" s="254">
        <v>735</v>
      </c>
      <c r="U747" s="248">
        <f t="shared" si="78"/>
        <v>-18.258500000000002</v>
      </c>
      <c r="V747" s="248">
        <f t="shared" si="79"/>
        <v>19.391499999999997</v>
      </c>
      <c r="W747" s="248">
        <f t="shared" si="80"/>
        <v>2.7400000000000091</v>
      </c>
      <c r="X747" s="248">
        <f t="shared" si="81"/>
        <v>3.8730000000000047</v>
      </c>
      <c r="Y747" s="248">
        <f t="shared" ca="1" si="77"/>
        <v>13.385727699892982</v>
      </c>
      <c r="Z747" s="248">
        <f t="shared" ca="1" si="82"/>
        <v>5.4128289443844801</v>
      </c>
      <c r="AA747" s="250">
        <f t="shared" ca="1" si="83"/>
        <v>541.28289443844801</v>
      </c>
    </row>
    <row r="748" spans="5:27" x14ac:dyDescent="0.3">
      <c r="E748" s="241"/>
      <c r="F748" s="241"/>
      <c r="T748" s="254">
        <v>736</v>
      </c>
      <c r="U748" s="248">
        <f t="shared" si="78"/>
        <v>-18.258500000000002</v>
      </c>
      <c r="V748" s="248">
        <f t="shared" si="79"/>
        <v>20.391499999999997</v>
      </c>
      <c r="W748" s="248">
        <f t="shared" si="80"/>
        <v>1.7400000000000091</v>
      </c>
      <c r="X748" s="248">
        <f t="shared" si="81"/>
        <v>3.8730000000000047</v>
      </c>
      <c r="Y748" s="248">
        <f t="shared" ca="1" si="77"/>
        <v>13.385727699892982</v>
      </c>
      <c r="Z748" s="248">
        <f t="shared" ca="1" si="82"/>
        <v>5.4128289443844801</v>
      </c>
      <c r="AA748" s="250">
        <f t="shared" ca="1" si="83"/>
        <v>541.28289443844801</v>
      </c>
    </row>
    <row r="749" spans="5:27" x14ac:dyDescent="0.3">
      <c r="E749" s="241"/>
      <c r="F749" s="241"/>
      <c r="T749" s="254">
        <v>737</v>
      </c>
      <c r="U749" s="248">
        <f t="shared" si="78"/>
        <v>-18.258500000000002</v>
      </c>
      <c r="V749" s="248">
        <f t="shared" si="79"/>
        <v>21.391499999999997</v>
      </c>
      <c r="W749" s="248">
        <f t="shared" si="80"/>
        <v>0.74000000000000909</v>
      </c>
      <c r="X749" s="248">
        <f t="shared" si="81"/>
        <v>3.8730000000000047</v>
      </c>
      <c r="Y749" s="248">
        <f t="shared" ca="1" si="77"/>
        <v>13.385727699892982</v>
      </c>
      <c r="Z749" s="248">
        <f t="shared" ca="1" si="82"/>
        <v>5.4128289443844801</v>
      </c>
      <c r="AA749" s="250">
        <f t="shared" ca="1" si="83"/>
        <v>541.28289443844801</v>
      </c>
    </row>
    <row r="750" spans="5:27" x14ac:dyDescent="0.3">
      <c r="E750" s="241"/>
      <c r="F750" s="241"/>
      <c r="T750" s="254">
        <v>738</v>
      </c>
      <c r="U750" s="248">
        <f t="shared" si="78"/>
        <v>-18.258500000000002</v>
      </c>
      <c r="V750" s="248">
        <f t="shared" si="79"/>
        <v>22.391499999999997</v>
      </c>
      <c r="W750" s="248">
        <f t="shared" si="80"/>
        <v>-0.25999999999999091</v>
      </c>
      <c r="X750" s="248">
        <f t="shared" si="81"/>
        <v>3.8730000000000047</v>
      </c>
      <c r="Y750" s="248">
        <f t="shared" ca="1" si="77"/>
        <v>13.385727699892982</v>
      </c>
      <c r="Z750" s="248">
        <f t="shared" ca="1" si="82"/>
        <v>5.4128289443844801</v>
      </c>
      <c r="AA750" s="250">
        <f t="shared" ca="1" si="83"/>
        <v>541.28289443844801</v>
      </c>
    </row>
    <row r="751" spans="5:27" x14ac:dyDescent="0.3">
      <c r="E751" s="241"/>
      <c r="F751" s="241"/>
      <c r="T751" s="254">
        <v>739</v>
      </c>
      <c r="U751" s="248">
        <f t="shared" si="78"/>
        <v>-18.258500000000002</v>
      </c>
      <c r="V751" s="248">
        <f t="shared" si="79"/>
        <v>23.391499999999997</v>
      </c>
      <c r="W751" s="248">
        <f t="shared" si="80"/>
        <v>-1.2599999999999909</v>
      </c>
      <c r="X751" s="248">
        <f t="shared" si="81"/>
        <v>3.8730000000000047</v>
      </c>
      <c r="Y751" s="248">
        <f t="shared" ca="1" si="77"/>
        <v>13.385727699892982</v>
      </c>
      <c r="Z751" s="248">
        <f t="shared" ca="1" si="82"/>
        <v>5.4128289443844801</v>
      </c>
      <c r="AA751" s="250">
        <f t="shared" ca="1" si="83"/>
        <v>541.28289443844801</v>
      </c>
    </row>
    <row r="752" spans="5:27" x14ac:dyDescent="0.3">
      <c r="E752" s="241"/>
      <c r="F752" s="241"/>
      <c r="T752" s="254">
        <v>740</v>
      </c>
      <c r="U752" s="248">
        <f t="shared" si="78"/>
        <v>-18.258500000000002</v>
      </c>
      <c r="V752" s="248">
        <f t="shared" si="79"/>
        <v>24.391499999999997</v>
      </c>
      <c r="W752" s="248">
        <f t="shared" si="80"/>
        <v>-2.2599999999999909</v>
      </c>
      <c r="X752" s="248">
        <f t="shared" si="81"/>
        <v>3.8730000000000047</v>
      </c>
      <c r="Y752" s="248">
        <f t="shared" ca="1" si="77"/>
        <v>13.385727699892982</v>
      </c>
      <c r="Z752" s="248">
        <f t="shared" ca="1" si="82"/>
        <v>5.4128289443844801</v>
      </c>
      <c r="AA752" s="250">
        <f t="shared" ca="1" si="83"/>
        <v>541.28289443844801</v>
      </c>
    </row>
    <row r="753" spans="5:27" x14ac:dyDescent="0.3">
      <c r="E753" s="241"/>
      <c r="F753" s="241"/>
      <c r="T753" s="254">
        <v>741</v>
      </c>
      <c r="U753" s="248">
        <f t="shared" si="78"/>
        <v>-17.258500000000002</v>
      </c>
      <c r="V753" s="248">
        <f t="shared" si="79"/>
        <v>24.391499999999997</v>
      </c>
      <c r="W753" s="248">
        <f t="shared" si="80"/>
        <v>-3.2599999999999909</v>
      </c>
      <c r="X753" s="248">
        <f t="shared" si="81"/>
        <v>3.8730000000000047</v>
      </c>
      <c r="Y753" s="248">
        <f t="shared" ca="1" si="77"/>
        <v>13.385727699892982</v>
      </c>
      <c r="Z753" s="248">
        <f t="shared" ca="1" si="82"/>
        <v>5.4128289443844801</v>
      </c>
      <c r="AA753" s="250">
        <f t="shared" ca="1" si="83"/>
        <v>541.28289443844801</v>
      </c>
    </row>
    <row r="754" spans="5:27" x14ac:dyDescent="0.3">
      <c r="E754" s="241"/>
      <c r="F754" s="241"/>
      <c r="T754" s="254">
        <v>742</v>
      </c>
      <c r="U754" s="248">
        <f t="shared" si="78"/>
        <v>-16.258500000000002</v>
      </c>
      <c r="V754" s="248">
        <f t="shared" si="79"/>
        <v>24.391499999999997</v>
      </c>
      <c r="W754" s="248">
        <f t="shared" si="80"/>
        <v>-4.2599999999999909</v>
      </c>
      <c r="X754" s="248">
        <f t="shared" si="81"/>
        <v>3.8730000000000047</v>
      </c>
      <c r="Y754" s="248">
        <f t="shared" ca="1" si="77"/>
        <v>13.385727699892982</v>
      </c>
      <c r="Z754" s="248">
        <f t="shared" ca="1" si="82"/>
        <v>5.4128289443844801</v>
      </c>
      <c r="AA754" s="250">
        <f t="shared" ca="1" si="83"/>
        <v>541.28289443844801</v>
      </c>
    </row>
    <row r="755" spans="5:27" x14ac:dyDescent="0.3">
      <c r="E755" s="241"/>
      <c r="F755" s="241"/>
      <c r="T755" s="254">
        <v>743</v>
      </c>
      <c r="U755" s="248">
        <f t="shared" si="78"/>
        <v>-15.2585</v>
      </c>
      <c r="V755" s="248">
        <f t="shared" si="79"/>
        <v>24.391499999999997</v>
      </c>
      <c r="W755" s="248">
        <f t="shared" si="80"/>
        <v>-5.2599999999999909</v>
      </c>
      <c r="X755" s="248">
        <f t="shared" si="81"/>
        <v>3.8730000000000064</v>
      </c>
      <c r="Y755" s="248">
        <f t="shared" ca="1" si="77"/>
        <v>13.385727699892982</v>
      </c>
      <c r="Z755" s="248">
        <f t="shared" ca="1" si="82"/>
        <v>5.4128289443844819</v>
      </c>
      <c r="AA755" s="250">
        <f t="shared" ca="1" si="83"/>
        <v>541.28289443844824</v>
      </c>
    </row>
    <row r="756" spans="5:27" x14ac:dyDescent="0.3">
      <c r="E756" s="241"/>
      <c r="F756" s="241"/>
      <c r="T756" s="254">
        <v>744</v>
      </c>
      <c r="U756" s="248">
        <f t="shared" si="78"/>
        <v>-14.2585</v>
      </c>
      <c r="V756" s="248">
        <f t="shared" si="79"/>
        <v>24.391499999999997</v>
      </c>
      <c r="W756" s="248">
        <f t="shared" si="80"/>
        <v>-6.2599999999999909</v>
      </c>
      <c r="X756" s="248">
        <f t="shared" si="81"/>
        <v>3.8730000000000064</v>
      </c>
      <c r="Y756" s="248">
        <f t="shared" ca="1" si="77"/>
        <v>13.385727699892982</v>
      </c>
      <c r="Z756" s="248">
        <f t="shared" ca="1" si="82"/>
        <v>5.4128289443844819</v>
      </c>
      <c r="AA756" s="250">
        <f t="shared" ca="1" si="83"/>
        <v>541.28289443844824</v>
      </c>
    </row>
    <row r="757" spans="5:27" x14ac:dyDescent="0.3">
      <c r="E757" s="241"/>
      <c r="F757" s="241"/>
      <c r="T757" s="254">
        <v>745</v>
      </c>
      <c r="U757" s="248">
        <f t="shared" si="78"/>
        <v>-13.2585</v>
      </c>
      <c r="V757" s="248">
        <f t="shared" si="79"/>
        <v>24.391499999999997</v>
      </c>
      <c r="W757" s="248">
        <f t="shared" si="80"/>
        <v>-7.2599999999999909</v>
      </c>
      <c r="X757" s="248">
        <f t="shared" si="81"/>
        <v>3.8730000000000064</v>
      </c>
      <c r="Y757" s="248">
        <f t="shared" ca="1" si="77"/>
        <v>13.385727699892982</v>
      </c>
      <c r="Z757" s="248">
        <f t="shared" ca="1" si="82"/>
        <v>5.4128289443844819</v>
      </c>
      <c r="AA757" s="250">
        <f t="shared" ca="1" si="83"/>
        <v>541.28289443844824</v>
      </c>
    </row>
    <row r="758" spans="5:27" x14ac:dyDescent="0.3">
      <c r="E758" s="241"/>
      <c r="F758" s="241"/>
      <c r="T758" s="254">
        <v>746</v>
      </c>
      <c r="U758" s="248">
        <f t="shared" si="78"/>
        <v>-12.2585</v>
      </c>
      <c r="V758" s="248">
        <f t="shared" si="79"/>
        <v>24.391499999999997</v>
      </c>
      <c r="W758" s="248">
        <f t="shared" si="80"/>
        <v>-8.2599999999999909</v>
      </c>
      <c r="X758" s="248">
        <f t="shared" si="81"/>
        <v>3.8730000000000064</v>
      </c>
      <c r="Y758" s="248">
        <f t="shared" ca="1" si="77"/>
        <v>13.385727699892982</v>
      </c>
      <c r="Z758" s="248">
        <f t="shared" ca="1" si="82"/>
        <v>5.4128289443844819</v>
      </c>
      <c r="AA758" s="250">
        <f t="shared" ca="1" si="83"/>
        <v>541.28289443844824</v>
      </c>
    </row>
    <row r="759" spans="5:27" x14ac:dyDescent="0.3">
      <c r="E759" s="241"/>
      <c r="F759" s="241"/>
      <c r="T759" s="254">
        <v>747</v>
      </c>
      <c r="U759" s="248">
        <f t="shared" si="78"/>
        <v>-11.2585</v>
      </c>
      <c r="V759" s="248">
        <f t="shared" si="79"/>
        <v>24.391499999999997</v>
      </c>
      <c r="W759" s="248">
        <f t="shared" si="80"/>
        <v>-9.2599999999999909</v>
      </c>
      <c r="X759" s="248">
        <f t="shared" si="81"/>
        <v>3.8730000000000064</v>
      </c>
      <c r="Y759" s="248">
        <f t="shared" ca="1" si="77"/>
        <v>13.385727699892982</v>
      </c>
      <c r="Z759" s="248">
        <f t="shared" ca="1" si="82"/>
        <v>5.4128289443844819</v>
      </c>
      <c r="AA759" s="250">
        <f t="shared" ca="1" si="83"/>
        <v>541.28289443844824</v>
      </c>
    </row>
    <row r="760" spans="5:27" x14ac:dyDescent="0.3">
      <c r="E760" s="241"/>
      <c r="F760" s="241"/>
      <c r="T760" s="254">
        <v>748</v>
      </c>
      <c r="U760" s="248">
        <f t="shared" si="78"/>
        <v>-10.2585</v>
      </c>
      <c r="V760" s="248">
        <f t="shared" si="79"/>
        <v>24.391499999999997</v>
      </c>
      <c r="W760" s="248">
        <f t="shared" si="80"/>
        <v>-10.259999999999991</v>
      </c>
      <c r="X760" s="248">
        <f t="shared" si="81"/>
        <v>3.8730000000000064</v>
      </c>
      <c r="Y760" s="248">
        <f t="shared" ca="1" si="77"/>
        <v>13.385727699892982</v>
      </c>
      <c r="Z760" s="248">
        <f t="shared" ca="1" si="82"/>
        <v>5.4128289443844819</v>
      </c>
      <c r="AA760" s="250">
        <f t="shared" ca="1" si="83"/>
        <v>541.28289443844824</v>
      </c>
    </row>
    <row r="761" spans="5:27" x14ac:dyDescent="0.3">
      <c r="E761" s="241"/>
      <c r="F761" s="241"/>
      <c r="T761" s="254">
        <v>749</v>
      </c>
      <c r="U761" s="248">
        <f t="shared" si="78"/>
        <v>-9.2584999999999997</v>
      </c>
      <c r="V761" s="248">
        <f t="shared" si="79"/>
        <v>24.391499999999997</v>
      </c>
      <c r="W761" s="248">
        <f t="shared" si="80"/>
        <v>-11.259999999999991</v>
      </c>
      <c r="X761" s="248">
        <f t="shared" si="81"/>
        <v>3.8730000000000064</v>
      </c>
      <c r="Y761" s="248">
        <f t="shared" ca="1" si="77"/>
        <v>13.385727699892982</v>
      </c>
      <c r="Z761" s="248">
        <f t="shared" ca="1" si="82"/>
        <v>5.4128289443844819</v>
      </c>
      <c r="AA761" s="250">
        <f t="shared" ca="1" si="83"/>
        <v>541.28289443844824</v>
      </c>
    </row>
    <row r="762" spans="5:27" x14ac:dyDescent="0.3">
      <c r="E762" s="241"/>
      <c r="F762" s="241"/>
      <c r="T762" s="254">
        <v>750</v>
      </c>
      <c r="U762" s="248">
        <f t="shared" si="78"/>
        <v>-8.2584999999999997</v>
      </c>
      <c r="V762" s="248">
        <f t="shared" si="79"/>
        <v>24.391499999999997</v>
      </c>
      <c r="W762" s="248">
        <f t="shared" si="80"/>
        <v>-12.259999999999991</v>
      </c>
      <c r="X762" s="248">
        <f t="shared" si="81"/>
        <v>3.8730000000000047</v>
      </c>
      <c r="Y762" s="248">
        <f t="shared" ca="1" si="77"/>
        <v>13.385727699892982</v>
      </c>
      <c r="Z762" s="248">
        <f t="shared" ca="1" si="82"/>
        <v>5.4128289443844801</v>
      </c>
      <c r="AA762" s="250">
        <f t="shared" ca="1" si="83"/>
        <v>541.28289443844801</v>
      </c>
    </row>
    <row r="763" spans="5:27" x14ac:dyDescent="0.3">
      <c r="E763" s="241"/>
      <c r="F763" s="241"/>
      <c r="T763" s="254">
        <v>751</v>
      </c>
      <c r="U763" s="248">
        <f t="shared" si="78"/>
        <v>-7.2584999999999997</v>
      </c>
      <c r="V763" s="248">
        <f t="shared" si="79"/>
        <v>24.391499999999997</v>
      </c>
      <c r="W763" s="248">
        <f t="shared" si="80"/>
        <v>-13.259999999999991</v>
      </c>
      <c r="X763" s="248">
        <f t="shared" si="81"/>
        <v>3.8730000000000047</v>
      </c>
      <c r="Y763" s="248">
        <f t="shared" ca="1" si="77"/>
        <v>13.385727699892982</v>
      </c>
      <c r="Z763" s="248">
        <f t="shared" ca="1" si="82"/>
        <v>5.4128289443844801</v>
      </c>
      <c r="AA763" s="250">
        <f t="shared" ca="1" si="83"/>
        <v>541.28289443844801</v>
      </c>
    </row>
    <row r="764" spans="5:27" x14ac:dyDescent="0.3">
      <c r="E764" s="241"/>
      <c r="F764" s="241"/>
      <c r="T764" s="254">
        <v>752</v>
      </c>
      <c r="U764" s="248">
        <f t="shared" si="78"/>
        <v>-6.2584999999999997</v>
      </c>
      <c r="V764" s="248">
        <f t="shared" si="79"/>
        <v>24.391499999999997</v>
      </c>
      <c r="W764" s="248">
        <f t="shared" si="80"/>
        <v>-14.259999999999991</v>
      </c>
      <c r="X764" s="248">
        <f t="shared" si="81"/>
        <v>3.8730000000000047</v>
      </c>
      <c r="Y764" s="248">
        <f t="shared" ca="1" si="77"/>
        <v>13.385727699892982</v>
      </c>
      <c r="Z764" s="248">
        <f t="shared" ca="1" si="82"/>
        <v>5.4128289443844801</v>
      </c>
      <c r="AA764" s="250">
        <f t="shared" ca="1" si="83"/>
        <v>541.28289443844801</v>
      </c>
    </row>
    <row r="765" spans="5:27" x14ac:dyDescent="0.3">
      <c r="E765" s="241"/>
      <c r="F765" s="241"/>
      <c r="T765" s="254">
        <v>753</v>
      </c>
      <c r="U765" s="248">
        <f t="shared" si="78"/>
        <v>-5.2584999999999997</v>
      </c>
      <c r="V765" s="248">
        <f t="shared" si="79"/>
        <v>24.391499999999997</v>
      </c>
      <c r="W765" s="248">
        <f t="shared" si="80"/>
        <v>-15.259999999999991</v>
      </c>
      <c r="X765" s="248">
        <f t="shared" si="81"/>
        <v>3.8730000000000047</v>
      </c>
      <c r="Y765" s="248">
        <f t="shared" ca="1" si="77"/>
        <v>13.385727699892982</v>
      </c>
      <c r="Z765" s="248">
        <f t="shared" ca="1" si="82"/>
        <v>5.4128289443844801</v>
      </c>
      <c r="AA765" s="250">
        <f t="shared" ca="1" si="83"/>
        <v>541.28289443844801</v>
      </c>
    </row>
    <row r="766" spans="5:27" x14ac:dyDescent="0.3">
      <c r="E766" s="241"/>
      <c r="F766" s="241"/>
      <c r="T766" s="254">
        <v>754</v>
      </c>
      <c r="U766" s="248">
        <f t="shared" si="78"/>
        <v>-4.2584999999999997</v>
      </c>
      <c r="V766" s="248">
        <f t="shared" si="79"/>
        <v>24.391499999999997</v>
      </c>
      <c r="W766" s="248">
        <f t="shared" si="80"/>
        <v>-16.259999999999991</v>
      </c>
      <c r="X766" s="248">
        <f t="shared" si="81"/>
        <v>3.8730000000000047</v>
      </c>
      <c r="Y766" s="248">
        <f t="shared" ca="1" si="77"/>
        <v>13.385727699892982</v>
      </c>
      <c r="Z766" s="248">
        <f t="shared" ca="1" si="82"/>
        <v>5.4128289443844801</v>
      </c>
      <c r="AA766" s="250">
        <f t="shared" ca="1" si="83"/>
        <v>541.28289443844801</v>
      </c>
    </row>
    <row r="767" spans="5:27" x14ac:dyDescent="0.3">
      <c r="E767" s="241"/>
      <c r="F767" s="241"/>
      <c r="T767" s="254">
        <v>755</v>
      </c>
      <c r="U767" s="248">
        <f t="shared" si="78"/>
        <v>-3.2585000000000002</v>
      </c>
      <c r="V767" s="248">
        <f t="shared" si="79"/>
        <v>24.391499999999997</v>
      </c>
      <c r="W767" s="248">
        <f t="shared" si="80"/>
        <v>-17.259999999999991</v>
      </c>
      <c r="X767" s="248">
        <f t="shared" si="81"/>
        <v>3.8730000000000047</v>
      </c>
      <c r="Y767" s="248">
        <f t="shared" ca="1" si="77"/>
        <v>13.385727699892982</v>
      </c>
      <c r="Z767" s="248">
        <f t="shared" ca="1" si="82"/>
        <v>5.4128289443844801</v>
      </c>
      <c r="AA767" s="250">
        <f t="shared" ca="1" si="83"/>
        <v>541.28289443844801</v>
      </c>
    </row>
    <row r="768" spans="5:27" x14ac:dyDescent="0.3">
      <c r="E768" s="241"/>
      <c r="F768" s="241"/>
      <c r="T768" s="254">
        <v>756</v>
      </c>
      <c r="U768" s="248">
        <f t="shared" si="78"/>
        <v>-2.2585000000000002</v>
      </c>
      <c r="V768" s="248">
        <f t="shared" si="79"/>
        <v>24.391499999999997</v>
      </c>
      <c r="W768" s="248">
        <f t="shared" si="80"/>
        <v>-18.259999999999991</v>
      </c>
      <c r="X768" s="248">
        <f t="shared" si="81"/>
        <v>3.8730000000000047</v>
      </c>
      <c r="Y768" s="248">
        <f t="shared" ca="1" si="77"/>
        <v>13.385727699892982</v>
      </c>
      <c r="Z768" s="248">
        <f t="shared" ca="1" si="82"/>
        <v>5.4128289443844801</v>
      </c>
      <c r="AA768" s="250">
        <f t="shared" ca="1" si="83"/>
        <v>541.28289443844801</v>
      </c>
    </row>
    <row r="769" spans="5:27" x14ac:dyDescent="0.3">
      <c r="E769" s="241"/>
      <c r="F769" s="241"/>
      <c r="T769" s="254">
        <v>757</v>
      </c>
      <c r="U769" s="248">
        <f t="shared" si="78"/>
        <v>-1.2585</v>
      </c>
      <c r="V769" s="248">
        <f t="shared" si="79"/>
        <v>24.391499999999997</v>
      </c>
      <c r="W769" s="248">
        <f t="shared" si="80"/>
        <v>-19.259999999999991</v>
      </c>
      <c r="X769" s="248">
        <f t="shared" si="81"/>
        <v>3.8730000000000047</v>
      </c>
      <c r="Y769" s="248">
        <f t="shared" ca="1" si="77"/>
        <v>13.385727699892982</v>
      </c>
      <c r="Z769" s="248">
        <f t="shared" ca="1" si="82"/>
        <v>5.4128289443844801</v>
      </c>
      <c r="AA769" s="250">
        <f t="shared" ca="1" si="83"/>
        <v>541.28289443844801</v>
      </c>
    </row>
    <row r="770" spans="5:27" x14ac:dyDescent="0.3">
      <c r="E770" s="241"/>
      <c r="F770" s="241"/>
      <c r="T770" s="254">
        <v>758</v>
      </c>
      <c r="U770" s="248">
        <f t="shared" si="78"/>
        <v>-0.25850000000000001</v>
      </c>
      <c r="V770" s="248">
        <f t="shared" si="79"/>
        <v>24.391499999999997</v>
      </c>
      <c r="W770" s="248">
        <f t="shared" si="80"/>
        <v>-20.259999999999991</v>
      </c>
      <c r="X770" s="248">
        <f t="shared" si="81"/>
        <v>3.8730000000000047</v>
      </c>
      <c r="Y770" s="248">
        <f t="shared" ca="1" si="77"/>
        <v>13.385727699892982</v>
      </c>
      <c r="Z770" s="248">
        <f t="shared" ca="1" si="82"/>
        <v>5.4128289443844801</v>
      </c>
      <c r="AA770" s="250">
        <f t="shared" ca="1" si="83"/>
        <v>541.28289443844801</v>
      </c>
    </row>
    <row r="771" spans="5:27" x14ac:dyDescent="0.3">
      <c r="E771" s="241"/>
      <c r="F771" s="241"/>
      <c r="T771" s="254">
        <v>759</v>
      </c>
      <c r="U771" s="248">
        <f t="shared" si="78"/>
        <v>0.74150000000000005</v>
      </c>
      <c r="V771" s="248">
        <f t="shared" si="79"/>
        <v>24.391499999999997</v>
      </c>
      <c r="W771" s="248">
        <f t="shared" si="80"/>
        <v>-21.259999999999991</v>
      </c>
      <c r="X771" s="248">
        <f t="shared" si="81"/>
        <v>3.8730000000000047</v>
      </c>
      <c r="Y771" s="248">
        <f t="shared" ca="1" si="77"/>
        <v>13.385727699892982</v>
      </c>
      <c r="Z771" s="248">
        <f t="shared" ca="1" si="82"/>
        <v>5.4128289443844801</v>
      </c>
      <c r="AA771" s="250">
        <f t="shared" ca="1" si="83"/>
        <v>541.28289443844801</v>
      </c>
    </row>
    <row r="772" spans="5:27" x14ac:dyDescent="0.3">
      <c r="E772" s="241"/>
      <c r="F772" s="241"/>
      <c r="T772" s="254">
        <v>760</v>
      </c>
      <c r="U772" s="248">
        <f t="shared" si="78"/>
        <v>1.7415</v>
      </c>
      <c r="V772" s="248">
        <f t="shared" si="79"/>
        <v>24.391499999999997</v>
      </c>
      <c r="W772" s="248">
        <f t="shared" si="80"/>
        <v>-22.259999999999991</v>
      </c>
      <c r="X772" s="248">
        <f t="shared" si="81"/>
        <v>3.8730000000000047</v>
      </c>
      <c r="Y772" s="248">
        <f t="shared" ca="1" si="77"/>
        <v>13.385727699892982</v>
      </c>
      <c r="Z772" s="248">
        <f t="shared" ca="1" si="82"/>
        <v>5.4128289443844801</v>
      </c>
      <c r="AA772" s="250">
        <f t="shared" ca="1" si="83"/>
        <v>541.28289443844801</v>
      </c>
    </row>
    <row r="773" spans="5:27" x14ac:dyDescent="0.3">
      <c r="E773" s="241"/>
      <c r="F773" s="241"/>
      <c r="T773" s="254">
        <v>761</v>
      </c>
      <c r="U773" s="248">
        <f t="shared" si="78"/>
        <v>2.7414999999999998</v>
      </c>
      <c r="V773" s="248">
        <f t="shared" si="79"/>
        <v>24.391499999999997</v>
      </c>
      <c r="W773" s="248">
        <f t="shared" si="80"/>
        <v>-23.259999999999991</v>
      </c>
      <c r="X773" s="248">
        <f t="shared" si="81"/>
        <v>3.8730000000000047</v>
      </c>
      <c r="Y773" s="248">
        <f t="shared" ca="1" si="77"/>
        <v>13.385727699892982</v>
      </c>
      <c r="Z773" s="248">
        <f t="shared" ca="1" si="82"/>
        <v>5.4128289443844801</v>
      </c>
      <c r="AA773" s="250">
        <f t="shared" ca="1" si="83"/>
        <v>541.28289443844801</v>
      </c>
    </row>
    <row r="774" spans="5:27" x14ac:dyDescent="0.3">
      <c r="E774" s="241"/>
      <c r="F774" s="241"/>
      <c r="T774" s="254">
        <v>762</v>
      </c>
      <c r="U774" s="248">
        <f t="shared" si="78"/>
        <v>3.7414999999999998</v>
      </c>
      <c r="V774" s="248">
        <f t="shared" si="79"/>
        <v>24.391499999999997</v>
      </c>
      <c r="W774" s="248">
        <f t="shared" si="80"/>
        <v>-24.259999999999991</v>
      </c>
      <c r="X774" s="248">
        <f t="shared" si="81"/>
        <v>3.8730000000000047</v>
      </c>
      <c r="Y774" s="248">
        <f t="shared" ca="1" si="77"/>
        <v>13.385727699892982</v>
      </c>
      <c r="Z774" s="248">
        <f t="shared" ca="1" si="82"/>
        <v>5.4128289443844801</v>
      </c>
      <c r="AA774" s="250">
        <f t="shared" ca="1" si="83"/>
        <v>541.28289443844801</v>
      </c>
    </row>
    <row r="775" spans="5:27" x14ac:dyDescent="0.3">
      <c r="E775" s="241"/>
      <c r="F775" s="241"/>
      <c r="T775" s="254">
        <v>763</v>
      </c>
      <c r="U775" s="248">
        <f t="shared" si="78"/>
        <v>4.7415000000000003</v>
      </c>
      <c r="V775" s="248">
        <f t="shared" si="79"/>
        <v>24.391499999999997</v>
      </c>
      <c r="W775" s="248">
        <f t="shared" si="80"/>
        <v>-25.259999999999991</v>
      </c>
      <c r="X775" s="248">
        <f t="shared" si="81"/>
        <v>3.8730000000000047</v>
      </c>
      <c r="Y775" s="248">
        <f t="shared" ca="1" si="77"/>
        <v>13.385727699892982</v>
      </c>
      <c r="Z775" s="248">
        <f t="shared" ca="1" si="82"/>
        <v>5.4128289443844801</v>
      </c>
      <c r="AA775" s="250">
        <f t="shared" ca="1" si="83"/>
        <v>541.28289443844801</v>
      </c>
    </row>
    <row r="776" spans="5:27" x14ac:dyDescent="0.3">
      <c r="E776" s="241"/>
      <c r="F776" s="241"/>
      <c r="T776" s="254">
        <v>764</v>
      </c>
      <c r="U776" s="248">
        <f t="shared" si="78"/>
        <v>5.7415000000000003</v>
      </c>
      <c r="V776" s="248">
        <f t="shared" si="79"/>
        <v>24.391499999999997</v>
      </c>
      <c r="W776" s="248">
        <f t="shared" si="80"/>
        <v>-26.259999999999991</v>
      </c>
      <c r="X776" s="248">
        <f t="shared" si="81"/>
        <v>3.8730000000000047</v>
      </c>
      <c r="Y776" s="248">
        <f t="shared" ca="1" si="77"/>
        <v>13.385727699892982</v>
      </c>
      <c r="Z776" s="248">
        <f t="shared" ca="1" si="82"/>
        <v>5.4128289443844801</v>
      </c>
      <c r="AA776" s="250">
        <f t="shared" ca="1" si="83"/>
        <v>541.28289443844801</v>
      </c>
    </row>
    <row r="777" spans="5:27" x14ac:dyDescent="0.3">
      <c r="E777" s="241"/>
      <c r="F777" s="241"/>
      <c r="T777" s="254">
        <v>765</v>
      </c>
      <c r="U777" s="248">
        <f t="shared" si="78"/>
        <v>6.7415000000000003</v>
      </c>
      <c r="V777" s="248">
        <f t="shared" si="79"/>
        <v>24.391499999999997</v>
      </c>
      <c r="W777" s="248">
        <f t="shared" si="80"/>
        <v>-27.259999999999991</v>
      </c>
      <c r="X777" s="248">
        <f t="shared" si="81"/>
        <v>3.8730000000000047</v>
      </c>
      <c r="Y777" s="248">
        <f t="shared" ca="1" si="77"/>
        <v>13.385727699892982</v>
      </c>
      <c r="Z777" s="248">
        <f t="shared" ca="1" si="82"/>
        <v>5.4128289443844801</v>
      </c>
      <c r="AA777" s="250">
        <f t="shared" ca="1" si="83"/>
        <v>541.28289443844801</v>
      </c>
    </row>
    <row r="778" spans="5:27" x14ac:dyDescent="0.3">
      <c r="E778" s="241"/>
      <c r="F778" s="241"/>
      <c r="T778" s="254">
        <v>766</v>
      </c>
      <c r="U778" s="248">
        <f t="shared" si="78"/>
        <v>7.7415000000000003</v>
      </c>
      <c r="V778" s="248">
        <f t="shared" si="79"/>
        <v>24.391499999999997</v>
      </c>
      <c r="W778" s="248">
        <f t="shared" si="80"/>
        <v>-28.259999999999991</v>
      </c>
      <c r="X778" s="248">
        <f t="shared" si="81"/>
        <v>3.8730000000000047</v>
      </c>
      <c r="Y778" s="248">
        <f t="shared" ca="1" si="77"/>
        <v>13.385727699892982</v>
      </c>
      <c r="Z778" s="248">
        <f t="shared" ca="1" si="82"/>
        <v>5.4128289443844801</v>
      </c>
      <c r="AA778" s="250">
        <f t="shared" ca="1" si="83"/>
        <v>541.28289443844801</v>
      </c>
    </row>
    <row r="779" spans="5:27" x14ac:dyDescent="0.3">
      <c r="E779" s="241"/>
      <c r="F779" s="241"/>
      <c r="T779" s="254">
        <v>767</v>
      </c>
      <c r="U779" s="248">
        <f t="shared" si="78"/>
        <v>8.7415000000000003</v>
      </c>
      <c r="V779" s="248">
        <f t="shared" si="79"/>
        <v>24.391499999999997</v>
      </c>
      <c r="W779" s="248">
        <f t="shared" si="80"/>
        <v>-29.259999999999991</v>
      </c>
      <c r="X779" s="248">
        <f t="shared" si="81"/>
        <v>3.8730000000000047</v>
      </c>
      <c r="Y779" s="248">
        <f t="shared" ca="1" si="77"/>
        <v>13.385727699892982</v>
      </c>
      <c r="Z779" s="248">
        <f t="shared" ca="1" si="82"/>
        <v>5.4128289443844801</v>
      </c>
      <c r="AA779" s="250">
        <f t="shared" ca="1" si="83"/>
        <v>541.28289443844801</v>
      </c>
    </row>
    <row r="780" spans="5:27" x14ac:dyDescent="0.3">
      <c r="E780" s="241"/>
      <c r="F780" s="241"/>
      <c r="T780" s="254">
        <v>768</v>
      </c>
      <c r="U780" s="248">
        <f t="shared" si="78"/>
        <v>9.7415000000000003</v>
      </c>
      <c r="V780" s="248">
        <f t="shared" si="79"/>
        <v>24.391499999999997</v>
      </c>
      <c r="W780" s="248">
        <f t="shared" si="80"/>
        <v>-30.259999999999991</v>
      </c>
      <c r="X780" s="248">
        <f t="shared" si="81"/>
        <v>3.8730000000000047</v>
      </c>
      <c r="Y780" s="248">
        <f t="shared" ref="Y780:Y843" ca="1" si="84">$Y$10*EXP($Y$7*$C$6)-$Y$10</f>
        <v>13.385727699892982</v>
      </c>
      <c r="Z780" s="248">
        <f t="shared" ca="1" si="82"/>
        <v>5.4128289443844801</v>
      </c>
      <c r="AA780" s="250">
        <f t="shared" ca="1" si="83"/>
        <v>541.28289443844801</v>
      </c>
    </row>
    <row r="781" spans="5:27" x14ac:dyDescent="0.3">
      <c r="E781" s="241"/>
      <c r="F781" s="241"/>
      <c r="T781" s="254">
        <v>769</v>
      </c>
      <c r="U781" s="248">
        <f t="shared" ref="U781:U844" si="85">MAX(0,T781-$U$9)-$U$10-$U$11/100</f>
        <v>10.7415</v>
      </c>
      <c r="V781" s="248">
        <f t="shared" ref="V781:V844" si="86">$V$10-MAX(0,$V$9-T781)-$V$11/100</f>
        <v>24.391499999999997</v>
      </c>
      <c r="W781" s="248">
        <f t="shared" ref="W781:W844" si="87">$W$10-T781</f>
        <v>-31.259999999999991</v>
      </c>
      <c r="X781" s="248">
        <f t="shared" ref="X781:X844" si="88">SUM(U781:W781)</f>
        <v>3.8730000000000047</v>
      </c>
      <c r="Y781" s="248">
        <f t="shared" ca="1" si="84"/>
        <v>13.385727699892982</v>
      </c>
      <c r="Z781" s="248">
        <f t="shared" ref="Z781:Z844" ca="1" si="89">EXP(-$E$3*$C$6)*SUM(X781:Y781)</f>
        <v>5.4128289443844801</v>
      </c>
      <c r="AA781" s="250">
        <f t="shared" ref="AA781:AA844" ca="1" si="90">Z781*100</f>
        <v>541.28289443844801</v>
      </c>
    </row>
    <row r="782" spans="5:27" x14ac:dyDescent="0.3">
      <c r="E782" s="241"/>
      <c r="F782" s="241"/>
      <c r="T782" s="254">
        <v>770</v>
      </c>
      <c r="U782" s="248">
        <f t="shared" si="85"/>
        <v>11.7415</v>
      </c>
      <c r="V782" s="248">
        <f t="shared" si="86"/>
        <v>24.391499999999997</v>
      </c>
      <c r="W782" s="248">
        <f t="shared" si="87"/>
        <v>-32.259999999999991</v>
      </c>
      <c r="X782" s="248">
        <f t="shared" si="88"/>
        <v>3.8730000000000047</v>
      </c>
      <c r="Y782" s="248">
        <f t="shared" ca="1" si="84"/>
        <v>13.385727699892982</v>
      </c>
      <c r="Z782" s="248">
        <f t="shared" ca="1" si="89"/>
        <v>5.4128289443844801</v>
      </c>
      <c r="AA782" s="250">
        <f t="shared" ca="1" si="90"/>
        <v>541.28289443844801</v>
      </c>
    </row>
    <row r="783" spans="5:27" x14ac:dyDescent="0.3">
      <c r="E783" s="241"/>
      <c r="F783" s="241"/>
      <c r="T783" s="254">
        <v>771</v>
      </c>
      <c r="U783" s="248">
        <f t="shared" si="85"/>
        <v>12.7415</v>
      </c>
      <c r="V783" s="248">
        <f t="shared" si="86"/>
        <v>24.391499999999997</v>
      </c>
      <c r="W783" s="248">
        <f t="shared" si="87"/>
        <v>-33.259999999999991</v>
      </c>
      <c r="X783" s="248">
        <f t="shared" si="88"/>
        <v>3.8730000000000047</v>
      </c>
      <c r="Y783" s="248">
        <f t="shared" ca="1" si="84"/>
        <v>13.385727699892982</v>
      </c>
      <c r="Z783" s="248">
        <f t="shared" ca="1" si="89"/>
        <v>5.4128289443844801</v>
      </c>
      <c r="AA783" s="250">
        <f t="shared" ca="1" si="90"/>
        <v>541.28289443844801</v>
      </c>
    </row>
    <row r="784" spans="5:27" x14ac:dyDescent="0.3">
      <c r="E784" s="241"/>
      <c r="F784" s="241"/>
      <c r="T784" s="254">
        <v>772</v>
      </c>
      <c r="U784" s="248">
        <f t="shared" si="85"/>
        <v>13.7415</v>
      </c>
      <c r="V784" s="248">
        <f t="shared" si="86"/>
        <v>24.391499999999997</v>
      </c>
      <c r="W784" s="248">
        <f t="shared" si="87"/>
        <v>-34.259999999999991</v>
      </c>
      <c r="X784" s="248">
        <f t="shared" si="88"/>
        <v>3.8730000000000047</v>
      </c>
      <c r="Y784" s="248">
        <f t="shared" ca="1" si="84"/>
        <v>13.385727699892982</v>
      </c>
      <c r="Z784" s="248">
        <f t="shared" ca="1" si="89"/>
        <v>5.4128289443844801</v>
      </c>
      <c r="AA784" s="250">
        <f t="shared" ca="1" si="90"/>
        <v>541.28289443844801</v>
      </c>
    </row>
    <row r="785" spans="5:27" x14ac:dyDescent="0.3">
      <c r="E785" s="241"/>
      <c r="F785" s="241"/>
      <c r="T785" s="254">
        <v>773</v>
      </c>
      <c r="U785" s="248">
        <f t="shared" si="85"/>
        <v>14.7415</v>
      </c>
      <c r="V785" s="248">
        <f t="shared" si="86"/>
        <v>24.391499999999997</v>
      </c>
      <c r="W785" s="248">
        <f t="shared" si="87"/>
        <v>-35.259999999999991</v>
      </c>
      <c r="X785" s="248">
        <f t="shared" si="88"/>
        <v>3.8730000000000047</v>
      </c>
      <c r="Y785" s="248">
        <f t="shared" ca="1" si="84"/>
        <v>13.385727699892982</v>
      </c>
      <c r="Z785" s="248">
        <f t="shared" ca="1" si="89"/>
        <v>5.4128289443844801</v>
      </c>
      <c r="AA785" s="250">
        <f t="shared" ca="1" si="90"/>
        <v>541.28289443844801</v>
      </c>
    </row>
    <row r="786" spans="5:27" x14ac:dyDescent="0.3">
      <c r="E786" s="241"/>
      <c r="F786" s="241"/>
      <c r="T786" s="254">
        <v>774</v>
      </c>
      <c r="U786" s="248">
        <f t="shared" si="85"/>
        <v>15.7415</v>
      </c>
      <c r="V786" s="248">
        <f t="shared" si="86"/>
        <v>24.391499999999997</v>
      </c>
      <c r="W786" s="248">
        <f t="shared" si="87"/>
        <v>-36.259999999999991</v>
      </c>
      <c r="X786" s="248">
        <f t="shared" si="88"/>
        <v>3.8730000000000047</v>
      </c>
      <c r="Y786" s="248">
        <f t="shared" ca="1" si="84"/>
        <v>13.385727699892982</v>
      </c>
      <c r="Z786" s="248">
        <f t="shared" ca="1" si="89"/>
        <v>5.4128289443844801</v>
      </c>
      <c r="AA786" s="250">
        <f t="shared" ca="1" si="90"/>
        <v>541.28289443844801</v>
      </c>
    </row>
    <row r="787" spans="5:27" x14ac:dyDescent="0.3">
      <c r="E787" s="241"/>
      <c r="F787" s="241"/>
      <c r="T787" s="254">
        <v>775</v>
      </c>
      <c r="U787" s="248">
        <f t="shared" si="85"/>
        <v>16.741499999999998</v>
      </c>
      <c r="V787" s="248">
        <f t="shared" si="86"/>
        <v>24.391499999999997</v>
      </c>
      <c r="W787" s="248">
        <f t="shared" si="87"/>
        <v>-37.259999999999991</v>
      </c>
      <c r="X787" s="248">
        <f t="shared" si="88"/>
        <v>3.8730000000000047</v>
      </c>
      <c r="Y787" s="248">
        <f t="shared" ca="1" si="84"/>
        <v>13.385727699892982</v>
      </c>
      <c r="Z787" s="248">
        <f t="shared" ca="1" si="89"/>
        <v>5.4128289443844801</v>
      </c>
      <c r="AA787" s="250">
        <f t="shared" ca="1" si="90"/>
        <v>541.28289443844801</v>
      </c>
    </row>
    <row r="788" spans="5:27" x14ac:dyDescent="0.3">
      <c r="E788" s="241"/>
      <c r="F788" s="241"/>
      <c r="T788" s="254">
        <v>776</v>
      </c>
      <c r="U788" s="248">
        <f t="shared" si="85"/>
        <v>17.741499999999998</v>
      </c>
      <c r="V788" s="248">
        <f t="shared" si="86"/>
        <v>24.391499999999997</v>
      </c>
      <c r="W788" s="248">
        <f t="shared" si="87"/>
        <v>-38.259999999999991</v>
      </c>
      <c r="X788" s="248">
        <f t="shared" si="88"/>
        <v>3.8730000000000047</v>
      </c>
      <c r="Y788" s="248">
        <f t="shared" ca="1" si="84"/>
        <v>13.385727699892982</v>
      </c>
      <c r="Z788" s="248">
        <f t="shared" ca="1" si="89"/>
        <v>5.4128289443844801</v>
      </c>
      <c r="AA788" s="250">
        <f t="shared" ca="1" si="90"/>
        <v>541.28289443844801</v>
      </c>
    </row>
    <row r="789" spans="5:27" x14ac:dyDescent="0.3">
      <c r="E789" s="241"/>
      <c r="F789" s="241"/>
      <c r="T789" s="254">
        <v>777</v>
      </c>
      <c r="U789" s="248">
        <f t="shared" si="85"/>
        <v>18.741499999999998</v>
      </c>
      <c r="V789" s="248">
        <f t="shared" si="86"/>
        <v>24.391499999999997</v>
      </c>
      <c r="W789" s="248">
        <f t="shared" si="87"/>
        <v>-39.259999999999991</v>
      </c>
      <c r="X789" s="248">
        <f t="shared" si="88"/>
        <v>3.8730000000000047</v>
      </c>
      <c r="Y789" s="248">
        <f t="shared" ca="1" si="84"/>
        <v>13.385727699892982</v>
      </c>
      <c r="Z789" s="248">
        <f t="shared" ca="1" si="89"/>
        <v>5.4128289443844801</v>
      </c>
      <c r="AA789" s="250">
        <f t="shared" ca="1" si="90"/>
        <v>541.28289443844801</v>
      </c>
    </row>
    <row r="790" spans="5:27" x14ac:dyDescent="0.3">
      <c r="E790" s="241"/>
      <c r="F790" s="241"/>
      <c r="T790" s="254">
        <v>778</v>
      </c>
      <c r="U790" s="248">
        <f t="shared" si="85"/>
        <v>19.741499999999998</v>
      </c>
      <c r="V790" s="248">
        <f t="shared" si="86"/>
        <v>24.391499999999997</v>
      </c>
      <c r="W790" s="248">
        <f t="shared" si="87"/>
        <v>-40.259999999999991</v>
      </c>
      <c r="X790" s="248">
        <f t="shared" si="88"/>
        <v>3.8730000000000047</v>
      </c>
      <c r="Y790" s="248">
        <f t="shared" ca="1" si="84"/>
        <v>13.385727699892982</v>
      </c>
      <c r="Z790" s="248">
        <f t="shared" ca="1" si="89"/>
        <v>5.4128289443844801</v>
      </c>
      <c r="AA790" s="250">
        <f t="shared" ca="1" si="90"/>
        <v>541.28289443844801</v>
      </c>
    </row>
    <row r="791" spans="5:27" x14ac:dyDescent="0.3">
      <c r="E791" s="241"/>
      <c r="F791" s="241"/>
      <c r="T791" s="254">
        <v>779</v>
      </c>
      <c r="U791" s="248">
        <f t="shared" si="85"/>
        <v>20.741499999999998</v>
      </c>
      <c r="V791" s="248">
        <f t="shared" si="86"/>
        <v>24.391499999999997</v>
      </c>
      <c r="W791" s="248">
        <f t="shared" si="87"/>
        <v>-41.259999999999991</v>
      </c>
      <c r="X791" s="248">
        <f t="shared" si="88"/>
        <v>3.8730000000000047</v>
      </c>
      <c r="Y791" s="248">
        <f t="shared" ca="1" si="84"/>
        <v>13.385727699892982</v>
      </c>
      <c r="Z791" s="248">
        <f t="shared" ca="1" si="89"/>
        <v>5.4128289443844801</v>
      </c>
      <c r="AA791" s="250">
        <f t="shared" ca="1" si="90"/>
        <v>541.28289443844801</v>
      </c>
    </row>
    <row r="792" spans="5:27" x14ac:dyDescent="0.3">
      <c r="E792" s="241"/>
      <c r="F792" s="241"/>
      <c r="T792" s="254">
        <v>780</v>
      </c>
      <c r="U792" s="248">
        <f t="shared" si="85"/>
        <v>21.741499999999998</v>
      </c>
      <c r="V792" s="248">
        <f t="shared" si="86"/>
        <v>24.391499999999997</v>
      </c>
      <c r="W792" s="248">
        <f t="shared" si="87"/>
        <v>-42.259999999999991</v>
      </c>
      <c r="X792" s="248">
        <f t="shared" si="88"/>
        <v>3.8730000000000047</v>
      </c>
      <c r="Y792" s="248">
        <f t="shared" ca="1" si="84"/>
        <v>13.385727699892982</v>
      </c>
      <c r="Z792" s="248">
        <f t="shared" ca="1" si="89"/>
        <v>5.4128289443844801</v>
      </c>
      <c r="AA792" s="250">
        <f t="shared" ca="1" si="90"/>
        <v>541.28289443844801</v>
      </c>
    </row>
    <row r="793" spans="5:27" x14ac:dyDescent="0.3">
      <c r="E793" s="241"/>
      <c r="F793" s="241"/>
      <c r="T793" s="254">
        <v>781</v>
      </c>
      <c r="U793" s="248">
        <f t="shared" si="85"/>
        <v>22.741499999999998</v>
      </c>
      <c r="V793" s="248">
        <f t="shared" si="86"/>
        <v>24.391499999999997</v>
      </c>
      <c r="W793" s="248">
        <f t="shared" si="87"/>
        <v>-43.259999999999991</v>
      </c>
      <c r="X793" s="248">
        <f t="shared" si="88"/>
        <v>3.8730000000000047</v>
      </c>
      <c r="Y793" s="248">
        <f t="shared" ca="1" si="84"/>
        <v>13.385727699892982</v>
      </c>
      <c r="Z793" s="248">
        <f t="shared" ca="1" si="89"/>
        <v>5.4128289443844801</v>
      </c>
      <c r="AA793" s="250">
        <f t="shared" ca="1" si="90"/>
        <v>541.28289443844801</v>
      </c>
    </row>
    <row r="794" spans="5:27" x14ac:dyDescent="0.3">
      <c r="E794" s="241"/>
      <c r="F794" s="241"/>
      <c r="T794" s="254">
        <v>782</v>
      </c>
      <c r="U794" s="248">
        <f t="shared" si="85"/>
        <v>23.741499999999998</v>
      </c>
      <c r="V794" s="248">
        <f t="shared" si="86"/>
        <v>24.391499999999997</v>
      </c>
      <c r="W794" s="248">
        <f t="shared" si="87"/>
        <v>-44.259999999999991</v>
      </c>
      <c r="X794" s="248">
        <f t="shared" si="88"/>
        <v>3.8730000000000047</v>
      </c>
      <c r="Y794" s="248">
        <f t="shared" ca="1" si="84"/>
        <v>13.385727699892982</v>
      </c>
      <c r="Z794" s="248">
        <f t="shared" ca="1" si="89"/>
        <v>5.4128289443844801</v>
      </c>
      <c r="AA794" s="250">
        <f t="shared" ca="1" si="90"/>
        <v>541.28289443844801</v>
      </c>
    </row>
    <row r="795" spans="5:27" x14ac:dyDescent="0.3">
      <c r="E795" s="241"/>
      <c r="F795" s="241"/>
      <c r="T795" s="254">
        <v>783</v>
      </c>
      <c r="U795" s="248">
        <f t="shared" si="85"/>
        <v>24.741499999999998</v>
      </c>
      <c r="V795" s="248">
        <f t="shared" si="86"/>
        <v>24.391499999999997</v>
      </c>
      <c r="W795" s="248">
        <f t="shared" si="87"/>
        <v>-45.259999999999991</v>
      </c>
      <c r="X795" s="248">
        <f t="shared" si="88"/>
        <v>3.8730000000000047</v>
      </c>
      <c r="Y795" s="248">
        <f t="shared" ca="1" si="84"/>
        <v>13.385727699892982</v>
      </c>
      <c r="Z795" s="248">
        <f t="shared" ca="1" si="89"/>
        <v>5.4128289443844801</v>
      </c>
      <c r="AA795" s="250">
        <f t="shared" ca="1" si="90"/>
        <v>541.28289443844801</v>
      </c>
    </row>
    <row r="796" spans="5:27" x14ac:dyDescent="0.3">
      <c r="E796" s="241"/>
      <c r="F796" s="241"/>
      <c r="T796" s="254">
        <v>784</v>
      </c>
      <c r="U796" s="248">
        <f t="shared" si="85"/>
        <v>25.741499999999998</v>
      </c>
      <c r="V796" s="248">
        <f t="shared" si="86"/>
        <v>24.391499999999997</v>
      </c>
      <c r="W796" s="248">
        <f t="shared" si="87"/>
        <v>-46.259999999999991</v>
      </c>
      <c r="X796" s="248">
        <f t="shared" si="88"/>
        <v>3.8730000000000047</v>
      </c>
      <c r="Y796" s="248">
        <f t="shared" ca="1" si="84"/>
        <v>13.385727699892982</v>
      </c>
      <c r="Z796" s="248">
        <f t="shared" ca="1" si="89"/>
        <v>5.4128289443844801</v>
      </c>
      <c r="AA796" s="250">
        <f t="shared" ca="1" si="90"/>
        <v>541.28289443844801</v>
      </c>
    </row>
    <row r="797" spans="5:27" x14ac:dyDescent="0.3">
      <c r="E797" s="241"/>
      <c r="F797" s="241"/>
      <c r="T797" s="254">
        <v>785</v>
      </c>
      <c r="U797" s="248">
        <f t="shared" si="85"/>
        <v>26.741499999999998</v>
      </c>
      <c r="V797" s="248">
        <f t="shared" si="86"/>
        <v>24.391499999999997</v>
      </c>
      <c r="W797" s="248">
        <f t="shared" si="87"/>
        <v>-47.259999999999991</v>
      </c>
      <c r="X797" s="248">
        <f t="shared" si="88"/>
        <v>3.8730000000000047</v>
      </c>
      <c r="Y797" s="248">
        <f t="shared" ca="1" si="84"/>
        <v>13.385727699892982</v>
      </c>
      <c r="Z797" s="248">
        <f t="shared" ca="1" si="89"/>
        <v>5.4128289443844801</v>
      </c>
      <c r="AA797" s="250">
        <f t="shared" ca="1" si="90"/>
        <v>541.28289443844801</v>
      </c>
    </row>
    <row r="798" spans="5:27" x14ac:dyDescent="0.3">
      <c r="E798" s="241"/>
      <c r="F798" s="241"/>
      <c r="T798" s="254">
        <v>786</v>
      </c>
      <c r="U798" s="248">
        <f t="shared" si="85"/>
        <v>27.741499999999998</v>
      </c>
      <c r="V798" s="248">
        <f t="shared" si="86"/>
        <v>24.391499999999997</v>
      </c>
      <c r="W798" s="248">
        <f t="shared" si="87"/>
        <v>-48.259999999999991</v>
      </c>
      <c r="X798" s="248">
        <f t="shared" si="88"/>
        <v>3.8730000000000047</v>
      </c>
      <c r="Y798" s="248">
        <f t="shared" ca="1" si="84"/>
        <v>13.385727699892982</v>
      </c>
      <c r="Z798" s="248">
        <f t="shared" ca="1" si="89"/>
        <v>5.4128289443844801</v>
      </c>
      <c r="AA798" s="250">
        <f t="shared" ca="1" si="90"/>
        <v>541.28289443844801</v>
      </c>
    </row>
    <row r="799" spans="5:27" x14ac:dyDescent="0.3">
      <c r="E799" s="241"/>
      <c r="F799" s="241"/>
      <c r="T799" s="254">
        <v>787</v>
      </c>
      <c r="U799" s="248">
        <f t="shared" si="85"/>
        <v>28.741499999999998</v>
      </c>
      <c r="V799" s="248">
        <f t="shared" si="86"/>
        <v>24.391499999999997</v>
      </c>
      <c r="W799" s="248">
        <f t="shared" si="87"/>
        <v>-49.259999999999991</v>
      </c>
      <c r="X799" s="248">
        <f t="shared" si="88"/>
        <v>3.8730000000000047</v>
      </c>
      <c r="Y799" s="248">
        <f t="shared" ca="1" si="84"/>
        <v>13.385727699892982</v>
      </c>
      <c r="Z799" s="248">
        <f t="shared" ca="1" si="89"/>
        <v>5.4128289443844801</v>
      </c>
      <c r="AA799" s="250">
        <f t="shared" ca="1" si="90"/>
        <v>541.28289443844801</v>
      </c>
    </row>
    <row r="800" spans="5:27" x14ac:dyDescent="0.3">
      <c r="E800" s="241"/>
      <c r="F800" s="241"/>
      <c r="T800" s="254">
        <v>788</v>
      </c>
      <c r="U800" s="248">
        <f t="shared" si="85"/>
        <v>29.741499999999998</v>
      </c>
      <c r="V800" s="248">
        <f t="shared" si="86"/>
        <v>24.391499999999997</v>
      </c>
      <c r="W800" s="248">
        <f t="shared" si="87"/>
        <v>-50.259999999999991</v>
      </c>
      <c r="X800" s="248">
        <f t="shared" si="88"/>
        <v>3.8730000000000047</v>
      </c>
      <c r="Y800" s="248">
        <f t="shared" ca="1" si="84"/>
        <v>13.385727699892982</v>
      </c>
      <c r="Z800" s="248">
        <f t="shared" ca="1" si="89"/>
        <v>5.4128289443844801</v>
      </c>
      <c r="AA800" s="250">
        <f t="shared" ca="1" si="90"/>
        <v>541.28289443844801</v>
      </c>
    </row>
    <row r="801" spans="5:27" x14ac:dyDescent="0.3">
      <c r="E801" s="241"/>
      <c r="F801" s="241"/>
      <c r="T801" s="254">
        <v>789</v>
      </c>
      <c r="U801" s="248">
        <f t="shared" si="85"/>
        <v>30.741499999999998</v>
      </c>
      <c r="V801" s="248">
        <f t="shared" si="86"/>
        <v>24.391499999999997</v>
      </c>
      <c r="W801" s="248">
        <f t="shared" si="87"/>
        <v>-51.259999999999991</v>
      </c>
      <c r="X801" s="248">
        <f t="shared" si="88"/>
        <v>3.8730000000000047</v>
      </c>
      <c r="Y801" s="248">
        <f t="shared" ca="1" si="84"/>
        <v>13.385727699892982</v>
      </c>
      <c r="Z801" s="248">
        <f t="shared" ca="1" si="89"/>
        <v>5.4128289443844801</v>
      </c>
      <c r="AA801" s="250">
        <f t="shared" ca="1" si="90"/>
        <v>541.28289443844801</v>
      </c>
    </row>
    <row r="802" spans="5:27" x14ac:dyDescent="0.3">
      <c r="E802" s="241"/>
      <c r="F802" s="241"/>
      <c r="T802" s="254">
        <v>790</v>
      </c>
      <c r="U802" s="248">
        <f t="shared" si="85"/>
        <v>31.741499999999998</v>
      </c>
      <c r="V802" s="248">
        <f t="shared" si="86"/>
        <v>24.391499999999997</v>
      </c>
      <c r="W802" s="248">
        <f t="shared" si="87"/>
        <v>-52.259999999999991</v>
      </c>
      <c r="X802" s="248">
        <f t="shared" si="88"/>
        <v>3.8730000000000047</v>
      </c>
      <c r="Y802" s="248">
        <f t="shared" ca="1" si="84"/>
        <v>13.385727699892982</v>
      </c>
      <c r="Z802" s="248">
        <f t="shared" ca="1" si="89"/>
        <v>5.4128289443844801</v>
      </c>
      <c r="AA802" s="250">
        <f t="shared" ca="1" si="90"/>
        <v>541.28289443844801</v>
      </c>
    </row>
    <row r="803" spans="5:27" x14ac:dyDescent="0.3">
      <c r="E803" s="241"/>
      <c r="F803" s="241"/>
      <c r="T803" s="254">
        <v>791</v>
      </c>
      <c r="U803" s="248">
        <f t="shared" si="85"/>
        <v>32.741500000000002</v>
      </c>
      <c r="V803" s="248">
        <f t="shared" si="86"/>
        <v>24.391499999999997</v>
      </c>
      <c r="W803" s="248">
        <f t="shared" si="87"/>
        <v>-53.259999999999991</v>
      </c>
      <c r="X803" s="248">
        <f t="shared" si="88"/>
        <v>3.8730000000000047</v>
      </c>
      <c r="Y803" s="248">
        <f t="shared" ca="1" si="84"/>
        <v>13.385727699892982</v>
      </c>
      <c r="Z803" s="248">
        <f t="shared" ca="1" si="89"/>
        <v>5.4128289443844801</v>
      </c>
      <c r="AA803" s="250">
        <f t="shared" ca="1" si="90"/>
        <v>541.28289443844801</v>
      </c>
    </row>
    <row r="804" spans="5:27" x14ac:dyDescent="0.3">
      <c r="E804" s="241"/>
      <c r="F804" s="241"/>
      <c r="T804" s="254">
        <v>792</v>
      </c>
      <c r="U804" s="248">
        <f t="shared" si="85"/>
        <v>33.741500000000002</v>
      </c>
      <c r="V804" s="248">
        <f t="shared" si="86"/>
        <v>24.391499999999997</v>
      </c>
      <c r="W804" s="248">
        <f t="shared" si="87"/>
        <v>-54.259999999999991</v>
      </c>
      <c r="X804" s="248">
        <f t="shared" si="88"/>
        <v>3.8730000000000047</v>
      </c>
      <c r="Y804" s="248">
        <f t="shared" ca="1" si="84"/>
        <v>13.385727699892982</v>
      </c>
      <c r="Z804" s="248">
        <f t="shared" ca="1" si="89"/>
        <v>5.4128289443844801</v>
      </c>
      <c r="AA804" s="250">
        <f t="shared" ca="1" si="90"/>
        <v>541.28289443844801</v>
      </c>
    </row>
    <row r="805" spans="5:27" x14ac:dyDescent="0.3">
      <c r="E805" s="241"/>
      <c r="F805" s="241"/>
      <c r="T805" s="254">
        <v>793</v>
      </c>
      <c r="U805" s="248">
        <f t="shared" si="85"/>
        <v>34.741500000000002</v>
      </c>
      <c r="V805" s="248">
        <f t="shared" si="86"/>
        <v>24.391499999999997</v>
      </c>
      <c r="W805" s="248">
        <f t="shared" si="87"/>
        <v>-55.259999999999991</v>
      </c>
      <c r="X805" s="248">
        <f t="shared" si="88"/>
        <v>3.8730000000000047</v>
      </c>
      <c r="Y805" s="248">
        <f t="shared" ca="1" si="84"/>
        <v>13.385727699892982</v>
      </c>
      <c r="Z805" s="248">
        <f t="shared" ca="1" si="89"/>
        <v>5.4128289443844801</v>
      </c>
      <c r="AA805" s="250">
        <f t="shared" ca="1" si="90"/>
        <v>541.28289443844801</v>
      </c>
    </row>
    <row r="806" spans="5:27" x14ac:dyDescent="0.3">
      <c r="E806" s="241"/>
      <c r="F806" s="241"/>
      <c r="T806" s="254">
        <v>794</v>
      </c>
      <c r="U806" s="248">
        <f t="shared" si="85"/>
        <v>35.741500000000002</v>
      </c>
      <c r="V806" s="248">
        <f t="shared" si="86"/>
        <v>24.391499999999997</v>
      </c>
      <c r="W806" s="248">
        <f t="shared" si="87"/>
        <v>-56.259999999999991</v>
      </c>
      <c r="X806" s="248">
        <f t="shared" si="88"/>
        <v>3.8730000000000047</v>
      </c>
      <c r="Y806" s="248">
        <f t="shared" ca="1" si="84"/>
        <v>13.385727699892982</v>
      </c>
      <c r="Z806" s="248">
        <f t="shared" ca="1" si="89"/>
        <v>5.4128289443844801</v>
      </c>
      <c r="AA806" s="250">
        <f t="shared" ca="1" si="90"/>
        <v>541.28289443844801</v>
      </c>
    </row>
    <row r="807" spans="5:27" x14ac:dyDescent="0.3">
      <c r="E807" s="241"/>
      <c r="F807" s="241"/>
      <c r="T807" s="254">
        <v>795</v>
      </c>
      <c r="U807" s="248">
        <f t="shared" si="85"/>
        <v>36.741500000000002</v>
      </c>
      <c r="V807" s="248">
        <f t="shared" si="86"/>
        <v>24.391499999999997</v>
      </c>
      <c r="W807" s="248">
        <f t="shared" si="87"/>
        <v>-57.259999999999991</v>
      </c>
      <c r="X807" s="248">
        <f t="shared" si="88"/>
        <v>3.8730000000000047</v>
      </c>
      <c r="Y807" s="248">
        <f t="shared" ca="1" si="84"/>
        <v>13.385727699892982</v>
      </c>
      <c r="Z807" s="248">
        <f t="shared" ca="1" si="89"/>
        <v>5.4128289443844801</v>
      </c>
      <c r="AA807" s="250">
        <f t="shared" ca="1" si="90"/>
        <v>541.28289443844801</v>
      </c>
    </row>
    <row r="808" spans="5:27" x14ac:dyDescent="0.3">
      <c r="E808" s="241"/>
      <c r="F808" s="241"/>
      <c r="T808" s="254">
        <v>796</v>
      </c>
      <c r="U808" s="248">
        <f t="shared" si="85"/>
        <v>37.741500000000002</v>
      </c>
      <c r="V808" s="248">
        <f t="shared" si="86"/>
        <v>24.391499999999997</v>
      </c>
      <c r="W808" s="248">
        <f t="shared" si="87"/>
        <v>-58.259999999999991</v>
      </c>
      <c r="X808" s="248">
        <f t="shared" si="88"/>
        <v>3.8730000000000047</v>
      </c>
      <c r="Y808" s="248">
        <f t="shared" ca="1" si="84"/>
        <v>13.385727699892982</v>
      </c>
      <c r="Z808" s="248">
        <f t="shared" ca="1" si="89"/>
        <v>5.4128289443844801</v>
      </c>
      <c r="AA808" s="250">
        <f t="shared" ca="1" si="90"/>
        <v>541.28289443844801</v>
      </c>
    </row>
    <row r="809" spans="5:27" x14ac:dyDescent="0.3">
      <c r="E809" s="241"/>
      <c r="F809" s="241"/>
      <c r="T809" s="254">
        <v>797</v>
      </c>
      <c r="U809" s="248">
        <f t="shared" si="85"/>
        <v>38.741500000000002</v>
      </c>
      <c r="V809" s="248">
        <f t="shared" si="86"/>
        <v>24.391499999999997</v>
      </c>
      <c r="W809" s="248">
        <f t="shared" si="87"/>
        <v>-59.259999999999991</v>
      </c>
      <c r="X809" s="248">
        <f t="shared" si="88"/>
        <v>3.8730000000000047</v>
      </c>
      <c r="Y809" s="248">
        <f t="shared" ca="1" si="84"/>
        <v>13.385727699892982</v>
      </c>
      <c r="Z809" s="248">
        <f t="shared" ca="1" si="89"/>
        <v>5.4128289443844801</v>
      </c>
      <c r="AA809" s="250">
        <f t="shared" ca="1" si="90"/>
        <v>541.28289443844801</v>
      </c>
    </row>
    <row r="810" spans="5:27" x14ac:dyDescent="0.3">
      <c r="E810" s="241"/>
      <c r="F810" s="241"/>
      <c r="T810" s="254">
        <v>798</v>
      </c>
      <c r="U810" s="248">
        <f t="shared" si="85"/>
        <v>39.741500000000002</v>
      </c>
      <c r="V810" s="248">
        <f t="shared" si="86"/>
        <v>24.391499999999997</v>
      </c>
      <c r="W810" s="248">
        <f t="shared" si="87"/>
        <v>-60.259999999999991</v>
      </c>
      <c r="X810" s="248">
        <f t="shared" si="88"/>
        <v>3.8730000000000047</v>
      </c>
      <c r="Y810" s="248">
        <f t="shared" ca="1" si="84"/>
        <v>13.385727699892982</v>
      </c>
      <c r="Z810" s="248">
        <f t="shared" ca="1" si="89"/>
        <v>5.4128289443844801</v>
      </c>
      <c r="AA810" s="250">
        <f t="shared" ca="1" si="90"/>
        <v>541.28289443844801</v>
      </c>
    </row>
    <row r="811" spans="5:27" x14ac:dyDescent="0.3">
      <c r="E811" s="241"/>
      <c r="F811" s="241"/>
      <c r="T811" s="254">
        <v>799</v>
      </c>
      <c r="U811" s="248">
        <f t="shared" si="85"/>
        <v>40.741500000000002</v>
      </c>
      <c r="V811" s="248">
        <f t="shared" si="86"/>
        <v>24.391499999999997</v>
      </c>
      <c r="W811" s="248">
        <f t="shared" si="87"/>
        <v>-61.259999999999991</v>
      </c>
      <c r="X811" s="248">
        <f t="shared" si="88"/>
        <v>3.8730000000000047</v>
      </c>
      <c r="Y811" s="248">
        <f t="shared" ca="1" si="84"/>
        <v>13.385727699892982</v>
      </c>
      <c r="Z811" s="248">
        <f t="shared" ca="1" si="89"/>
        <v>5.4128289443844801</v>
      </c>
      <c r="AA811" s="250">
        <f t="shared" ca="1" si="90"/>
        <v>541.28289443844801</v>
      </c>
    </row>
    <row r="812" spans="5:27" x14ac:dyDescent="0.3">
      <c r="E812" s="241"/>
      <c r="F812" s="241"/>
      <c r="T812" s="254">
        <v>800</v>
      </c>
      <c r="U812" s="248">
        <f t="shared" si="85"/>
        <v>41.741500000000002</v>
      </c>
      <c r="V812" s="248">
        <f t="shared" si="86"/>
        <v>24.391499999999997</v>
      </c>
      <c r="W812" s="248">
        <f t="shared" si="87"/>
        <v>-62.259999999999991</v>
      </c>
      <c r="X812" s="248">
        <f t="shared" si="88"/>
        <v>3.8730000000000047</v>
      </c>
      <c r="Y812" s="248">
        <f t="shared" ca="1" si="84"/>
        <v>13.385727699892982</v>
      </c>
      <c r="Z812" s="248">
        <f t="shared" ca="1" si="89"/>
        <v>5.4128289443844801</v>
      </c>
      <c r="AA812" s="250">
        <f t="shared" ca="1" si="90"/>
        <v>541.28289443844801</v>
      </c>
    </row>
    <row r="813" spans="5:27" x14ac:dyDescent="0.3">
      <c r="E813" s="241"/>
      <c r="F813" s="241"/>
      <c r="T813" s="254">
        <v>801</v>
      </c>
      <c r="U813" s="248">
        <f t="shared" si="85"/>
        <v>42.741500000000002</v>
      </c>
      <c r="V813" s="248">
        <f t="shared" si="86"/>
        <v>24.391499999999997</v>
      </c>
      <c r="W813" s="248">
        <f t="shared" si="87"/>
        <v>-63.259999999999991</v>
      </c>
      <c r="X813" s="248">
        <f t="shared" si="88"/>
        <v>3.8730000000000047</v>
      </c>
      <c r="Y813" s="248">
        <f t="shared" ca="1" si="84"/>
        <v>13.385727699892982</v>
      </c>
      <c r="Z813" s="248">
        <f t="shared" ca="1" si="89"/>
        <v>5.4128289443844801</v>
      </c>
      <c r="AA813" s="250">
        <f t="shared" ca="1" si="90"/>
        <v>541.28289443844801</v>
      </c>
    </row>
    <row r="814" spans="5:27" x14ac:dyDescent="0.3">
      <c r="E814" s="241"/>
      <c r="F814" s="241"/>
      <c r="T814" s="254">
        <v>802</v>
      </c>
      <c r="U814" s="248">
        <f t="shared" si="85"/>
        <v>43.741500000000002</v>
      </c>
      <c r="V814" s="248">
        <f t="shared" si="86"/>
        <v>24.391499999999997</v>
      </c>
      <c r="W814" s="248">
        <f t="shared" si="87"/>
        <v>-64.259999999999991</v>
      </c>
      <c r="X814" s="248">
        <f t="shared" si="88"/>
        <v>3.8730000000000047</v>
      </c>
      <c r="Y814" s="248">
        <f t="shared" ca="1" si="84"/>
        <v>13.385727699892982</v>
      </c>
      <c r="Z814" s="248">
        <f t="shared" ca="1" si="89"/>
        <v>5.4128289443844801</v>
      </c>
      <c r="AA814" s="250">
        <f t="shared" ca="1" si="90"/>
        <v>541.28289443844801</v>
      </c>
    </row>
    <row r="815" spans="5:27" x14ac:dyDescent="0.3">
      <c r="E815" s="241"/>
      <c r="F815" s="241"/>
      <c r="T815" s="254">
        <v>803</v>
      </c>
      <c r="U815" s="248">
        <f t="shared" si="85"/>
        <v>44.741500000000002</v>
      </c>
      <c r="V815" s="248">
        <f t="shared" si="86"/>
        <v>24.391499999999997</v>
      </c>
      <c r="W815" s="248">
        <f t="shared" si="87"/>
        <v>-65.259999999999991</v>
      </c>
      <c r="X815" s="248">
        <f t="shared" si="88"/>
        <v>3.8730000000000047</v>
      </c>
      <c r="Y815" s="248">
        <f t="shared" ca="1" si="84"/>
        <v>13.385727699892982</v>
      </c>
      <c r="Z815" s="248">
        <f t="shared" ca="1" si="89"/>
        <v>5.4128289443844801</v>
      </c>
      <c r="AA815" s="250">
        <f t="shared" ca="1" si="90"/>
        <v>541.28289443844801</v>
      </c>
    </row>
    <row r="816" spans="5:27" x14ac:dyDescent="0.3">
      <c r="E816" s="241"/>
      <c r="F816" s="241"/>
      <c r="T816" s="254">
        <v>804</v>
      </c>
      <c r="U816" s="248">
        <f t="shared" si="85"/>
        <v>45.741500000000002</v>
      </c>
      <c r="V816" s="248">
        <f t="shared" si="86"/>
        <v>24.391499999999997</v>
      </c>
      <c r="W816" s="248">
        <f t="shared" si="87"/>
        <v>-66.259999999999991</v>
      </c>
      <c r="X816" s="248">
        <f t="shared" si="88"/>
        <v>3.8730000000000047</v>
      </c>
      <c r="Y816" s="248">
        <f t="shared" ca="1" si="84"/>
        <v>13.385727699892982</v>
      </c>
      <c r="Z816" s="248">
        <f t="shared" ca="1" si="89"/>
        <v>5.4128289443844801</v>
      </c>
      <c r="AA816" s="250">
        <f t="shared" ca="1" si="90"/>
        <v>541.28289443844801</v>
      </c>
    </row>
    <row r="817" spans="5:27" x14ac:dyDescent="0.3">
      <c r="E817" s="241"/>
      <c r="F817" s="241"/>
      <c r="T817" s="254">
        <v>805</v>
      </c>
      <c r="U817" s="248">
        <f t="shared" si="85"/>
        <v>46.741500000000002</v>
      </c>
      <c r="V817" s="248">
        <f t="shared" si="86"/>
        <v>24.391499999999997</v>
      </c>
      <c r="W817" s="248">
        <f t="shared" si="87"/>
        <v>-67.259999999999991</v>
      </c>
      <c r="X817" s="248">
        <f t="shared" si="88"/>
        <v>3.8730000000000047</v>
      </c>
      <c r="Y817" s="248">
        <f t="shared" ca="1" si="84"/>
        <v>13.385727699892982</v>
      </c>
      <c r="Z817" s="248">
        <f t="shared" ca="1" si="89"/>
        <v>5.4128289443844801</v>
      </c>
      <c r="AA817" s="250">
        <f t="shared" ca="1" si="90"/>
        <v>541.28289443844801</v>
      </c>
    </row>
    <row r="818" spans="5:27" x14ac:dyDescent="0.3">
      <c r="E818" s="241"/>
      <c r="F818" s="241"/>
      <c r="T818" s="254">
        <v>806</v>
      </c>
      <c r="U818" s="248">
        <f t="shared" si="85"/>
        <v>47.741500000000002</v>
      </c>
      <c r="V818" s="248">
        <f t="shared" si="86"/>
        <v>24.391499999999997</v>
      </c>
      <c r="W818" s="248">
        <f t="shared" si="87"/>
        <v>-68.259999999999991</v>
      </c>
      <c r="X818" s="248">
        <f t="shared" si="88"/>
        <v>3.8730000000000047</v>
      </c>
      <c r="Y818" s="248">
        <f t="shared" ca="1" si="84"/>
        <v>13.385727699892982</v>
      </c>
      <c r="Z818" s="248">
        <f t="shared" ca="1" si="89"/>
        <v>5.4128289443844801</v>
      </c>
      <c r="AA818" s="250">
        <f t="shared" ca="1" si="90"/>
        <v>541.28289443844801</v>
      </c>
    </row>
    <row r="819" spans="5:27" x14ac:dyDescent="0.3">
      <c r="E819" s="241"/>
      <c r="F819" s="241"/>
      <c r="T819" s="254">
        <v>807</v>
      </c>
      <c r="U819" s="248">
        <f t="shared" si="85"/>
        <v>48.741500000000002</v>
      </c>
      <c r="V819" s="248">
        <f t="shared" si="86"/>
        <v>24.391499999999997</v>
      </c>
      <c r="W819" s="248">
        <f t="shared" si="87"/>
        <v>-69.259999999999991</v>
      </c>
      <c r="X819" s="248">
        <f t="shared" si="88"/>
        <v>3.8730000000000047</v>
      </c>
      <c r="Y819" s="248">
        <f t="shared" ca="1" si="84"/>
        <v>13.385727699892982</v>
      </c>
      <c r="Z819" s="248">
        <f t="shared" ca="1" si="89"/>
        <v>5.4128289443844801</v>
      </c>
      <c r="AA819" s="250">
        <f t="shared" ca="1" si="90"/>
        <v>541.28289443844801</v>
      </c>
    </row>
    <row r="820" spans="5:27" x14ac:dyDescent="0.3">
      <c r="E820" s="241"/>
      <c r="F820" s="241"/>
      <c r="T820" s="254">
        <v>808</v>
      </c>
      <c r="U820" s="248">
        <f t="shared" si="85"/>
        <v>49.741500000000002</v>
      </c>
      <c r="V820" s="248">
        <f t="shared" si="86"/>
        <v>24.391499999999997</v>
      </c>
      <c r="W820" s="248">
        <f t="shared" si="87"/>
        <v>-70.259999999999991</v>
      </c>
      <c r="X820" s="248">
        <f t="shared" si="88"/>
        <v>3.8730000000000047</v>
      </c>
      <c r="Y820" s="248">
        <f t="shared" ca="1" si="84"/>
        <v>13.385727699892982</v>
      </c>
      <c r="Z820" s="248">
        <f t="shared" ca="1" si="89"/>
        <v>5.4128289443844801</v>
      </c>
      <c r="AA820" s="250">
        <f t="shared" ca="1" si="90"/>
        <v>541.28289443844801</v>
      </c>
    </row>
    <row r="821" spans="5:27" x14ac:dyDescent="0.3">
      <c r="E821" s="241"/>
      <c r="F821" s="241"/>
      <c r="T821" s="254">
        <v>809</v>
      </c>
      <c r="U821" s="248">
        <f t="shared" si="85"/>
        <v>50.741500000000002</v>
      </c>
      <c r="V821" s="248">
        <f t="shared" si="86"/>
        <v>24.391499999999997</v>
      </c>
      <c r="W821" s="248">
        <f t="shared" si="87"/>
        <v>-71.259999999999991</v>
      </c>
      <c r="X821" s="248">
        <f t="shared" si="88"/>
        <v>3.8730000000000047</v>
      </c>
      <c r="Y821" s="248">
        <f t="shared" ca="1" si="84"/>
        <v>13.385727699892982</v>
      </c>
      <c r="Z821" s="248">
        <f t="shared" ca="1" si="89"/>
        <v>5.4128289443844801</v>
      </c>
      <c r="AA821" s="250">
        <f t="shared" ca="1" si="90"/>
        <v>541.28289443844801</v>
      </c>
    </row>
    <row r="822" spans="5:27" x14ac:dyDescent="0.3">
      <c r="E822" s="241"/>
      <c r="F822" s="241"/>
      <c r="T822" s="254">
        <v>810</v>
      </c>
      <c r="U822" s="248">
        <f t="shared" si="85"/>
        <v>51.741500000000002</v>
      </c>
      <c r="V822" s="248">
        <f t="shared" si="86"/>
        <v>24.391499999999997</v>
      </c>
      <c r="W822" s="248">
        <f t="shared" si="87"/>
        <v>-72.259999999999991</v>
      </c>
      <c r="X822" s="248">
        <f t="shared" si="88"/>
        <v>3.8730000000000047</v>
      </c>
      <c r="Y822" s="248">
        <f t="shared" ca="1" si="84"/>
        <v>13.385727699892982</v>
      </c>
      <c r="Z822" s="248">
        <f t="shared" ca="1" si="89"/>
        <v>5.4128289443844801</v>
      </c>
      <c r="AA822" s="250">
        <f t="shared" ca="1" si="90"/>
        <v>541.28289443844801</v>
      </c>
    </row>
    <row r="823" spans="5:27" x14ac:dyDescent="0.3">
      <c r="E823" s="241"/>
      <c r="F823" s="241"/>
      <c r="T823" s="254">
        <v>811</v>
      </c>
      <c r="U823" s="248">
        <f t="shared" si="85"/>
        <v>52.741500000000002</v>
      </c>
      <c r="V823" s="248">
        <f t="shared" si="86"/>
        <v>24.391499999999997</v>
      </c>
      <c r="W823" s="248">
        <f t="shared" si="87"/>
        <v>-73.259999999999991</v>
      </c>
      <c r="X823" s="248">
        <f t="shared" si="88"/>
        <v>3.8730000000000047</v>
      </c>
      <c r="Y823" s="248">
        <f t="shared" ca="1" si="84"/>
        <v>13.385727699892982</v>
      </c>
      <c r="Z823" s="248">
        <f t="shared" ca="1" si="89"/>
        <v>5.4128289443844801</v>
      </c>
      <c r="AA823" s="250">
        <f t="shared" ca="1" si="90"/>
        <v>541.28289443844801</v>
      </c>
    </row>
    <row r="824" spans="5:27" x14ac:dyDescent="0.3">
      <c r="E824" s="241"/>
      <c r="F824" s="241"/>
      <c r="T824" s="254">
        <v>812</v>
      </c>
      <c r="U824" s="248">
        <f t="shared" si="85"/>
        <v>53.741500000000002</v>
      </c>
      <c r="V824" s="248">
        <f t="shared" si="86"/>
        <v>24.391499999999997</v>
      </c>
      <c r="W824" s="248">
        <f t="shared" si="87"/>
        <v>-74.259999999999991</v>
      </c>
      <c r="X824" s="248">
        <f t="shared" si="88"/>
        <v>3.8730000000000047</v>
      </c>
      <c r="Y824" s="248">
        <f t="shared" ca="1" si="84"/>
        <v>13.385727699892982</v>
      </c>
      <c r="Z824" s="248">
        <f t="shared" ca="1" si="89"/>
        <v>5.4128289443844801</v>
      </c>
      <c r="AA824" s="250">
        <f t="shared" ca="1" si="90"/>
        <v>541.28289443844801</v>
      </c>
    </row>
    <row r="825" spans="5:27" x14ac:dyDescent="0.3">
      <c r="E825" s="241"/>
      <c r="F825" s="241"/>
      <c r="T825" s="254">
        <v>813</v>
      </c>
      <c r="U825" s="248">
        <f t="shared" si="85"/>
        <v>54.741500000000002</v>
      </c>
      <c r="V825" s="248">
        <f t="shared" si="86"/>
        <v>24.391499999999997</v>
      </c>
      <c r="W825" s="248">
        <f t="shared" si="87"/>
        <v>-75.259999999999991</v>
      </c>
      <c r="X825" s="248">
        <f t="shared" si="88"/>
        <v>3.8730000000000047</v>
      </c>
      <c r="Y825" s="248">
        <f t="shared" ca="1" si="84"/>
        <v>13.385727699892982</v>
      </c>
      <c r="Z825" s="248">
        <f t="shared" ca="1" si="89"/>
        <v>5.4128289443844801</v>
      </c>
      <c r="AA825" s="250">
        <f t="shared" ca="1" si="90"/>
        <v>541.28289443844801</v>
      </c>
    </row>
    <row r="826" spans="5:27" x14ac:dyDescent="0.3">
      <c r="E826" s="241"/>
      <c r="F826" s="241"/>
      <c r="T826" s="254">
        <v>814</v>
      </c>
      <c r="U826" s="248">
        <f t="shared" si="85"/>
        <v>55.741500000000002</v>
      </c>
      <c r="V826" s="248">
        <f t="shared" si="86"/>
        <v>24.391499999999997</v>
      </c>
      <c r="W826" s="248">
        <f t="shared" si="87"/>
        <v>-76.259999999999991</v>
      </c>
      <c r="X826" s="248">
        <f t="shared" si="88"/>
        <v>3.8730000000000047</v>
      </c>
      <c r="Y826" s="248">
        <f t="shared" ca="1" si="84"/>
        <v>13.385727699892982</v>
      </c>
      <c r="Z826" s="248">
        <f t="shared" ca="1" si="89"/>
        <v>5.4128289443844801</v>
      </c>
      <c r="AA826" s="250">
        <f t="shared" ca="1" si="90"/>
        <v>541.28289443844801</v>
      </c>
    </row>
    <row r="827" spans="5:27" x14ac:dyDescent="0.3">
      <c r="E827" s="241"/>
      <c r="F827" s="241"/>
      <c r="T827" s="254">
        <v>815</v>
      </c>
      <c r="U827" s="248">
        <f t="shared" si="85"/>
        <v>56.741500000000002</v>
      </c>
      <c r="V827" s="248">
        <f t="shared" si="86"/>
        <v>24.391499999999997</v>
      </c>
      <c r="W827" s="248">
        <f t="shared" si="87"/>
        <v>-77.259999999999991</v>
      </c>
      <c r="X827" s="248">
        <f t="shared" si="88"/>
        <v>3.8730000000000047</v>
      </c>
      <c r="Y827" s="248">
        <f t="shared" ca="1" si="84"/>
        <v>13.385727699892982</v>
      </c>
      <c r="Z827" s="248">
        <f t="shared" ca="1" si="89"/>
        <v>5.4128289443844801</v>
      </c>
      <c r="AA827" s="250">
        <f t="shared" ca="1" si="90"/>
        <v>541.28289443844801</v>
      </c>
    </row>
    <row r="828" spans="5:27" x14ac:dyDescent="0.3">
      <c r="E828" s="241"/>
      <c r="F828" s="241"/>
      <c r="T828" s="254">
        <v>816</v>
      </c>
      <c r="U828" s="248">
        <f t="shared" si="85"/>
        <v>57.741500000000002</v>
      </c>
      <c r="V828" s="248">
        <f t="shared" si="86"/>
        <v>24.391499999999997</v>
      </c>
      <c r="W828" s="248">
        <f t="shared" si="87"/>
        <v>-78.259999999999991</v>
      </c>
      <c r="X828" s="248">
        <f t="shared" si="88"/>
        <v>3.8730000000000047</v>
      </c>
      <c r="Y828" s="248">
        <f t="shared" ca="1" si="84"/>
        <v>13.385727699892982</v>
      </c>
      <c r="Z828" s="248">
        <f t="shared" ca="1" si="89"/>
        <v>5.4128289443844801</v>
      </c>
      <c r="AA828" s="250">
        <f t="shared" ca="1" si="90"/>
        <v>541.28289443844801</v>
      </c>
    </row>
    <row r="829" spans="5:27" x14ac:dyDescent="0.3">
      <c r="E829" s="241"/>
      <c r="F829" s="241"/>
      <c r="T829" s="254">
        <v>817</v>
      </c>
      <c r="U829" s="248">
        <f t="shared" si="85"/>
        <v>58.741500000000002</v>
      </c>
      <c r="V829" s="248">
        <f t="shared" si="86"/>
        <v>24.391499999999997</v>
      </c>
      <c r="W829" s="248">
        <f t="shared" si="87"/>
        <v>-79.259999999999991</v>
      </c>
      <c r="X829" s="248">
        <f t="shared" si="88"/>
        <v>3.8730000000000047</v>
      </c>
      <c r="Y829" s="248">
        <f t="shared" ca="1" si="84"/>
        <v>13.385727699892982</v>
      </c>
      <c r="Z829" s="248">
        <f t="shared" ca="1" si="89"/>
        <v>5.4128289443844801</v>
      </c>
      <c r="AA829" s="250">
        <f t="shared" ca="1" si="90"/>
        <v>541.28289443844801</v>
      </c>
    </row>
    <row r="830" spans="5:27" x14ac:dyDescent="0.3">
      <c r="E830" s="241"/>
      <c r="F830" s="241"/>
      <c r="T830" s="254">
        <v>818</v>
      </c>
      <c r="U830" s="248">
        <f t="shared" si="85"/>
        <v>59.741500000000002</v>
      </c>
      <c r="V830" s="248">
        <f t="shared" si="86"/>
        <v>24.391499999999997</v>
      </c>
      <c r="W830" s="248">
        <f t="shared" si="87"/>
        <v>-80.259999999999991</v>
      </c>
      <c r="X830" s="248">
        <f t="shared" si="88"/>
        <v>3.8730000000000047</v>
      </c>
      <c r="Y830" s="248">
        <f t="shared" ca="1" si="84"/>
        <v>13.385727699892982</v>
      </c>
      <c r="Z830" s="248">
        <f t="shared" ca="1" si="89"/>
        <v>5.4128289443844801</v>
      </c>
      <c r="AA830" s="250">
        <f t="shared" ca="1" si="90"/>
        <v>541.28289443844801</v>
      </c>
    </row>
    <row r="831" spans="5:27" x14ac:dyDescent="0.3">
      <c r="E831" s="241"/>
      <c r="F831" s="241"/>
      <c r="T831" s="254">
        <v>819</v>
      </c>
      <c r="U831" s="248">
        <f t="shared" si="85"/>
        <v>60.741500000000002</v>
      </c>
      <c r="V831" s="248">
        <f t="shared" si="86"/>
        <v>24.391499999999997</v>
      </c>
      <c r="W831" s="248">
        <f t="shared" si="87"/>
        <v>-81.259999999999991</v>
      </c>
      <c r="X831" s="248">
        <f t="shared" si="88"/>
        <v>3.8730000000000047</v>
      </c>
      <c r="Y831" s="248">
        <f t="shared" ca="1" si="84"/>
        <v>13.385727699892982</v>
      </c>
      <c r="Z831" s="248">
        <f t="shared" ca="1" si="89"/>
        <v>5.4128289443844801</v>
      </c>
      <c r="AA831" s="250">
        <f t="shared" ca="1" si="90"/>
        <v>541.28289443844801</v>
      </c>
    </row>
    <row r="832" spans="5:27" x14ac:dyDescent="0.3">
      <c r="E832" s="241"/>
      <c r="F832" s="241"/>
      <c r="T832" s="254">
        <v>820</v>
      </c>
      <c r="U832" s="248">
        <f t="shared" si="85"/>
        <v>61.741500000000002</v>
      </c>
      <c r="V832" s="248">
        <f t="shared" si="86"/>
        <v>24.391499999999997</v>
      </c>
      <c r="W832" s="248">
        <f t="shared" si="87"/>
        <v>-82.259999999999991</v>
      </c>
      <c r="X832" s="248">
        <f t="shared" si="88"/>
        <v>3.8730000000000047</v>
      </c>
      <c r="Y832" s="248">
        <f t="shared" ca="1" si="84"/>
        <v>13.385727699892982</v>
      </c>
      <c r="Z832" s="248">
        <f t="shared" ca="1" si="89"/>
        <v>5.4128289443844801</v>
      </c>
      <c r="AA832" s="250">
        <f t="shared" ca="1" si="90"/>
        <v>541.28289443844801</v>
      </c>
    </row>
    <row r="833" spans="5:27" x14ac:dyDescent="0.3">
      <c r="E833" s="241"/>
      <c r="F833" s="241"/>
      <c r="T833" s="254">
        <v>821</v>
      </c>
      <c r="U833" s="248">
        <f t="shared" si="85"/>
        <v>62.741500000000002</v>
      </c>
      <c r="V833" s="248">
        <f t="shared" si="86"/>
        <v>24.391499999999997</v>
      </c>
      <c r="W833" s="248">
        <f t="shared" si="87"/>
        <v>-83.259999999999991</v>
      </c>
      <c r="X833" s="248">
        <f t="shared" si="88"/>
        <v>3.8730000000000047</v>
      </c>
      <c r="Y833" s="248">
        <f t="shared" ca="1" si="84"/>
        <v>13.385727699892982</v>
      </c>
      <c r="Z833" s="248">
        <f t="shared" ca="1" si="89"/>
        <v>5.4128289443844801</v>
      </c>
      <c r="AA833" s="250">
        <f t="shared" ca="1" si="90"/>
        <v>541.28289443844801</v>
      </c>
    </row>
    <row r="834" spans="5:27" x14ac:dyDescent="0.3">
      <c r="E834" s="241"/>
      <c r="F834" s="241"/>
      <c r="T834" s="254">
        <v>822</v>
      </c>
      <c r="U834" s="248">
        <f t="shared" si="85"/>
        <v>63.741500000000002</v>
      </c>
      <c r="V834" s="248">
        <f t="shared" si="86"/>
        <v>24.391499999999997</v>
      </c>
      <c r="W834" s="248">
        <f t="shared" si="87"/>
        <v>-84.259999999999991</v>
      </c>
      <c r="X834" s="248">
        <f t="shared" si="88"/>
        <v>3.8730000000000047</v>
      </c>
      <c r="Y834" s="248">
        <f t="shared" ca="1" si="84"/>
        <v>13.385727699892982</v>
      </c>
      <c r="Z834" s="248">
        <f t="shared" ca="1" si="89"/>
        <v>5.4128289443844801</v>
      </c>
      <c r="AA834" s="250">
        <f t="shared" ca="1" si="90"/>
        <v>541.28289443844801</v>
      </c>
    </row>
    <row r="835" spans="5:27" x14ac:dyDescent="0.3">
      <c r="E835" s="241"/>
      <c r="F835" s="241"/>
      <c r="T835" s="254">
        <v>823</v>
      </c>
      <c r="U835" s="248">
        <f t="shared" si="85"/>
        <v>64.741500000000002</v>
      </c>
      <c r="V835" s="248">
        <f t="shared" si="86"/>
        <v>24.391499999999997</v>
      </c>
      <c r="W835" s="248">
        <f t="shared" si="87"/>
        <v>-85.259999999999991</v>
      </c>
      <c r="X835" s="248">
        <f t="shared" si="88"/>
        <v>3.8730000000000047</v>
      </c>
      <c r="Y835" s="248">
        <f t="shared" ca="1" si="84"/>
        <v>13.385727699892982</v>
      </c>
      <c r="Z835" s="248">
        <f t="shared" ca="1" si="89"/>
        <v>5.4128289443844801</v>
      </c>
      <c r="AA835" s="250">
        <f t="shared" ca="1" si="90"/>
        <v>541.28289443844801</v>
      </c>
    </row>
    <row r="836" spans="5:27" x14ac:dyDescent="0.3">
      <c r="E836" s="241"/>
      <c r="F836" s="241"/>
      <c r="T836" s="254">
        <v>824</v>
      </c>
      <c r="U836" s="248">
        <f t="shared" si="85"/>
        <v>65.741500000000002</v>
      </c>
      <c r="V836" s="248">
        <f t="shared" si="86"/>
        <v>24.391499999999997</v>
      </c>
      <c r="W836" s="248">
        <f t="shared" si="87"/>
        <v>-86.259999999999991</v>
      </c>
      <c r="X836" s="248">
        <f t="shared" si="88"/>
        <v>3.8730000000000047</v>
      </c>
      <c r="Y836" s="248">
        <f t="shared" ca="1" si="84"/>
        <v>13.385727699892982</v>
      </c>
      <c r="Z836" s="248">
        <f t="shared" ca="1" si="89"/>
        <v>5.4128289443844801</v>
      </c>
      <c r="AA836" s="250">
        <f t="shared" ca="1" si="90"/>
        <v>541.28289443844801</v>
      </c>
    </row>
    <row r="837" spans="5:27" x14ac:dyDescent="0.3">
      <c r="E837" s="241"/>
      <c r="F837" s="241"/>
      <c r="T837" s="254">
        <v>825</v>
      </c>
      <c r="U837" s="248">
        <f t="shared" si="85"/>
        <v>66.741500000000002</v>
      </c>
      <c r="V837" s="248">
        <f t="shared" si="86"/>
        <v>24.391499999999997</v>
      </c>
      <c r="W837" s="248">
        <f t="shared" si="87"/>
        <v>-87.259999999999991</v>
      </c>
      <c r="X837" s="248">
        <f t="shared" si="88"/>
        <v>3.8730000000000047</v>
      </c>
      <c r="Y837" s="248">
        <f t="shared" ca="1" si="84"/>
        <v>13.385727699892982</v>
      </c>
      <c r="Z837" s="248">
        <f t="shared" ca="1" si="89"/>
        <v>5.4128289443844801</v>
      </c>
      <c r="AA837" s="250">
        <f t="shared" ca="1" si="90"/>
        <v>541.28289443844801</v>
      </c>
    </row>
    <row r="838" spans="5:27" x14ac:dyDescent="0.3">
      <c r="E838" s="241"/>
      <c r="F838" s="241"/>
      <c r="T838" s="254">
        <v>826</v>
      </c>
      <c r="U838" s="248">
        <f t="shared" si="85"/>
        <v>67.741500000000002</v>
      </c>
      <c r="V838" s="248">
        <f t="shared" si="86"/>
        <v>24.391499999999997</v>
      </c>
      <c r="W838" s="248">
        <f t="shared" si="87"/>
        <v>-88.259999999999991</v>
      </c>
      <c r="X838" s="248">
        <f t="shared" si="88"/>
        <v>3.8730000000000047</v>
      </c>
      <c r="Y838" s="248">
        <f t="shared" ca="1" si="84"/>
        <v>13.385727699892982</v>
      </c>
      <c r="Z838" s="248">
        <f t="shared" ca="1" si="89"/>
        <v>5.4128289443844801</v>
      </c>
      <c r="AA838" s="250">
        <f t="shared" ca="1" si="90"/>
        <v>541.28289443844801</v>
      </c>
    </row>
    <row r="839" spans="5:27" x14ac:dyDescent="0.3">
      <c r="E839" s="241"/>
      <c r="F839" s="241"/>
      <c r="T839" s="254">
        <v>827</v>
      </c>
      <c r="U839" s="248">
        <f t="shared" si="85"/>
        <v>68.741500000000002</v>
      </c>
      <c r="V839" s="248">
        <f t="shared" si="86"/>
        <v>24.391499999999997</v>
      </c>
      <c r="W839" s="248">
        <f t="shared" si="87"/>
        <v>-89.259999999999991</v>
      </c>
      <c r="X839" s="248">
        <f t="shared" si="88"/>
        <v>3.8730000000000047</v>
      </c>
      <c r="Y839" s="248">
        <f t="shared" ca="1" si="84"/>
        <v>13.385727699892982</v>
      </c>
      <c r="Z839" s="248">
        <f t="shared" ca="1" si="89"/>
        <v>5.4128289443844801</v>
      </c>
      <c r="AA839" s="250">
        <f t="shared" ca="1" si="90"/>
        <v>541.28289443844801</v>
      </c>
    </row>
    <row r="840" spans="5:27" x14ac:dyDescent="0.3">
      <c r="E840" s="241"/>
      <c r="F840" s="241"/>
      <c r="T840" s="254">
        <v>828</v>
      </c>
      <c r="U840" s="248">
        <f t="shared" si="85"/>
        <v>69.741500000000002</v>
      </c>
      <c r="V840" s="248">
        <f t="shared" si="86"/>
        <v>24.391499999999997</v>
      </c>
      <c r="W840" s="248">
        <f t="shared" si="87"/>
        <v>-90.259999999999991</v>
      </c>
      <c r="X840" s="248">
        <f t="shared" si="88"/>
        <v>3.8730000000000047</v>
      </c>
      <c r="Y840" s="248">
        <f t="shared" ca="1" si="84"/>
        <v>13.385727699892982</v>
      </c>
      <c r="Z840" s="248">
        <f t="shared" ca="1" si="89"/>
        <v>5.4128289443844801</v>
      </c>
      <c r="AA840" s="250">
        <f t="shared" ca="1" si="90"/>
        <v>541.28289443844801</v>
      </c>
    </row>
    <row r="841" spans="5:27" x14ac:dyDescent="0.3">
      <c r="E841" s="241"/>
      <c r="F841" s="241"/>
      <c r="T841" s="254">
        <v>829</v>
      </c>
      <c r="U841" s="248">
        <f t="shared" si="85"/>
        <v>70.741500000000002</v>
      </c>
      <c r="V841" s="248">
        <f t="shared" si="86"/>
        <v>24.391499999999997</v>
      </c>
      <c r="W841" s="248">
        <f t="shared" si="87"/>
        <v>-91.259999999999991</v>
      </c>
      <c r="X841" s="248">
        <f t="shared" si="88"/>
        <v>3.8730000000000047</v>
      </c>
      <c r="Y841" s="248">
        <f t="shared" ca="1" si="84"/>
        <v>13.385727699892982</v>
      </c>
      <c r="Z841" s="248">
        <f t="shared" ca="1" si="89"/>
        <v>5.4128289443844801</v>
      </c>
      <c r="AA841" s="250">
        <f t="shared" ca="1" si="90"/>
        <v>541.28289443844801</v>
      </c>
    </row>
    <row r="842" spans="5:27" x14ac:dyDescent="0.3">
      <c r="E842" s="241"/>
      <c r="F842" s="241"/>
      <c r="T842" s="254">
        <v>830</v>
      </c>
      <c r="U842" s="248">
        <f t="shared" si="85"/>
        <v>71.741500000000002</v>
      </c>
      <c r="V842" s="248">
        <f t="shared" si="86"/>
        <v>24.391499999999997</v>
      </c>
      <c r="W842" s="248">
        <f t="shared" si="87"/>
        <v>-92.259999999999991</v>
      </c>
      <c r="X842" s="248">
        <f t="shared" si="88"/>
        <v>3.8730000000000047</v>
      </c>
      <c r="Y842" s="248">
        <f t="shared" ca="1" si="84"/>
        <v>13.385727699892982</v>
      </c>
      <c r="Z842" s="248">
        <f t="shared" ca="1" si="89"/>
        <v>5.4128289443844801</v>
      </c>
      <c r="AA842" s="250">
        <f t="shared" ca="1" si="90"/>
        <v>541.28289443844801</v>
      </c>
    </row>
    <row r="843" spans="5:27" x14ac:dyDescent="0.3">
      <c r="E843" s="241"/>
      <c r="F843" s="241"/>
      <c r="T843" s="254">
        <v>831</v>
      </c>
      <c r="U843" s="248">
        <f t="shared" si="85"/>
        <v>72.741500000000002</v>
      </c>
      <c r="V843" s="248">
        <f t="shared" si="86"/>
        <v>24.391499999999997</v>
      </c>
      <c r="W843" s="248">
        <f t="shared" si="87"/>
        <v>-93.259999999999991</v>
      </c>
      <c r="X843" s="248">
        <f t="shared" si="88"/>
        <v>3.8730000000000047</v>
      </c>
      <c r="Y843" s="248">
        <f t="shared" ca="1" si="84"/>
        <v>13.385727699892982</v>
      </c>
      <c r="Z843" s="248">
        <f t="shared" ca="1" si="89"/>
        <v>5.4128289443844801</v>
      </c>
      <c r="AA843" s="250">
        <f t="shared" ca="1" si="90"/>
        <v>541.28289443844801</v>
      </c>
    </row>
    <row r="844" spans="5:27" x14ac:dyDescent="0.3">
      <c r="E844" s="241"/>
      <c r="F844" s="241"/>
      <c r="T844" s="254">
        <v>832</v>
      </c>
      <c r="U844" s="248">
        <f t="shared" si="85"/>
        <v>73.741500000000002</v>
      </c>
      <c r="V844" s="248">
        <f t="shared" si="86"/>
        <v>24.391499999999997</v>
      </c>
      <c r="W844" s="248">
        <f t="shared" si="87"/>
        <v>-94.259999999999991</v>
      </c>
      <c r="X844" s="248">
        <f t="shared" si="88"/>
        <v>3.8730000000000047</v>
      </c>
      <c r="Y844" s="248">
        <f t="shared" ref="Y844:Y907" ca="1" si="91">$Y$10*EXP($Y$7*$C$6)-$Y$10</f>
        <v>13.385727699892982</v>
      </c>
      <c r="Z844" s="248">
        <f t="shared" ca="1" si="89"/>
        <v>5.4128289443844801</v>
      </c>
      <c r="AA844" s="250">
        <f t="shared" ca="1" si="90"/>
        <v>541.28289443844801</v>
      </c>
    </row>
    <row r="845" spans="5:27" x14ac:dyDescent="0.3">
      <c r="E845" s="241"/>
      <c r="F845" s="241"/>
      <c r="T845" s="254">
        <v>833</v>
      </c>
      <c r="U845" s="248">
        <f t="shared" ref="U845:U908" si="92">MAX(0,T845-$U$9)-$U$10-$U$11/100</f>
        <v>74.741500000000002</v>
      </c>
      <c r="V845" s="248">
        <f t="shared" ref="V845:V908" si="93">$V$10-MAX(0,$V$9-T845)-$V$11/100</f>
        <v>24.391499999999997</v>
      </c>
      <c r="W845" s="248">
        <f t="shared" ref="W845:W908" si="94">$W$10-T845</f>
        <v>-95.259999999999991</v>
      </c>
      <c r="X845" s="248">
        <f t="shared" ref="X845:X908" si="95">SUM(U845:W845)</f>
        <v>3.8730000000000047</v>
      </c>
      <c r="Y845" s="248">
        <f t="shared" ca="1" si="91"/>
        <v>13.385727699892982</v>
      </c>
      <c r="Z845" s="248">
        <f t="shared" ref="Z845:Z908" ca="1" si="96">EXP(-$E$3*$C$6)*SUM(X845:Y845)</f>
        <v>5.4128289443844801</v>
      </c>
      <c r="AA845" s="250">
        <f t="shared" ref="AA845:AA908" ca="1" si="97">Z845*100</f>
        <v>541.28289443844801</v>
      </c>
    </row>
    <row r="846" spans="5:27" x14ac:dyDescent="0.3">
      <c r="E846" s="241"/>
      <c r="F846" s="241"/>
      <c r="T846" s="254">
        <v>834</v>
      </c>
      <c r="U846" s="248">
        <f t="shared" si="92"/>
        <v>75.741500000000002</v>
      </c>
      <c r="V846" s="248">
        <f t="shared" si="93"/>
        <v>24.391499999999997</v>
      </c>
      <c r="W846" s="248">
        <f t="shared" si="94"/>
        <v>-96.259999999999991</v>
      </c>
      <c r="X846" s="248">
        <f t="shared" si="95"/>
        <v>3.8730000000000047</v>
      </c>
      <c r="Y846" s="248">
        <f t="shared" ca="1" si="91"/>
        <v>13.385727699892982</v>
      </c>
      <c r="Z846" s="248">
        <f t="shared" ca="1" si="96"/>
        <v>5.4128289443844801</v>
      </c>
      <c r="AA846" s="250">
        <f t="shared" ca="1" si="97"/>
        <v>541.28289443844801</v>
      </c>
    </row>
    <row r="847" spans="5:27" x14ac:dyDescent="0.3">
      <c r="E847" s="241"/>
      <c r="F847" s="241"/>
      <c r="T847" s="254">
        <v>835</v>
      </c>
      <c r="U847" s="248">
        <f t="shared" si="92"/>
        <v>76.741500000000002</v>
      </c>
      <c r="V847" s="248">
        <f t="shared" si="93"/>
        <v>24.391499999999997</v>
      </c>
      <c r="W847" s="248">
        <f t="shared" si="94"/>
        <v>-97.259999999999991</v>
      </c>
      <c r="X847" s="248">
        <f t="shared" si="95"/>
        <v>3.8730000000000047</v>
      </c>
      <c r="Y847" s="248">
        <f t="shared" ca="1" si="91"/>
        <v>13.385727699892982</v>
      </c>
      <c r="Z847" s="248">
        <f t="shared" ca="1" si="96"/>
        <v>5.4128289443844801</v>
      </c>
      <c r="AA847" s="250">
        <f t="shared" ca="1" si="97"/>
        <v>541.28289443844801</v>
      </c>
    </row>
    <row r="848" spans="5:27" x14ac:dyDescent="0.3">
      <c r="E848" s="241"/>
      <c r="F848" s="241"/>
      <c r="T848" s="254">
        <v>836</v>
      </c>
      <c r="U848" s="248">
        <f t="shared" si="92"/>
        <v>77.741500000000002</v>
      </c>
      <c r="V848" s="248">
        <f t="shared" si="93"/>
        <v>24.391499999999997</v>
      </c>
      <c r="W848" s="248">
        <f t="shared" si="94"/>
        <v>-98.259999999999991</v>
      </c>
      <c r="X848" s="248">
        <f t="shared" si="95"/>
        <v>3.8730000000000047</v>
      </c>
      <c r="Y848" s="248">
        <f t="shared" ca="1" si="91"/>
        <v>13.385727699892982</v>
      </c>
      <c r="Z848" s="248">
        <f t="shared" ca="1" si="96"/>
        <v>5.4128289443844801</v>
      </c>
      <c r="AA848" s="250">
        <f t="shared" ca="1" si="97"/>
        <v>541.28289443844801</v>
      </c>
    </row>
    <row r="849" spans="5:27" x14ac:dyDescent="0.3">
      <c r="E849" s="241"/>
      <c r="F849" s="241"/>
      <c r="T849" s="254">
        <v>837</v>
      </c>
      <c r="U849" s="248">
        <f t="shared" si="92"/>
        <v>78.741500000000002</v>
      </c>
      <c r="V849" s="248">
        <f t="shared" si="93"/>
        <v>24.391499999999997</v>
      </c>
      <c r="W849" s="248">
        <f t="shared" si="94"/>
        <v>-99.259999999999991</v>
      </c>
      <c r="X849" s="248">
        <f t="shared" si="95"/>
        <v>3.8730000000000047</v>
      </c>
      <c r="Y849" s="248">
        <f t="shared" ca="1" si="91"/>
        <v>13.385727699892982</v>
      </c>
      <c r="Z849" s="248">
        <f t="shared" ca="1" si="96"/>
        <v>5.4128289443844801</v>
      </c>
      <c r="AA849" s="250">
        <f t="shared" ca="1" si="97"/>
        <v>541.28289443844801</v>
      </c>
    </row>
    <row r="850" spans="5:27" x14ac:dyDescent="0.3">
      <c r="E850" s="241"/>
      <c r="F850" s="241"/>
      <c r="T850" s="254">
        <v>838</v>
      </c>
      <c r="U850" s="248">
        <f t="shared" si="92"/>
        <v>79.741500000000002</v>
      </c>
      <c r="V850" s="248">
        <f t="shared" si="93"/>
        <v>24.391499999999997</v>
      </c>
      <c r="W850" s="248">
        <f t="shared" si="94"/>
        <v>-100.25999999999999</v>
      </c>
      <c r="X850" s="248">
        <f t="shared" si="95"/>
        <v>3.8730000000000047</v>
      </c>
      <c r="Y850" s="248">
        <f t="shared" ca="1" si="91"/>
        <v>13.385727699892982</v>
      </c>
      <c r="Z850" s="248">
        <f t="shared" ca="1" si="96"/>
        <v>5.4128289443844801</v>
      </c>
      <c r="AA850" s="250">
        <f t="shared" ca="1" si="97"/>
        <v>541.28289443844801</v>
      </c>
    </row>
    <row r="851" spans="5:27" x14ac:dyDescent="0.3">
      <c r="E851" s="241"/>
      <c r="F851" s="241"/>
      <c r="T851" s="254">
        <v>839</v>
      </c>
      <c r="U851" s="248">
        <f t="shared" si="92"/>
        <v>80.741500000000002</v>
      </c>
      <c r="V851" s="248">
        <f t="shared" si="93"/>
        <v>24.391499999999997</v>
      </c>
      <c r="W851" s="248">
        <f t="shared" si="94"/>
        <v>-101.25999999999999</v>
      </c>
      <c r="X851" s="248">
        <f t="shared" si="95"/>
        <v>3.8730000000000047</v>
      </c>
      <c r="Y851" s="248">
        <f t="shared" ca="1" si="91"/>
        <v>13.385727699892982</v>
      </c>
      <c r="Z851" s="248">
        <f t="shared" ca="1" si="96"/>
        <v>5.4128289443844801</v>
      </c>
      <c r="AA851" s="250">
        <f t="shared" ca="1" si="97"/>
        <v>541.28289443844801</v>
      </c>
    </row>
    <row r="852" spans="5:27" x14ac:dyDescent="0.3">
      <c r="E852" s="241"/>
      <c r="F852" s="241"/>
      <c r="T852" s="254">
        <v>840</v>
      </c>
      <c r="U852" s="248">
        <f t="shared" si="92"/>
        <v>81.741500000000002</v>
      </c>
      <c r="V852" s="248">
        <f t="shared" si="93"/>
        <v>24.391499999999997</v>
      </c>
      <c r="W852" s="248">
        <f t="shared" si="94"/>
        <v>-102.25999999999999</v>
      </c>
      <c r="X852" s="248">
        <f t="shared" si="95"/>
        <v>3.8730000000000047</v>
      </c>
      <c r="Y852" s="248">
        <f t="shared" ca="1" si="91"/>
        <v>13.385727699892982</v>
      </c>
      <c r="Z852" s="248">
        <f t="shared" ca="1" si="96"/>
        <v>5.4128289443844801</v>
      </c>
      <c r="AA852" s="250">
        <f t="shared" ca="1" si="97"/>
        <v>541.28289443844801</v>
      </c>
    </row>
    <row r="853" spans="5:27" x14ac:dyDescent="0.3">
      <c r="E853" s="241"/>
      <c r="F853" s="241"/>
      <c r="T853" s="254">
        <v>841</v>
      </c>
      <c r="U853" s="248">
        <f t="shared" si="92"/>
        <v>82.741500000000002</v>
      </c>
      <c r="V853" s="248">
        <f t="shared" si="93"/>
        <v>24.391499999999997</v>
      </c>
      <c r="W853" s="248">
        <f t="shared" si="94"/>
        <v>-103.25999999999999</v>
      </c>
      <c r="X853" s="248">
        <f t="shared" si="95"/>
        <v>3.8730000000000047</v>
      </c>
      <c r="Y853" s="248">
        <f t="shared" ca="1" si="91"/>
        <v>13.385727699892982</v>
      </c>
      <c r="Z853" s="248">
        <f t="shared" ca="1" si="96"/>
        <v>5.4128289443844801</v>
      </c>
      <c r="AA853" s="250">
        <f t="shared" ca="1" si="97"/>
        <v>541.28289443844801</v>
      </c>
    </row>
    <row r="854" spans="5:27" x14ac:dyDescent="0.3">
      <c r="E854" s="241"/>
      <c r="F854" s="241"/>
      <c r="T854" s="254">
        <v>842</v>
      </c>
      <c r="U854" s="248">
        <f t="shared" si="92"/>
        <v>83.741500000000002</v>
      </c>
      <c r="V854" s="248">
        <f t="shared" si="93"/>
        <v>24.391499999999997</v>
      </c>
      <c r="W854" s="248">
        <f t="shared" si="94"/>
        <v>-104.25999999999999</v>
      </c>
      <c r="X854" s="248">
        <f t="shared" si="95"/>
        <v>3.8730000000000047</v>
      </c>
      <c r="Y854" s="248">
        <f t="shared" ca="1" si="91"/>
        <v>13.385727699892982</v>
      </c>
      <c r="Z854" s="248">
        <f t="shared" ca="1" si="96"/>
        <v>5.4128289443844801</v>
      </c>
      <c r="AA854" s="250">
        <f t="shared" ca="1" si="97"/>
        <v>541.28289443844801</v>
      </c>
    </row>
    <row r="855" spans="5:27" x14ac:dyDescent="0.3">
      <c r="E855" s="241"/>
      <c r="F855" s="241"/>
      <c r="T855" s="254">
        <v>843</v>
      </c>
      <c r="U855" s="248">
        <f t="shared" si="92"/>
        <v>84.741500000000002</v>
      </c>
      <c r="V855" s="248">
        <f t="shared" si="93"/>
        <v>24.391499999999997</v>
      </c>
      <c r="W855" s="248">
        <f t="shared" si="94"/>
        <v>-105.25999999999999</v>
      </c>
      <c r="X855" s="248">
        <f t="shared" si="95"/>
        <v>3.8730000000000047</v>
      </c>
      <c r="Y855" s="248">
        <f t="shared" ca="1" si="91"/>
        <v>13.385727699892982</v>
      </c>
      <c r="Z855" s="248">
        <f t="shared" ca="1" si="96"/>
        <v>5.4128289443844801</v>
      </c>
      <c r="AA855" s="250">
        <f t="shared" ca="1" si="97"/>
        <v>541.28289443844801</v>
      </c>
    </row>
    <row r="856" spans="5:27" x14ac:dyDescent="0.3">
      <c r="E856" s="241"/>
      <c r="F856" s="241"/>
      <c r="T856" s="254">
        <v>844</v>
      </c>
      <c r="U856" s="248">
        <f t="shared" si="92"/>
        <v>85.741500000000002</v>
      </c>
      <c r="V856" s="248">
        <f t="shared" si="93"/>
        <v>24.391499999999997</v>
      </c>
      <c r="W856" s="248">
        <f t="shared" si="94"/>
        <v>-106.25999999999999</v>
      </c>
      <c r="X856" s="248">
        <f t="shared" si="95"/>
        <v>3.8730000000000047</v>
      </c>
      <c r="Y856" s="248">
        <f t="shared" ca="1" si="91"/>
        <v>13.385727699892982</v>
      </c>
      <c r="Z856" s="248">
        <f t="shared" ca="1" si="96"/>
        <v>5.4128289443844801</v>
      </c>
      <c r="AA856" s="250">
        <f t="shared" ca="1" si="97"/>
        <v>541.28289443844801</v>
      </c>
    </row>
    <row r="857" spans="5:27" x14ac:dyDescent="0.3">
      <c r="E857" s="241"/>
      <c r="F857" s="241"/>
      <c r="T857" s="254">
        <v>845</v>
      </c>
      <c r="U857" s="248">
        <f t="shared" si="92"/>
        <v>86.741500000000002</v>
      </c>
      <c r="V857" s="248">
        <f t="shared" si="93"/>
        <v>24.391499999999997</v>
      </c>
      <c r="W857" s="248">
        <f t="shared" si="94"/>
        <v>-107.25999999999999</v>
      </c>
      <c r="X857" s="248">
        <f t="shared" si="95"/>
        <v>3.8730000000000047</v>
      </c>
      <c r="Y857" s="248">
        <f t="shared" ca="1" si="91"/>
        <v>13.385727699892982</v>
      </c>
      <c r="Z857" s="248">
        <f t="shared" ca="1" si="96"/>
        <v>5.4128289443844801</v>
      </c>
      <c r="AA857" s="250">
        <f t="shared" ca="1" si="97"/>
        <v>541.28289443844801</v>
      </c>
    </row>
    <row r="858" spans="5:27" x14ac:dyDescent="0.3">
      <c r="E858" s="241"/>
      <c r="F858" s="241"/>
      <c r="T858" s="254">
        <v>846</v>
      </c>
      <c r="U858" s="248">
        <f t="shared" si="92"/>
        <v>87.741500000000002</v>
      </c>
      <c r="V858" s="248">
        <f t="shared" si="93"/>
        <v>24.391499999999997</v>
      </c>
      <c r="W858" s="248">
        <f t="shared" si="94"/>
        <v>-108.25999999999999</v>
      </c>
      <c r="X858" s="248">
        <f t="shared" si="95"/>
        <v>3.8730000000000047</v>
      </c>
      <c r="Y858" s="248">
        <f t="shared" ca="1" si="91"/>
        <v>13.385727699892982</v>
      </c>
      <c r="Z858" s="248">
        <f t="shared" ca="1" si="96"/>
        <v>5.4128289443844801</v>
      </c>
      <c r="AA858" s="250">
        <f t="shared" ca="1" si="97"/>
        <v>541.28289443844801</v>
      </c>
    </row>
    <row r="859" spans="5:27" x14ac:dyDescent="0.3">
      <c r="E859" s="241"/>
      <c r="F859" s="241"/>
      <c r="T859" s="254">
        <v>847</v>
      </c>
      <c r="U859" s="248">
        <f t="shared" si="92"/>
        <v>88.741500000000002</v>
      </c>
      <c r="V859" s="248">
        <f t="shared" si="93"/>
        <v>24.391499999999997</v>
      </c>
      <c r="W859" s="248">
        <f t="shared" si="94"/>
        <v>-109.25999999999999</v>
      </c>
      <c r="X859" s="248">
        <f t="shared" si="95"/>
        <v>3.8730000000000047</v>
      </c>
      <c r="Y859" s="248">
        <f t="shared" ca="1" si="91"/>
        <v>13.385727699892982</v>
      </c>
      <c r="Z859" s="248">
        <f t="shared" ca="1" si="96"/>
        <v>5.4128289443844801</v>
      </c>
      <c r="AA859" s="250">
        <f t="shared" ca="1" si="97"/>
        <v>541.28289443844801</v>
      </c>
    </row>
    <row r="860" spans="5:27" x14ac:dyDescent="0.3">
      <c r="E860" s="241"/>
      <c r="F860" s="241"/>
      <c r="T860" s="254">
        <v>848</v>
      </c>
      <c r="U860" s="248">
        <f t="shared" si="92"/>
        <v>89.741500000000002</v>
      </c>
      <c r="V860" s="248">
        <f t="shared" si="93"/>
        <v>24.391499999999997</v>
      </c>
      <c r="W860" s="248">
        <f t="shared" si="94"/>
        <v>-110.25999999999999</v>
      </c>
      <c r="X860" s="248">
        <f t="shared" si="95"/>
        <v>3.8730000000000047</v>
      </c>
      <c r="Y860" s="248">
        <f t="shared" ca="1" si="91"/>
        <v>13.385727699892982</v>
      </c>
      <c r="Z860" s="248">
        <f t="shared" ca="1" si="96"/>
        <v>5.4128289443844801</v>
      </c>
      <c r="AA860" s="250">
        <f t="shared" ca="1" si="97"/>
        <v>541.28289443844801</v>
      </c>
    </row>
    <row r="861" spans="5:27" x14ac:dyDescent="0.3">
      <c r="E861" s="241"/>
      <c r="F861" s="241"/>
      <c r="T861" s="254">
        <v>849</v>
      </c>
      <c r="U861" s="248">
        <f t="shared" si="92"/>
        <v>90.741500000000002</v>
      </c>
      <c r="V861" s="248">
        <f t="shared" si="93"/>
        <v>24.391499999999997</v>
      </c>
      <c r="W861" s="248">
        <f t="shared" si="94"/>
        <v>-111.25999999999999</v>
      </c>
      <c r="X861" s="248">
        <f t="shared" si="95"/>
        <v>3.8730000000000047</v>
      </c>
      <c r="Y861" s="248">
        <f t="shared" ca="1" si="91"/>
        <v>13.385727699892982</v>
      </c>
      <c r="Z861" s="248">
        <f t="shared" ca="1" si="96"/>
        <v>5.4128289443844801</v>
      </c>
      <c r="AA861" s="250">
        <f t="shared" ca="1" si="97"/>
        <v>541.28289443844801</v>
      </c>
    </row>
    <row r="862" spans="5:27" x14ac:dyDescent="0.3">
      <c r="E862" s="241"/>
      <c r="F862" s="241"/>
      <c r="T862" s="254">
        <v>850</v>
      </c>
      <c r="U862" s="248">
        <f t="shared" si="92"/>
        <v>91.741500000000002</v>
      </c>
      <c r="V862" s="248">
        <f t="shared" si="93"/>
        <v>24.391499999999997</v>
      </c>
      <c r="W862" s="248">
        <f t="shared" si="94"/>
        <v>-112.25999999999999</v>
      </c>
      <c r="X862" s="248">
        <f t="shared" si="95"/>
        <v>3.8730000000000047</v>
      </c>
      <c r="Y862" s="248">
        <f t="shared" ca="1" si="91"/>
        <v>13.385727699892982</v>
      </c>
      <c r="Z862" s="248">
        <f t="shared" ca="1" si="96"/>
        <v>5.4128289443844801</v>
      </c>
      <c r="AA862" s="250">
        <f t="shared" ca="1" si="97"/>
        <v>541.28289443844801</v>
      </c>
    </row>
    <row r="863" spans="5:27" x14ac:dyDescent="0.3">
      <c r="E863" s="241"/>
      <c r="F863" s="241"/>
      <c r="T863" s="254">
        <v>851</v>
      </c>
      <c r="U863" s="248">
        <f t="shared" si="92"/>
        <v>92.741500000000002</v>
      </c>
      <c r="V863" s="248">
        <f t="shared" si="93"/>
        <v>24.391499999999997</v>
      </c>
      <c r="W863" s="248">
        <f t="shared" si="94"/>
        <v>-113.25999999999999</v>
      </c>
      <c r="X863" s="248">
        <f t="shared" si="95"/>
        <v>3.8730000000000047</v>
      </c>
      <c r="Y863" s="248">
        <f t="shared" ca="1" si="91"/>
        <v>13.385727699892982</v>
      </c>
      <c r="Z863" s="248">
        <f t="shared" ca="1" si="96"/>
        <v>5.4128289443844801</v>
      </c>
      <c r="AA863" s="250">
        <f t="shared" ca="1" si="97"/>
        <v>541.28289443844801</v>
      </c>
    </row>
    <row r="864" spans="5:27" x14ac:dyDescent="0.3">
      <c r="E864" s="241"/>
      <c r="F864" s="241"/>
      <c r="T864" s="254">
        <v>852</v>
      </c>
      <c r="U864" s="248">
        <f t="shared" si="92"/>
        <v>93.741500000000002</v>
      </c>
      <c r="V864" s="248">
        <f t="shared" si="93"/>
        <v>24.391499999999997</v>
      </c>
      <c r="W864" s="248">
        <f t="shared" si="94"/>
        <v>-114.25999999999999</v>
      </c>
      <c r="X864" s="248">
        <f t="shared" si="95"/>
        <v>3.8730000000000047</v>
      </c>
      <c r="Y864" s="248">
        <f t="shared" ca="1" si="91"/>
        <v>13.385727699892982</v>
      </c>
      <c r="Z864" s="248">
        <f t="shared" ca="1" si="96"/>
        <v>5.4128289443844801</v>
      </c>
      <c r="AA864" s="250">
        <f t="shared" ca="1" si="97"/>
        <v>541.28289443844801</v>
      </c>
    </row>
    <row r="865" spans="5:27" x14ac:dyDescent="0.3">
      <c r="E865" s="241"/>
      <c r="F865" s="241"/>
      <c r="T865" s="254">
        <v>853</v>
      </c>
      <c r="U865" s="248">
        <f t="shared" si="92"/>
        <v>94.741500000000002</v>
      </c>
      <c r="V865" s="248">
        <f t="shared" si="93"/>
        <v>24.391499999999997</v>
      </c>
      <c r="W865" s="248">
        <f t="shared" si="94"/>
        <v>-115.25999999999999</v>
      </c>
      <c r="X865" s="248">
        <f t="shared" si="95"/>
        <v>3.8730000000000047</v>
      </c>
      <c r="Y865" s="248">
        <f t="shared" ca="1" si="91"/>
        <v>13.385727699892982</v>
      </c>
      <c r="Z865" s="248">
        <f t="shared" ca="1" si="96"/>
        <v>5.4128289443844801</v>
      </c>
      <c r="AA865" s="250">
        <f t="shared" ca="1" si="97"/>
        <v>541.28289443844801</v>
      </c>
    </row>
    <row r="866" spans="5:27" x14ac:dyDescent="0.3">
      <c r="E866" s="241"/>
      <c r="F866" s="241"/>
      <c r="T866" s="254">
        <v>854</v>
      </c>
      <c r="U866" s="248">
        <f t="shared" si="92"/>
        <v>95.741500000000002</v>
      </c>
      <c r="V866" s="248">
        <f t="shared" si="93"/>
        <v>24.391499999999997</v>
      </c>
      <c r="W866" s="248">
        <f t="shared" si="94"/>
        <v>-116.25999999999999</v>
      </c>
      <c r="X866" s="248">
        <f t="shared" si="95"/>
        <v>3.8730000000000047</v>
      </c>
      <c r="Y866" s="248">
        <f t="shared" ca="1" si="91"/>
        <v>13.385727699892982</v>
      </c>
      <c r="Z866" s="248">
        <f t="shared" ca="1" si="96"/>
        <v>5.4128289443844801</v>
      </c>
      <c r="AA866" s="250">
        <f t="shared" ca="1" si="97"/>
        <v>541.28289443844801</v>
      </c>
    </row>
    <row r="867" spans="5:27" x14ac:dyDescent="0.3">
      <c r="E867" s="241"/>
      <c r="F867" s="241"/>
      <c r="T867" s="254">
        <v>855</v>
      </c>
      <c r="U867" s="248">
        <f t="shared" si="92"/>
        <v>96.741500000000002</v>
      </c>
      <c r="V867" s="248">
        <f t="shared" si="93"/>
        <v>24.391499999999997</v>
      </c>
      <c r="W867" s="248">
        <f t="shared" si="94"/>
        <v>-117.25999999999999</v>
      </c>
      <c r="X867" s="248">
        <f t="shared" si="95"/>
        <v>3.8730000000000047</v>
      </c>
      <c r="Y867" s="248">
        <f t="shared" ca="1" si="91"/>
        <v>13.385727699892982</v>
      </c>
      <c r="Z867" s="248">
        <f t="shared" ca="1" si="96"/>
        <v>5.4128289443844801</v>
      </c>
      <c r="AA867" s="250">
        <f t="shared" ca="1" si="97"/>
        <v>541.28289443844801</v>
      </c>
    </row>
    <row r="868" spans="5:27" x14ac:dyDescent="0.3">
      <c r="E868" s="241"/>
      <c r="F868" s="241"/>
      <c r="T868" s="254">
        <v>856</v>
      </c>
      <c r="U868" s="248">
        <f t="shared" si="92"/>
        <v>97.741500000000002</v>
      </c>
      <c r="V868" s="248">
        <f t="shared" si="93"/>
        <v>24.391499999999997</v>
      </c>
      <c r="W868" s="248">
        <f t="shared" si="94"/>
        <v>-118.25999999999999</v>
      </c>
      <c r="X868" s="248">
        <f t="shared" si="95"/>
        <v>3.8730000000000047</v>
      </c>
      <c r="Y868" s="248">
        <f t="shared" ca="1" si="91"/>
        <v>13.385727699892982</v>
      </c>
      <c r="Z868" s="248">
        <f t="shared" ca="1" si="96"/>
        <v>5.4128289443844801</v>
      </c>
      <c r="AA868" s="250">
        <f t="shared" ca="1" si="97"/>
        <v>541.28289443844801</v>
      </c>
    </row>
    <row r="869" spans="5:27" x14ac:dyDescent="0.3">
      <c r="E869" s="241"/>
      <c r="F869" s="241"/>
      <c r="T869" s="254">
        <v>857</v>
      </c>
      <c r="U869" s="248">
        <f t="shared" si="92"/>
        <v>98.741500000000002</v>
      </c>
      <c r="V869" s="248">
        <f t="shared" si="93"/>
        <v>24.391499999999997</v>
      </c>
      <c r="W869" s="248">
        <f t="shared" si="94"/>
        <v>-119.25999999999999</v>
      </c>
      <c r="X869" s="248">
        <f t="shared" si="95"/>
        <v>3.8730000000000047</v>
      </c>
      <c r="Y869" s="248">
        <f t="shared" ca="1" si="91"/>
        <v>13.385727699892982</v>
      </c>
      <c r="Z869" s="248">
        <f t="shared" ca="1" si="96"/>
        <v>5.4128289443844801</v>
      </c>
      <c r="AA869" s="250">
        <f t="shared" ca="1" si="97"/>
        <v>541.28289443844801</v>
      </c>
    </row>
    <row r="870" spans="5:27" x14ac:dyDescent="0.3">
      <c r="E870" s="241"/>
      <c r="F870" s="241"/>
      <c r="T870" s="254">
        <v>858</v>
      </c>
      <c r="U870" s="248">
        <f t="shared" si="92"/>
        <v>99.741500000000002</v>
      </c>
      <c r="V870" s="248">
        <f t="shared" si="93"/>
        <v>24.391499999999997</v>
      </c>
      <c r="W870" s="248">
        <f t="shared" si="94"/>
        <v>-120.25999999999999</v>
      </c>
      <c r="X870" s="248">
        <f t="shared" si="95"/>
        <v>3.8730000000000047</v>
      </c>
      <c r="Y870" s="248">
        <f t="shared" ca="1" si="91"/>
        <v>13.385727699892982</v>
      </c>
      <c r="Z870" s="248">
        <f t="shared" ca="1" si="96"/>
        <v>5.4128289443844801</v>
      </c>
      <c r="AA870" s="250">
        <f t="shared" ca="1" si="97"/>
        <v>541.28289443844801</v>
      </c>
    </row>
    <row r="871" spans="5:27" x14ac:dyDescent="0.3">
      <c r="E871" s="241"/>
      <c r="F871" s="241"/>
      <c r="T871" s="254">
        <v>859</v>
      </c>
      <c r="U871" s="248">
        <f t="shared" si="92"/>
        <v>100.7415</v>
      </c>
      <c r="V871" s="248">
        <f t="shared" si="93"/>
        <v>24.391499999999997</v>
      </c>
      <c r="W871" s="248">
        <f t="shared" si="94"/>
        <v>-121.25999999999999</v>
      </c>
      <c r="X871" s="248">
        <f t="shared" si="95"/>
        <v>3.8730000000000047</v>
      </c>
      <c r="Y871" s="248">
        <f t="shared" ca="1" si="91"/>
        <v>13.385727699892982</v>
      </c>
      <c r="Z871" s="248">
        <f t="shared" ca="1" si="96"/>
        <v>5.4128289443844801</v>
      </c>
      <c r="AA871" s="250">
        <f t="shared" ca="1" si="97"/>
        <v>541.28289443844801</v>
      </c>
    </row>
    <row r="872" spans="5:27" x14ac:dyDescent="0.3">
      <c r="E872" s="241"/>
      <c r="F872" s="241"/>
      <c r="T872" s="254">
        <v>860</v>
      </c>
      <c r="U872" s="248">
        <f t="shared" si="92"/>
        <v>101.7415</v>
      </c>
      <c r="V872" s="248">
        <f t="shared" si="93"/>
        <v>24.391499999999997</v>
      </c>
      <c r="W872" s="248">
        <f t="shared" si="94"/>
        <v>-122.25999999999999</v>
      </c>
      <c r="X872" s="248">
        <f t="shared" si="95"/>
        <v>3.8730000000000047</v>
      </c>
      <c r="Y872" s="248">
        <f t="shared" ca="1" si="91"/>
        <v>13.385727699892982</v>
      </c>
      <c r="Z872" s="248">
        <f t="shared" ca="1" si="96"/>
        <v>5.4128289443844801</v>
      </c>
      <c r="AA872" s="250">
        <f t="shared" ca="1" si="97"/>
        <v>541.28289443844801</v>
      </c>
    </row>
    <row r="873" spans="5:27" x14ac:dyDescent="0.3">
      <c r="E873" s="241"/>
      <c r="F873" s="241"/>
      <c r="T873" s="254">
        <v>861</v>
      </c>
      <c r="U873" s="248">
        <f t="shared" si="92"/>
        <v>102.7415</v>
      </c>
      <c r="V873" s="248">
        <f t="shared" si="93"/>
        <v>24.391499999999997</v>
      </c>
      <c r="W873" s="248">
        <f t="shared" si="94"/>
        <v>-123.25999999999999</v>
      </c>
      <c r="X873" s="248">
        <f t="shared" si="95"/>
        <v>3.8730000000000047</v>
      </c>
      <c r="Y873" s="248">
        <f t="shared" ca="1" si="91"/>
        <v>13.385727699892982</v>
      </c>
      <c r="Z873" s="248">
        <f t="shared" ca="1" si="96"/>
        <v>5.4128289443844801</v>
      </c>
      <c r="AA873" s="250">
        <f t="shared" ca="1" si="97"/>
        <v>541.28289443844801</v>
      </c>
    </row>
    <row r="874" spans="5:27" x14ac:dyDescent="0.3">
      <c r="E874" s="241"/>
      <c r="F874" s="241"/>
      <c r="T874" s="254">
        <v>862</v>
      </c>
      <c r="U874" s="248">
        <f t="shared" si="92"/>
        <v>103.7415</v>
      </c>
      <c r="V874" s="248">
        <f t="shared" si="93"/>
        <v>24.391499999999997</v>
      </c>
      <c r="W874" s="248">
        <f t="shared" si="94"/>
        <v>-124.25999999999999</v>
      </c>
      <c r="X874" s="248">
        <f t="shared" si="95"/>
        <v>3.8730000000000189</v>
      </c>
      <c r="Y874" s="248">
        <f t="shared" ca="1" si="91"/>
        <v>13.385727699892982</v>
      </c>
      <c r="Z874" s="248">
        <f t="shared" ca="1" si="96"/>
        <v>5.4128289443844944</v>
      </c>
      <c r="AA874" s="250">
        <f t="shared" ca="1" si="97"/>
        <v>541.28289443844949</v>
      </c>
    </row>
    <row r="875" spans="5:27" x14ac:dyDescent="0.3">
      <c r="E875" s="241"/>
      <c r="F875" s="241"/>
      <c r="T875" s="254">
        <v>863</v>
      </c>
      <c r="U875" s="248">
        <f t="shared" si="92"/>
        <v>104.7415</v>
      </c>
      <c r="V875" s="248">
        <f t="shared" si="93"/>
        <v>24.391499999999997</v>
      </c>
      <c r="W875" s="248">
        <f t="shared" si="94"/>
        <v>-125.25999999999999</v>
      </c>
      <c r="X875" s="248">
        <f t="shared" si="95"/>
        <v>3.8730000000000189</v>
      </c>
      <c r="Y875" s="248">
        <f t="shared" ca="1" si="91"/>
        <v>13.385727699892982</v>
      </c>
      <c r="Z875" s="248">
        <f t="shared" ca="1" si="96"/>
        <v>5.4128289443844944</v>
      </c>
      <c r="AA875" s="250">
        <f t="shared" ca="1" si="97"/>
        <v>541.28289443844949</v>
      </c>
    </row>
    <row r="876" spans="5:27" x14ac:dyDescent="0.3">
      <c r="E876" s="241"/>
      <c r="F876" s="241"/>
      <c r="T876" s="254">
        <v>864</v>
      </c>
      <c r="U876" s="248">
        <f t="shared" si="92"/>
        <v>105.7415</v>
      </c>
      <c r="V876" s="248">
        <f t="shared" si="93"/>
        <v>24.391499999999997</v>
      </c>
      <c r="W876" s="248">
        <f t="shared" si="94"/>
        <v>-126.25999999999999</v>
      </c>
      <c r="X876" s="248">
        <f t="shared" si="95"/>
        <v>3.8730000000000189</v>
      </c>
      <c r="Y876" s="248">
        <f t="shared" ca="1" si="91"/>
        <v>13.385727699892982</v>
      </c>
      <c r="Z876" s="248">
        <f t="shared" ca="1" si="96"/>
        <v>5.4128289443844944</v>
      </c>
      <c r="AA876" s="250">
        <f t="shared" ca="1" si="97"/>
        <v>541.28289443844949</v>
      </c>
    </row>
    <row r="877" spans="5:27" x14ac:dyDescent="0.3">
      <c r="E877" s="241"/>
      <c r="F877" s="241"/>
      <c r="T877" s="254">
        <v>865</v>
      </c>
      <c r="U877" s="248">
        <f t="shared" si="92"/>
        <v>106.7415</v>
      </c>
      <c r="V877" s="248">
        <f t="shared" si="93"/>
        <v>24.391499999999997</v>
      </c>
      <c r="W877" s="248">
        <f t="shared" si="94"/>
        <v>-127.25999999999999</v>
      </c>
      <c r="X877" s="248">
        <f t="shared" si="95"/>
        <v>3.8730000000000189</v>
      </c>
      <c r="Y877" s="248">
        <f t="shared" ca="1" si="91"/>
        <v>13.385727699892982</v>
      </c>
      <c r="Z877" s="248">
        <f t="shared" ca="1" si="96"/>
        <v>5.4128289443844944</v>
      </c>
      <c r="AA877" s="250">
        <f t="shared" ca="1" si="97"/>
        <v>541.28289443844949</v>
      </c>
    </row>
    <row r="878" spans="5:27" x14ac:dyDescent="0.3">
      <c r="E878" s="241"/>
      <c r="F878" s="241"/>
      <c r="T878" s="254">
        <v>866</v>
      </c>
      <c r="U878" s="248">
        <f t="shared" si="92"/>
        <v>107.7415</v>
      </c>
      <c r="V878" s="248">
        <f t="shared" si="93"/>
        <v>24.391499999999997</v>
      </c>
      <c r="W878" s="248">
        <f t="shared" si="94"/>
        <v>-128.26</v>
      </c>
      <c r="X878" s="248">
        <f t="shared" si="95"/>
        <v>3.8730000000000189</v>
      </c>
      <c r="Y878" s="248">
        <f t="shared" ca="1" si="91"/>
        <v>13.385727699892982</v>
      </c>
      <c r="Z878" s="248">
        <f t="shared" ca="1" si="96"/>
        <v>5.4128289443844944</v>
      </c>
      <c r="AA878" s="250">
        <f t="shared" ca="1" si="97"/>
        <v>541.28289443844949</v>
      </c>
    </row>
    <row r="879" spans="5:27" x14ac:dyDescent="0.3">
      <c r="E879" s="241"/>
      <c r="F879" s="241"/>
      <c r="T879" s="254">
        <v>867</v>
      </c>
      <c r="U879" s="248">
        <f t="shared" si="92"/>
        <v>108.7415</v>
      </c>
      <c r="V879" s="248">
        <f t="shared" si="93"/>
        <v>24.391499999999997</v>
      </c>
      <c r="W879" s="248">
        <f t="shared" si="94"/>
        <v>-129.26</v>
      </c>
      <c r="X879" s="248">
        <f t="shared" si="95"/>
        <v>3.8730000000000189</v>
      </c>
      <c r="Y879" s="248">
        <f t="shared" ca="1" si="91"/>
        <v>13.385727699892982</v>
      </c>
      <c r="Z879" s="248">
        <f t="shared" ca="1" si="96"/>
        <v>5.4128289443844944</v>
      </c>
      <c r="AA879" s="250">
        <f t="shared" ca="1" si="97"/>
        <v>541.28289443844949</v>
      </c>
    </row>
    <row r="880" spans="5:27" x14ac:dyDescent="0.3">
      <c r="E880" s="241"/>
      <c r="F880" s="241"/>
      <c r="T880" s="254">
        <v>868</v>
      </c>
      <c r="U880" s="248">
        <f t="shared" si="92"/>
        <v>109.7415</v>
      </c>
      <c r="V880" s="248">
        <f t="shared" si="93"/>
        <v>24.391499999999997</v>
      </c>
      <c r="W880" s="248">
        <f t="shared" si="94"/>
        <v>-130.26</v>
      </c>
      <c r="X880" s="248">
        <f t="shared" si="95"/>
        <v>3.8730000000000189</v>
      </c>
      <c r="Y880" s="248">
        <f t="shared" ca="1" si="91"/>
        <v>13.385727699892982</v>
      </c>
      <c r="Z880" s="248">
        <f t="shared" ca="1" si="96"/>
        <v>5.4128289443844944</v>
      </c>
      <c r="AA880" s="250">
        <f t="shared" ca="1" si="97"/>
        <v>541.28289443844949</v>
      </c>
    </row>
    <row r="881" spans="5:27" x14ac:dyDescent="0.3">
      <c r="E881" s="241"/>
      <c r="F881" s="241"/>
      <c r="T881" s="254">
        <v>869</v>
      </c>
      <c r="U881" s="248">
        <f t="shared" si="92"/>
        <v>110.7415</v>
      </c>
      <c r="V881" s="248">
        <f t="shared" si="93"/>
        <v>24.391499999999997</v>
      </c>
      <c r="W881" s="248">
        <f t="shared" si="94"/>
        <v>-131.26</v>
      </c>
      <c r="X881" s="248">
        <f t="shared" si="95"/>
        <v>3.8730000000000189</v>
      </c>
      <c r="Y881" s="248">
        <f t="shared" ca="1" si="91"/>
        <v>13.385727699892982</v>
      </c>
      <c r="Z881" s="248">
        <f t="shared" ca="1" si="96"/>
        <v>5.4128289443844944</v>
      </c>
      <c r="AA881" s="250">
        <f t="shared" ca="1" si="97"/>
        <v>541.28289443844949</v>
      </c>
    </row>
    <row r="882" spans="5:27" x14ac:dyDescent="0.3">
      <c r="E882" s="241"/>
      <c r="F882" s="241"/>
      <c r="T882" s="254">
        <v>870</v>
      </c>
      <c r="U882" s="248">
        <f t="shared" si="92"/>
        <v>111.7415</v>
      </c>
      <c r="V882" s="248">
        <f t="shared" si="93"/>
        <v>24.391499999999997</v>
      </c>
      <c r="W882" s="248">
        <f t="shared" si="94"/>
        <v>-132.26</v>
      </c>
      <c r="X882" s="248">
        <f t="shared" si="95"/>
        <v>3.8730000000000189</v>
      </c>
      <c r="Y882" s="248">
        <f t="shared" ca="1" si="91"/>
        <v>13.385727699892982</v>
      </c>
      <c r="Z882" s="248">
        <f t="shared" ca="1" si="96"/>
        <v>5.4128289443844944</v>
      </c>
      <c r="AA882" s="250">
        <f t="shared" ca="1" si="97"/>
        <v>541.28289443844949</v>
      </c>
    </row>
    <row r="883" spans="5:27" x14ac:dyDescent="0.3">
      <c r="E883" s="241"/>
      <c r="F883" s="241"/>
      <c r="T883" s="254">
        <v>871</v>
      </c>
      <c r="U883" s="248">
        <f t="shared" si="92"/>
        <v>112.7415</v>
      </c>
      <c r="V883" s="248">
        <f t="shared" si="93"/>
        <v>24.391499999999997</v>
      </c>
      <c r="W883" s="248">
        <f t="shared" si="94"/>
        <v>-133.26</v>
      </c>
      <c r="X883" s="248">
        <f t="shared" si="95"/>
        <v>3.8730000000000189</v>
      </c>
      <c r="Y883" s="248">
        <f t="shared" ca="1" si="91"/>
        <v>13.385727699892982</v>
      </c>
      <c r="Z883" s="248">
        <f t="shared" ca="1" si="96"/>
        <v>5.4128289443844944</v>
      </c>
      <c r="AA883" s="250">
        <f t="shared" ca="1" si="97"/>
        <v>541.28289443844949</v>
      </c>
    </row>
    <row r="884" spans="5:27" x14ac:dyDescent="0.3">
      <c r="E884" s="241"/>
      <c r="F884" s="241"/>
      <c r="T884" s="254">
        <v>872</v>
      </c>
      <c r="U884" s="248">
        <f t="shared" si="92"/>
        <v>113.7415</v>
      </c>
      <c r="V884" s="248">
        <f t="shared" si="93"/>
        <v>24.391499999999997</v>
      </c>
      <c r="W884" s="248">
        <f t="shared" si="94"/>
        <v>-134.26</v>
      </c>
      <c r="X884" s="248">
        <f t="shared" si="95"/>
        <v>3.8730000000000189</v>
      </c>
      <c r="Y884" s="248">
        <f t="shared" ca="1" si="91"/>
        <v>13.385727699892982</v>
      </c>
      <c r="Z884" s="248">
        <f t="shared" ca="1" si="96"/>
        <v>5.4128289443844944</v>
      </c>
      <c r="AA884" s="250">
        <f t="shared" ca="1" si="97"/>
        <v>541.28289443844949</v>
      </c>
    </row>
    <row r="885" spans="5:27" x14ac:dyDescent="0.3">
      <c r="E885" s="241"/>
      <c r="F885" s="241"/>
      <c r="T885" s="254">
        <v>873</v>
      </c>
      <c r="U885" s="248">
        <f t="shared" si="92"/>
        <v>114.7415</v>
      </c>
      <c r="V885" s="248">
        <f t="shared" si="93"/>
        <v>24.391499999999997</v>
      </c>
      <c r="W885" s="248">
        <f t="shared" si="94"/>
        <v>-135.26</v>
      </c>
      <c r="X885" s="248">
        <f t="shared" si="95"/>
        <v>3.8730000000000189</v>
      </c>
      <c r="Y885" s="248">
        <f t="shared" ca="1" si="91"/>
        <v>13.385727699892982</v>
      </c>
      <c r="Z885" s="248">
        <f t="shared" ca="1" si="96"/>
        <v>5.4128289443844944</v>
      </c>
      <c r="AA885" s="250">
        <f t="shared" ca="1" si="97"/>
        <v>541.28289443844949</v>
      </c>
    </row>
    <row r="886" spans="5:27" x14ac:dyDescent="0.3">
      <c r="E886" s="241"/>
      <c r="F886" s="241"/>
      <c r="T886" s="254">
        <v>874</v>
      </c>
      <c r="U886" s="248">
        <f t="shared" si="92"/>
        <v>115.7415</v>
      </c>
      <c r="V886" s="248">
        <f t="shared" si="93"/>
        <v>24.391499999999997</v>
      </c>
      <c r="W886" s="248">
        <f t="shared" si="94"/>
        <v>-136.26</v>
      </c>
      <c r="X886" s="248">
        <f t="shared" si="95"/>
        <v>3.8730000000000189</v>
      </c>
      <c r="Y886" s="248">
        <f t="shared" ca="1" si="91"/>
        <v>13.385727699892982</v>
      </c>
      <c r="Z886" s="248">
        <f t="shared" ca="1" si="96"/>
        <v>5.4128289443844944</v>
      </c>
      <c r="AA886" s="250">
        <f t="shared" ca="1" si="97"/>
        <v>541.28289443844949</v>
      </c>
    </row>
    <row r="887" spans="5:27" x14ac:dyDescent="0.3">
      <c r="E887" s="241"/>
      <c r="F887" s="241"/>
      <c r="T887" s="254">
        <v>875</v>
      </c>
      <c r="U887" s="248">
        <f t="shared" si="92"/>
        <v>116.7415</v>
      </c>
      <c r="V887" s="248">
        <f t="shared" si="93"/>
        <v>24.391499999999997</v>
      </c>
      <c r="W887" s="248">
        <f t="shared" si="94"/>
        <v>-137.26</v>
      </c>
      <c r="X887" s="248">
        <f t="shared" si="95"/>
        <v>3.8730000000000189</v>
      </c>
      <c r="Y887" s="248">
        <f t="shared" ca="1" si="91"/>
        <v>13.385727699892982</v>
      </c>
      <c r="Z887" s="248">
        <f t="shared" ca="1" si="96"/>
        <v>5.4128289443844944</v>
      </c>
      <c r="AA887" s="250">
        <f t="shared" ca="1" si="97"/>
        <v>541.28289443844949</v>
      </c>
    </row>
    <row r="888" spans="5:27" x14ac:dyDescent="0.3">
      <c r="E888" s="241"/>
      <c r="F888" s="241"/>
      <c r="T888" s="254">
        <v>876</v>
      </c>
      <c r="U888" s="248">
        <f t="shared" si="92"/>
        <v>117.7415</v>
      </c>
      <c r="V888" s="248">
        <f t="shared" si="93"/>
        <v>24.391499999999997</v>
      </c>
      <c r="W888" s="248">
        <f t="shared" si="94"/>
        <v>-138.26</v>
      </c>
      <c r="X888" s="248">
        <f t="shared" si="95"/>
        <v>3.8730000000000189</v>
      </c>
      <c r="Y888" s="248">
        <f t="shared" ca="1" si="91"/>
        <v>13.385727699892982</v>
      </c>
      <c r="Z888" s="248">
        <f t="shared" ca="1" si="96"/>
        <v>5.4128289443844944</v>
      </c>
      <c r="AA888" s="250">
        <f t="shared" ca="1" si="97"/>
        <v>541.28289443844949</v>
      </c>
    </row>
    <row r="889" spans="5:27" x14ac:dyDescent="0.3">
      <c r="E889" s="241"/>
      <c r="F889" s="241"/>
      <c r="T889" s="254">
        <v>877</v>
      </c>
      <c r="U889" s="248">
        <f t="shared" si="92"/>
        <v>118.7415</v>
      </c>
      <c r="V889" s="248">
        <f t="shared" si="93"/>
        <v>24.391499999999997</v>
      </c>
      <c r="W889" s="248">
        <f t="shared" si="94"/>
        <v>-139.26</v>
      </c>
      <c r="X889" s="248">
        <f t="shared" si="95"/>
        <v>3.8730000000000189</v>
      </c>
      <c r="Y889" s="248">
        <f t="shared" ca="1" si="91"/>
        <v>13.385727699892982</v>
      </c>
      <c r="Z889" s="248">
        <f t="shared" ca="1" si="96"/>
        <v>5.4128289443844944</v>
      </c>
      <c r="AA889" s="250">
        <f t="shared" ca="1" si="97"/>
        <v>541.28289443844949</v>
      </c>
    </row>
    <row r="890" spans="5:27" x14ac:dyDescent="0.3">
      <c r="E890" s="241"/>
      <c r="F890" s="241"/>
      <c r="T890" s="254">
        <v>878</v>
      </c>
      <c r="U890" s="248">
        <f t="shared" si="92"/>
        <v>119.7415</v>
      </c>
      <c r="V890" s="248">
        <f t="shared" si="93"/>
        <v>24.391499999999997</v>
      </c>
      <c r="W890" s="248">
        <f t="shared" si="94"/>
        <v>-140.26</v>
      </c>
      <c r="X890" s="248">
        <f t="shared" si="95"/>
        <v>3.8730000000000189</v>
      </c>
      <c r="Y890" s="248">
        <f t="shared" ca="1" si="91"/>
        <v>13.385727699892982</v>
      </c>
      <c r="Z890" s="248">
        <f t="shared" ca="1" si="96"/>
        <v>5.4128289443844944</v>
      </c>
      <c r="AA890" s="250">
        <f t="shared" ca="1" si="97"/>
        <v>541.28289443844949</v>
      </c>
    </row>
    <row r="891" spans="5:27" x14ac:dyDescent="0.3">
      <c r="E891" s="241"/>
      <c r="F891" s="241"/>
      <c r="T891" s="254">
        <v>879</v>
      </c>
      <c r="U891" s="248">
        <f t="shared" si="92"/>
        <v>120.7415</v>
      </c>
      <c r="V891" s="248">
        <f t="shared" si="93"/>
        <v>24.391499999999997</v>
      </c>
      <c r="W891" s="248">
        <f t="shared" si="94"/>
        <v>-141.26</v>
      </c>
      <c r="X891" s="248">
        <f t="shared" si="95"/>
        <v>3.8730000000000189</v>
      </c>
      <c r="Y891" s="248">
        <f t="shared" ca="1" si="91"/>
        <v>13.385727699892982</v>
      </c>
      <c r="Z891" s="248">
        <f t="shared" ca="1" si="96"/>
        <v>5.4128289443844944</v>
      </c>
      <c r="AA891" s="250">
        <f t="shared" ca="1" si="97"/>
        <v>541.28289443844949</v>
      </c>
    </row>
    <row r="892" spans="5:27" x14ac:dyDescent="0.3">
      <c r="E892" s="241"/>
      <c r="F892" s="241"/>
      <c r="T892" s="254">
        <v>880</v>
      </c>
      <c r="U892" s="248">
        <f t="shared" si="92"/>
        <v>121.7415</v>
      </c>
      <c r="V892" s="248">
        <f t="shared" si="93"/>
        <v>24.391499999999997</v>
      </c>
      <c r="W892" s="248">
        <f t="shared" si="94"/>
        <v>-142.26</v>
      </c>
      <c r="X892" s="248">
        <f t="shared" si="95"/>
        <v>3.8730000000000189</v>
      </c>
      <c r="Y892" s="248">
        <f t="shared" ca="1" si="91"/>
        <v>13.385727699892982</v>
      </c>
      <c r="Z892" s="248">
        <f t="shared" ca="1" si="96"/>
        <v>5.4128289443844944</v>
      </c>
      <c r="AA892" s="250">
        <f t="shared" ca="1" si="97"/>
        <v>541.28289443844949</v>
      </c>
    </row>
    <row r="893" spans="5:27" x14ac:dyDescent="0.3">
      <c r="E893" s="241"/>
      <c r="F893" s="241"/>
      <c r="T893" s="254">
        <v>881</v>
      </c>
      <c r="U893" s="248">
        <f t="shared" si="92"/>
        <v>122.7415</v>
      </c>
      <c r="V893" s="248">
        <f t="shared" si="93"/>
        <v>24.391499999999997</v>
      </c>
      <c r="W893" s="248">
        <f t="shared" si="94"/>
        <v>-143.26</v>
      </c>
      <c r="X893" s="248">
        <f t="shared" si="95"/>
        <v>3.8730000000000189</v>
      </c>
      <c r="Y893" s="248">
        <f t="shared" ca="1" si="91"/>
        <v>13.385727699892982</v>
      </c>
      <c r="Z893" s="248">
        <f t="shared" ca="1" si="96"/>
        <v>5.4128289443844944</v>
      </c>
      <c r="AA893" s="250">
        <f t="shared" ca="1" si="97"/>
        <v>541.28289443844949</v>
      </c>
    </row>
    <row r="894" spans="5:27" x14ac:dyDescent="0.3">
      <c r="E894" s="241"/>
      <c r="F894" s="241"/>
      <c r="T894" s="254">
        <v>882</v>
      </c>
      <c r="U894" s="248">
        <f t="shared" si="92"/>
        <v>123.7415</v>
      </c>
      <c r="V894" s="248">
        <f t="shared" si="93"/>
        <v>24.391499999999997</v>
      </c>
      <c r="W894" s="248">
        <f t="shared" si="94"/>
        <v>-144.26</v>
      </c>
      <c r="X894" s="248">
        <f t="shared" si="95"/>
        <v>3.8730000000000189</v>
      </c>
      <c r="Y894" s="248">
        <f t="shared" ca="1" si="91"/>
        <v>13.385727699892982</v>
      </c>
      <c r="Z894" s="248">
        <f t="shared" ca="1" si="96"/>
        <v>5.4128289443844944</v>
      </c>
      <c r="AA894" s="250">
        <f t="shared" ca="1" si="97"/>
        <v>541.28289443844949</v>
      </c>
    </row>
    <row r="895" spans="5:27" x14ac:dyDescent="0.3">
      <c r="E895" s="241"/>
      <c r="F895" s="241"/>
      <c r="T895" s="254">
        <v>883</v>
      </c>
      <c r="U895" s="248">
        <f t="shared" si="92"/>
        <v>124.7415</v>
      </c>
      <c r="V895" s="248">
        <f t="shared" si="93"/>
        <v>24.391499999999997</v>
      </c>
      <c r="W895" s="248">
        <f t="shared" si="94"/>
        <v>-145.26</v>
      </c>
      <c r="X895" s="248">
        <f t="shared" si="95"/>
        <v>3.8730000000000189</v>
      </c>
      <c r="Y895" s="248">
        <f t="shared" ca="1" si="91"/>
        <v>13.385727699892982</v>
      </c>
      <c r="Z895" s="248">
        <f t="shared" ca="1" si="96"/>
        <v>5.4128289443844944</v>
      </c>
      <c r="AA895" s="250">
        <f t="shared" ca="1" si="97"/>
        <v>541.28289443844949</v>
      </c>
    </row>
    <row r="896" spans="5:27" x14ac:dyDescent="0.3">
      <c r="E896" s="241"/>
      <c r="F896" s="241"/>
      <c r="T896" s="254">
        <v>884</v>
      </c>
      <c r="U896" s="248">
        <f t="shared" si="92"/>
        <v>125.7415</v>
      </c>
      <c r="V896" s="248">
        <f t="shared" si="93"/>
        <v>24.391499999999997</v>
      </c>
      <c r="W896" s="248">
        <f t="shared" si="94"/>
        <v>-146.26</v>
      </c>
      <c r="X896" s="248">
        <f t="shared" si="95"/>
        <v>3.8730000000000189</v>
      </c>
      <c r="Y896" s="248">
        <f t="shared" ca="1" si="91"/>
        <v>13.385727699892982</v>
      </c>
      <c r="Z896" s="248">
        <f t="shared" ca="1" si="96"/>
        <v>5.4128289443844944</v>
      </c>
      <c r="AA896" s="250">
        <f t="shared" ca="1" si="97"/>
        <v>541.28289443844949</v>
      </c>
    </row>
    <row r="897" spans="5:27" x14ac:dyDescent="0.3">
      <c r="E897" s="241"/>
      <c r="F897" s="241"/>
      <c r="T897" s="254">
        <v>885</v>
      </c>
      <c r="U897" s="248">
        <f t="shared" si="92"/>
        <v>126.7415</v>
      </c>
      <c r="V897" s="248">
        <f t="shared" si="93"/>
        <v>24.391499999999997</v>
      </c>
      <c r="W897" s="248">
        <f t="shared" si="94"/>
        <v>-147.26</v>
      </c>
      <c r="X897" s="248">
        <f t="shared" si="95"/>
        <v>3.8730000000000189</v>
      </c>
      <c r="Y897" s="248">
        <f t="shared" ca="1" si="91"/>
        <v>13.385727699892982</v>
      </c>
      <c r="Z897" s="248">
        <f t="shared" ca="1" si="96"/>
        <v>5.4128289443844944</v>
      </c>
      <c r="AA897" s="250">
        <f t="shared" ca="1" si="97"/>
        <v>541.28289443844949</v>
      </c>
    </row>
    <row r="898" spans="5:27" x14ac:dyDescent="0.3">
      <c r="E898" s="241"/>
      <c r="F898" s="241"/>
      <c r="T898" s="254">
        <v>886</v>
      </c>
      <c r="U898" s="248">
        <f t="shared" si="92"/>
        <v>127.7415</v>
      </c>
      <c r="V898" s="248">
        <f t="shared" si="93"/>
        <v>24.391499999999997</v>
      </c>
      <c r="W898" s="248">
        <f t="shared" si="94"/>
        <v>-148.26</v>
      </c>
      <c r="X898" s="248">
        <f t="shared" si="95"/>
        <v>3.8730000000000189</v>
      </c>
      <c r="Y898" s="248">
        <f t="shared" ca="1" si="91"/>
        <v>13.385727699892982</v>
      </c>
      <c r="Z898" s="248">
        <f t="shared" ca="1" si="96"/>
        <v>5.4128289443844944</v>
      </c>
      <c r="AA898" s="250">
        <f t="shared" ca="1" si="97"/>
        <v>541.28289443844949</v>
      </c>
    </row>
    <row r="899" spans="5:27" x14ac:dyDescent="0.3">
      <c r="E899" s="241"/>
      <c r="F899" s="241"/>
      <c r="T899" s="254">
        <v>887</v>
      </c>
      <c r="U899" s="248">
        <f t="shared" si="92"/>
        <v>128.7415</v>
      </c>
      <c r="V899" s="248">
        <f t="shared" si="93"/>
        <v>24.391499999999997</v>
      </c>
      <c r="W899" s="248">
        <f t="shared" si="94"/>
        <v>-149.26</v>
      </c>
      <c r="X899" s="248">
        <f t="shared" si="95"/>
        <v>3.8730000000000189</v>
      </c>
      <c r="Y899" s="248">
        <f t="shared" ca="1" si="91"/>
        <v>13.385727699892982</v>
      </c>
      <c r="Z899" s="248">
        <f t="shared" ca="1" si="96"/>
        <v>5.4128289443844944</v>
      </c>
      <c r="AA899" s="250">
        <f t="shared" ca="1" si="97"/>
        <v>541.28289443844949</v>
      </c>
    </row>
    <row r="900" spans="5:27" x14ac:dyDescent="0.3">
      <c r="E900" s="241"/>
      <c r="F900" s="241"/>
      <c r="T900" s="254">
        <v>888</v>
      </c>
      <c r="U900" s="248">
        <f t="shared" si="92"/>
        <v>129.7415</v>
      </c>
      <c r="V900" s="248">
        <f t="shared" si="93"/>
        <v>24.391499999999997</v>
      </c>
      <c r="W900" s="248">
        <f t="shared" si="94"/>
        <v>-150.26</v>
      </c>
      <c r="X900" s="248">
        <f t="shared" si="95"/>
        <v>3.8730000000000189</v>
      </c>
      <c r="Y900" s="248">
        <f t="shared" ca="1" si="91"/>
        <v>13.385727699892982</v>
      </c>
      <c r="Z900" s="248">
        <f t="shared" ca="1" si="96"/>
        <v>5.4128289443844944</v>
      </c>
      <c r="AA900" s="250">
        <f t="shared" ca="1" si="97"/>
        <v>541.28289443844949</v>
      </c>
    </row>
    <row r="901" spans="5:27" x14ac:dyDescent="0.3">
      <c r="E901" s="241"/>
      <c r="F901" s="241"/>
      <c r="T901" s="254">
        <v>889</v>
      </c>
      <c r="U901" s="248">
        <f t="shared" si="92"/>
        <v>130.7415</v>
      </c>
      <c r="V901" s="248">
        <f t="shared" si="93"/>
        <v>24.391499999999997</v>
      </c>
      <c r="W901" s="248">
        <f t="shared" si="94"/>
        <v>-151.26</v>
      </c>
      <c r="X901" s="248">
        <f t="shared" si="95"/>
        <v>3.8730000000000189</v>
      </c>
      <c r="Y901" s="248">
        <f t="shared" ca="1" si="91"/>
        <v>13.385727699892982</v>
      </c>
      <c r="Z901" s="248">
        <f t="shared" ca="1" si="96"/>
        <v>5.4128289443844944</v>
      </c>
      <c r="AA901" s="250">
        <f t="shared" ca="1" si="97"/>
        <v>541.28289443844949</v>
      </c>
    </row>
    <row r="902" spans="5:27" x14ac:dyDescent="0.3">
      <c r="E902" s="241"/>
      <c r="F902" s="241"/>
      <c r="T902" s="254">
        <v>890</v>
      </c>
      <c r="U902" s="248">
        <f t="shared" si="92"/>
        <v>131.7415</v>
      </c>
      <c r="V902" s="248">
        <f t="shared" si="93"/>
        <v>24.391499999999997</v>
      </c>
      <c r="W902" s="248">
        <f t="shared" si="94"/>
        <v>-152.26</v>
      </c>
      <c r="X902" s="248">
        <f t="shared" si="95"/>
        <v>3.8730000000000189</v>
      </c>
      <c r="Y902" s="248">
        <f t="shared" ca="1" si="91"/>
        <v>13.385727699892982</v>
      </c>
      <c r="Z902" s="248">
        <f t="shared" ca="1" si="96"/>
        <v>5.4128289443844944</v>
      </c>
      <c r="AA902" s="250">
        <f t="shared" ca="1" si="97"/>
        <v>541.28289443844949</v>
      </c>
    </row>
    <row r="903" spans="5:27" x14ac:dyDescent="0.3">
      <c r="E903" s="241"/>
      <c r="F903" s="241"/>
      <c r="T903" s="254">
        <v>891</v>
      </c>
      <c r="U903" s="248">
        <f t="shared" si="92"/>
        <v>132.7415</v>
      </c>
      <c r="V903" s="248">
        <f t="shared" si="93"/>
        <v>24.391499999999997</v>
      </c>
      <c r="W903" s="248">
        <f t="shared" si="94"/>
        <v>-153.26</v>
      </c>
      <c r="X903" s="248">
        <f t="shared" si="95"/>
        <v>3.8730000000000189</v>
      </c>
      <c r="Y903" s="248">
        <f t="shared" ca="1" si="91"/>
        <v>13.385727699892982</v>
      </c>
      <c r="Z903" s="248">
        <f t="shared" ca="1" si="96"/>
        <v>5.4128289443844944</v>
      </c>
      <c r="AA903" s="250">
        <f t="shared" ca="1" si="97"/>
        <v>541.28289443844949</v>
      </c>
    </row>
    <row r="904" spans="5:27" x14ac:dyDescent="0.3">
      <c r="E904" s="241"/>
      <c r="F904" s="241"/>
      <c r="T904" s="254">
        <v>892</v>
      </c>
      <c r="U904" s="248">
        <f t="shared" si="92"/>
        <v>133.7415</v>
      </c>
      <c r="V904" s="248">
        <f t="shared" si="93"/>
        <v>24.391499999999997</v>
      </c>
      <c r="W904" s="248">
        <f t="shared" si="94"/>
        <v>-154.26</v>
      </c>
      <c r="X904" s="248">
        <f t="shared" si="95"/>
        <v>3.8730000000000189</v>
      </c>
      <c r="Y904" s="248">
        <f t="shared" ca="1" si="91"/>
        <v>13.385727699892982</v>
      </c>
      <c r="Z904" s="248">
        <f t="shared" ca="1" si="96"/>
        <v>5.4128289443844944</v>
      </c>
      <c r="AA904" s="250">
        <f t="shared" ca="1" si="97"/>
        <v>541.28289443844949</v>
      </c>
    </row>
    <row r="905" spans="5:27" x14ac:dyDescent="0.3">
      <c r="E905" s="241"/>
      <c r="F905" s="241"/>
      <c r="T905" s="254">
        <v>893</v>
      </c>
      <c r="U905" s="248">
        <f t="shared" si="92"/>
        <v>134.7415</v>
      </c>
      <c r="V905" s="248">
        <f t="shared" si="93"/>
        <v>24.391499999999997</v>
      </c>
      <c r="W905" s="248">
        <f t="shared" si="94"/>
        <v>-155.26</v>
      </c>
      <c r="X905" s="248">
        <f t="shared" si="95"/>
        <v>3.8730000000000189</v>
      </c>
      <c r="Y905" s="248">
        <f t="shared" ca="1" si="91"/>
        <v>13.385727699892982</v>
      </c>
      <c r="Z905" s="248">
        <f t="shared" ca="1" si="96"/>
        <v>5.4128289443844944</v>
      </c>
      <c r="AA905" s="250">
        <f t="shared" ca="1" si="97"/>
        <v>541.28289443844949</v>
      </c>
    </row>
    <row r="906" spans="5:27" x14ac:dyDescent="0.3">
      <c r="E906" s="241"/>
      <c r="F906" s="241"/>
      <c r="T906" s="254">
        <v>894</v>
      </c>
      <c r="U906" s="248">
        <f t="shared" si="92"/>
        <v>135.7415</v>
      </c>
      <c r="V906" s="248">
        <f t="shared" si="93"/>
        <v>24.391499999999997</v>
      </c>
      <c r="W906" s="248">
        <f t="shared" si="94"/>
        <v>-156.26</v>
      </c>
      <c r="X906" s="248">
        <f t="shared" si="95"/>
        <v>3.8730000000000189</v>
      </c>
      <c r="Y906" s="248">
        <f t="shared" ca="1" si="91"/>
        <v>13.385727699892982</v>
      </c>
      <c r="Z906" s="248">
        <f t="shared" ca="1" si="96"/>
        <v>5.4128289443844944</v>
      </c>
      <c r="AA906" s="250">
        <f t="shared" ca="1" si="97"/>
        <v>541.28289443844949</v>
      </c>
    </row>
    <row r="907" spans="5:27" x14ac:dyDescent="0.3">
      <c r="E907" s="241"/>
      <c r="F907" s="241"/>
      <c r="T907" s="254">
        <v>895</v>
      </c>
      <c r="U907" s="248">
        <f t="shared" si="92"/>
        <v>136.7415</v>
      </c>
      <c r="V907" s="248">
        <f t="shared" si="93"/>
        <v>24.391499999999997</v>
      </c>
      <c r="W907" s="248">
        <f t="shared" si="94"/>
        <v>-157.26</v>
      </c>
      <c r="X907" s="248">
        <f t="shared" si="95"/>
        <v>3.8730000000000189</v>
      </c>
      <c r="Y907" s="248">
        <f t="shared" ca="1" si="91"/>
        <v>13.385727699892982</v>
      </c>
      <c r="Z907" s="248">
        <f t="shared" ca="1" si="96"/>
        <v>5.4128289443844944</v>
      </c>
      <c r="AA907" s="250">
        <f t="shared" ca="1" si="97"/>
        <v>541.28289443844949</v>
      </c>
    </row>
    <row r="908" spans="5:27" x14ac:dyDescent="0.3">
      <c r="E908" s="241"/>
      <c r="F908" s="241"/>
      <c r="T908" s="254">
        <v>896</v>
      </c>
      <c r="U908" s="248">
        <f t="shared" si="92"/>
        <v>137.7415</v>
      </c>
      <c r="V908" s="248">
        <f t="shared" si="93"/>
        <v>24.391499999999997</v>
      </c>
      <c r="W908" s="248">
        <f t="shared" si="94"/>
        <v>-158.26</v>
      </c>
      <c r="X908" s="248">
        <f t="shared" si="95"/>
        <v>3.8730000000000189</v>
      </c>
      <c r="Y908" s="248">
        <f t="shared" ref="Y908:Y971" ca="1" si="98">$Y$10*EXP($Y$7*$C$6)-$Y$10</f>
        <v>13.385727699892982</v>
      </c>
      <c r="Z908" s="248">
        <f t="shared" ca="1" si="96"/>
        <v>5.4128289443844944</v>
      </c>
      <c r="AA908" s="250">
        <f t="shared" ca="1" si="97"/>
        <v>541.28289443844949</v>
      </c>
    </row>
    <row r="909" spans="5:27" x14ac:dyDescent="0.3">
      <c r="E909" s="241"/>
      <c r="F909" s="241"/>
      <c r="T909" s="254">
        <v>897</v>
      </c>
      <c r="U909" s="248">
        <f t="shared" ref="U909:U972" si="99">MAX(0,T909-$U$9)-$U$10-$U$11/100</f>
        <v>138.7415</v>
      </c>
      <c r="V909" s="248">
        <f t="shared" ref="V909:V972" si="100">$V$10-MAX(0,$V$9-T909)-$V$11/100</f>
        <v>24.391499999999997</v>
      </c>
      <c r="W909" s="248">
        <f t="shared" ref="W909:W972" si="101">$W$10-T909</f>
        <v>-159.26</v>
      </c>
      <c r="X909" s="248">
        <f t="shared" ref="X909:X972" si="102">SUM(U909:W909)</f>
        <v>3.8730000000000189</v>
      </c>
      <c r="Y909" s="248">
        <f t="shared" ca="1" si="98"/>
        <v>13.385727699892982</v>
      </c>
      <c r="Z909" s="248">
        <f t="shared" ref="Z909:Z972" ca="1" si="103">EXP(-$E$3*$C$6)*SUM(X909:Y909)</f>
        <v>5.4128289443844944</v>
      </c>
      <c r="AA909" s="250">
        <f t="shared" ref="AA909:AA972" ca="1" si="104">Z909*100</f>
        <v>541.28289443844949</v>
      </c>
    </row>
    <row r="910" spans="5:27" x14ac:dyDescent="0.3">
      <c r="E910" s="241"/>
      <c r="F910" s="241"/>
      <c r="T910" s="254">
        <v>898</v>
      </c>
      <c r="U910" s="248">
        <f t="shared" si="99"/>
        <v>139.7415</v>
      </c>
      <c r="V910" s="248">
        <f t="shared" si="100"/>
        <v>24.391499999999997</v>
      </c>
      <c r="W910" s="248">
        <f t="shared" si="101"/>
        <v>-160.26</v>
      </c>
      <c r="X910" s="248">
        <f t="shared" si="102"/>
        <v>3.8730000000000189</v>
      </c>
      <c r="Y910" s="248">
        <f t="shared" ca="1" si="98"/>
        <v>13.385727699892982</v>
      </c>
      <c r="Z910" s="248">
        <f t="shared" ca="1" si="103"/>
        <v>5.4128289443844944</v>
      </c>
      <c r="AA910" s="250">
        <f t="shared" ca="1" si="104"/>
        <v>541.28289443844949</v>
      </c>
    </row>
    <row r="911" spans="5:27" x14ac:dyDescent="0.3">
      <c r="E911" s="241"/>
      <c r="F911" s="241"/>
      <c r="T911" s="254">
        <v>899</v>
      </c>
      <c r="U911" s="248">
        <f t="shared" si="99"/>
        <v>140.7415</v>
      </c>
      <c r="V911" s="248">
        <f t="shared" si="100"/>
        <v>24.391499999999997</v>
      </c>
      <c r="W911" s="248">
        <f t="shared" si="101"/>
        <v>-161.26</v>
      </c>
      <c r="X911" s="248">
        <f t="shared" si="102"/>
        <v>3.8730000000000189</v>
      </c>
      <c r="Y911" s="248">
        <f t="shared" ca="1" si="98"/>
        <v>13.385727699892982</v>
      </c>
      <c r="Z911" s="248">
        <f t="shared" ca="1" si="103"/>
        <v>5.4128289443844944</v>
      </c>
      <c r="AA911" s="250">
        <f t="shared" ca="1" si="104"/>
        <v>541.28289443844949</v>
      </c>
    </row>
    <row r="912" spans="5:27" x14ac:dyDescent="0.3">
      <c r="E912" s="241"/>
      <c r="F912" s="241"/>
      <c r="T912" s="254">
        <v>900</v>
      </c>
      <c r="U912" s="248">
        <f t="shared" si="99"/>
        <v>141.7415</v>
      </c>
      <c r="V912" s="248">
        <f t="shared" si="100"/>
        <v>24.391499999999997</v>
      </c>
      <c r="W912" s="248">
        <f t="shared" si="101"/>
        <v>-162.26</v>
      </c>
      <c r="X912" s="248">
        <f t="shared" si="102"/>
        <v>3.8730000000000189</v>
      </c>
      <c r="Y912" s="248">
        <f t="shared" ca="1" si="98"/>
        <v>13.385727699892982</v>
      </c>
      <c r="Z912" s="248">
        <f t="shared" ca="1" si="103"/>
        <v>5.4128289443844944</v>
      </c>
      <c r="AA912" s="250">
        <f t="shared" ca="1" si="104"/>
        <v>541.28289443844949</v>
      </c>
    </row>
    <row r="913" spans="5:27" x14ac:dyDescent="0.3">
      <c r="E913" s="241"/>
      <c r="F913" s="241"/>
      <c r="T913" s="254">
        <v>901</v>
      </c>
      <c r="U913" s="248">
        <f t="shared" si="99"/>
        <v>142.7415</v>
      </c>
      <c r="V913" s="248">
        <f t="shared" si="100"/>
        <v>24.391499999999997</v>
      </c>
      <c r="W913" s="248">
        <f t="shared" si="101"/>
        <v>-163.26</v>
      </c>
      <c r="X913" s="248">
        <f t="shared" si="102"/>
        <v>3.8730000000000189</v>
      </c>
      <c r="Y913" s="248">
        <f t="shared" ca="1" si="98"/>
        <v>13.385727699892982</v>
      </c>
      <c r="Z913" s="248">
        <f t="shared" ca="1" si="103"/>
        <v>5.4128289443844944</v>
      </c>
      <c r="AA913" s="250">
        <f t="shared" ca="1" si="104"/>
        <v>541.28289443844949</v>
      </c>
    </row>
    <row r="914" spans="5:27" x14ac:dyDescent="0.3">
      <c r="E914" s="241"/>
      <c r="F914" s="241"/>
      <c r="T914" s="254">
        <v>902</v>
      </c>
      <c r="U914" s="248">
        <f t="shared" si="99"/>
        <v>143.7415</v>
      </c>
      <c r="V914" s="248">
        <f t="shared" si="100"/>
        <v>24.391499999999997</v>
      </c>
      <c r="W914" s="248">
        <f t="shared" si="101"/>
        <v>-164.26</v>
      </c>
      <c r="X914" s="248">
        <f t="shared" si="102"/>
        <v>3.8730000000000189</v>
      </c>
      <c r="Y914" s="248">
        <f t="shared" ca="1" si="98"/>
        <v>13.385727699892982</v>
      </c>
      <c r="Z914" s="248">
        <f t="shared" ca="1" si="103"/>
        <v>5.4128289443844944</v>
      </c>
      <c r="AA914" s="250">
        <f t="shared" ca="1" si="104"/>
        <v>541.28289443844949</v>
      </c>
    </row>
    <row r="915" spans="5:27" x14ac:dyDescent="0.3">
      <c r="E915" s="241"/>
      <c r="F915" s="241"/>
      <c r="T915" s="254">
        <v>903</v>
      </c>
      <c r="U915" s="248">
        <f t="shared" si="99"/>
        <v>144.7415</v>
      </c>
      <c r="V915" s="248">
        <f t="shared" si="100"/>
        <v>24.391499999999997</v>
      </c>
      <c r="W915" s="248">
        <f t="shared" si="101"/>
        <v>-165.26</v>
      </c>
      <c r="X915" s="248">
        <f t="shared" si="102"/>
        <v>3.8730000000000189</v>
      </c>
      <c r="Y915" s="248">
        <f t="shared" ca="1" si="98"/>
        <v>13.385727699892982</v>
      </c>
      <c r="Z915" s="248">
        <f t="shared" ca="1" si="103"/>
        <v>5.4128289443844944</v>
      </c>
      <c r="AA915" s="250">
        <f t="shared" ca="1" si="104"/>
        <v>541.28289443844949</v>
      </c>
    </row>
    <row r="916" spans="5:27" x14ac:dyDescent="0.3">
      <c r="E916" s="241"/>
      <c r="F916" s="241"/>
      <c r="T916" s="254">
        <v>904</v>
      </c>
      <c r="U916" s="248">
        <f t="shared" si="99"/>
        <v>145.7415</v>
      </c>
      <c r="V916" s="248">
        <f t="shared" si="100"/>
        <v>24.391499999999997</v>
      </c>
      <c r="W916" s="248">
        <f t="shared" si="101"/>
        <v>-166.26</v>
      </c>
      <c r="X916" s="248">
        <f t="shared" si="102"/>
        <v>3.8730000000000189</v>
      </c>
      <c r="Y916" s="248">
        <f t="shared" ca="1" si="98"/>
        <v>13.385727699892982</v>
      </c>
      <c r="Z916" s="248">
        <f t="shared" ca="1" si="103"/>
        <v>5.4128289443844944</v>
      </c>
      <c r="AA916" s="250">
        <f t="shared" ca="1" si="104"/>
        <v>541.28289443844949</v>
      </c>
    </row>
    <row r="917" spans="5:27" x14ac:dyDescent="0.3">
      <c r="E917" s="241"/>
      <c r="F917" s="241"/>
      <c r="T917" s="254">
        <v>905</v>
      </c>
      <c r="U917" s="248">
        <f t="shared" si="99"/>
        <v>146.7415</v>
      </c>
      <c r="V917" s="248">
        <f t="shared" si="100"/>
        <v>24.391499999999997</v>
      </c>
      <c r="W917" s="248">
        <f t="shared" si="101"/>
        <v>-167.26</v>
      </c>
      <c r="X917" s="248">
        <f t="shared" si="102"/>
        <v>3.8730000000000189</v>
      </c>
      <c r="Y917" s="248">
        <f t="shared" ca="1" si="98"/>
        <v>13.385727699892982</v>
      </c>
      <c r="Z917" s="248">
        <f t="shared" ca="1" si="103"/>
        <v>5.4128289443844944</v>
      </c>
      <c r="AA917" s="250">
        <f t="shared" ca="1" si="104"/>
        <v>541.28289443844949</v>
      </c>
    </row>
    <row r="918" spans="5:27" x14ac:dyDescent="0.3">
      <c r="E918" s="241"/>
      <c r="F918" s="241"/>
      <c r="T918" s="254">
        <v>906</v>
      </c>
      <c r="U918" s="248">
        <f t="shared" si="99"/>
        <v>147.7415</v>
      </c>
      <c r="V918" s="248">
        <f t="shared" si="100"/>
        <v>24.391499999999997</v>
      </c>
      <c r="W918" s="248">
        <f t="shared" si="101"/>
        <v>-168.26</v>
      </c>
      <c r="X918" s="248">
        <f t="shared" si="102"/>
        <v>3.8730000000000189</v>
      </c>
      <c r="Y918" s="248">
        <f t="shared" ca="1" si="98"/>
        <v>13.385727699892982</v>
      </c>
      <c r="Z918" s="248">
        <f t="shared" ca="1" si="103"/>
        <v>5.4128289443844944</v>
      </c>
      <c r="AA918" s="250">
        <f t="shared" ca="1" si="104"/>
        <v>541.28289443844949</v>
      </c>
    </row>
    <row r="919" spans="5:27" x14ac:dyDescent="0.3">
      <c r="E919" s="241"/>
      <c r="F919" s="241"/>
      <c r="T919" s="254">
        <v>907</v>
      </c>
      <c r="U919" s="248">
        <f t="shared" si="99"/>
        <v>148.7415</v>
      </c>
      <c r="V919" s="248">
        <f t="shared" si="100"/>
        <v>24.391499999999997</v>
      </c>
      <c r="W919" s="248">
        <f t="shared" si="101"/>
        <v>-169.26</v>
      </c>
      <c r="X919" s="248">
        <f t="shared" si="102"/>
        <v>3.8730000000000189</v>
      </c>
      <c r="Y919" s="248">
        <f t="shared" ca="1" si="98"/>
        <v>13.385727699892982</v>
      </c>
      <c r="Z919" s="248">
        <f t="shared" ca="1" si="103"/>
        <v>5.4128289443844944</v>
      </c>
      <c r="AA919" s="250">
        <f t="shared" ca="1" si="104"/>
        <v>541.28289443844949</v>
      </c>
    </row>
    <row r="920" spans="5:27" x14ac:dyDescent="0.3">
      <c r="E920" s="241"/>
      <c r="F920" s="241"/>
      <c r="T920" s="254">
        <v>908</v>
      </c>
      <c r="U920" s="248">
        <f t="shared" si="99"/>
        <v>149.7415</v>
      </c>
      <c r="V920" s="248">
        <f t="shared" si="100"/>
        <v>24.391499999999997</v>
      </c>
      <c r="W920" s="248">
        <f t="shared" si="101"/>
        <v>-170.26</v>
      </c>
      <c r="X920" s="248">
        <f t="shared" si="102"/>
        <v>3.8730000000000189</v>
      </c>
      <c r="Y920" s="248">
        <f t="shared" ca="1" si="98"/>
        <v>13.385727699892982</v>
      </c>
      <c r="Z920" s="248">
        <f t="shared" ca="1" si="103"/>
        <v>5.4128289443844944</v>
      </c>
      <c r="AA920" s="250">
        <f t="shared" ca="1" si="104"/>
        <v>541.28289443844949</v>
      </c>
    </row>
    <row r="921" spans="5:27" x14ac:dyDescent="0.3">
      <c r="E921" s="241"/>
      <c r="F921" s="241"/>
      <c r="T921" s="254">
        <v>909</v>
      </c>
      <c r="U921" s="248">
        <f t="shared" si="99"/>
        <v>150.7415</v>
      </c>
      <c r="V921" s="248">
        <f t="shared" si="100"/>
        <v>24.391499999999997</v>
      </c>
      <c r="W921" s="248">
        <f t="shared" si="101"/>
        <v>-171.26</v>
      </c>
      <c r="X921" s="248">
        <f t="shared" si="102"/>
        <v>3.8730000000000189</v>
      </c>
      <c r="Y921" s="248">
        <f t="shared" ca="1" si="98"/>
        <v>13.385727699892982</v>
      </c>
      <c r="Z921" s="248">
        <f t="shared" ca="1" si="103"/>
        <v>5.4128289443844944</v>
      </c>
      <c r="AA921" s="250">
        <f t="shared" ca="1" si="104"/>
        <v>541.28289443844949</v>
      </c>
    </row>
    <row r="922" spans="5:27" x14ac:dyDescent="0.3">
      <c r="E922" s="241"/>
      <c r="F922" s="241"/>
      <c r="T922" s="254">
        <v>910</v>
      </c>
      <c r="U922" s="248">
        <f t="shared" si="99"/>
        <v>151.7415</v>
      </c>
      <c r="V922" s="248">
        <f t="shared" si="100"/>
        <v>24.391499999999997</v>
      </c>
      <c r="W922" s="248">
        <f t="shared" si="101"/>
        <v>-172.26</v>
      </c>
      <c r="X922" s="248">
        <f t="shared" si="102"/>
        <v>3.8730000000000189</v>
      </c>
      <c r="Y922" s="248">
        <f t="shared" ca="1" si="98"/>
        <v>13.385727699892982</v>
      </c>
      <c r="Z922" s="248">
        <f t="shared" ca="1" si="103"/>
        <v>5.4128289443844944</v>
      </c>
      <c r="AA922" s="250">
        <f t="shared" ca="1" si="104"/>
        <v>541.28289443844949</v>
      </c>
    </row>
    <row r="923" spans="5:27" x14ac:dyDescent="0.3">
      <c r="E923" s="241"/>
      <c r="F923" s="241"/>
      <c r="T923" s="254">
        <v>911</v>
      </c>
      <c r="U923" s="248">
        <f t="shared" si="99"/>
        <v>152.7415</v>
      </c>
      <c r="V923" s="248">
        <f t="shared" si="100"/>
        <v>24.391499999999997</v>
      </c>
      <c r="W923" s="248">
        <f t="shared" si="101"/>
        <v>-173.26</v>
      </c>
      <c r="X923" s="248">
        <f t="shared" si="102"/>
        <v>3.8730000000000189</v>
      </c>
      <c r="Y923" s="248">
        <f t="shared" ca="1" si="98"/>
        <v>13.385727699892982</v>
      </c>
      <c r="Z923" s="248">
        <f t="shared" ca="1" si="103"/>
        <v>5.4128289443844944</v>
      </c>
      <c r="AA923" s="250">
        <f t="shared" ca="1" si="104"/>
        <v>541.28289443844949</v>
      </c>
    </row>
    <row r="924" spans="5:27" x14ac:dyDescent="0.3">
      <c r="E924" s="241"/>
      <c r="F924" s="241"/>
      <c r="T924" s="254">
        <v>912</v>
      </c>
      <c r="U924" s="248">
        <f t="shared" si="99"/>
        <v>153.7415</v>
      </c>
      <c r="V924" s="248">
        <f t="shared" si="100"/>
        <v>24.391499999999997</v>
      </c>
      <c r="W924" s="248">
        <f t="shared" si="101"/>
        <v>-174.26</v>
      </c>
      <c r="X924" s="248">
        <f t="shared" si="102"/>
        <v>3.8730000000000189</v>
      </c>
      <c r="Y924" s="248">
        <f t="shared" ca="1" si="98"/>
        <v>13.385727699892982</v>
      </c>
      <c r="Z924" s="248">
        <f t="shared" ca="1" si="103"/>
        <v>5.4128289443844944</v>
      </c>
      <c r="AA924" s="250">
        <f t="shared" ca="1" si="104"/>
        <v>541.28289443844949</v>
      </c>
    </row>
    <row r="925" spans="5:27" x14ac:dyDescent="0.3">
      <c r="E925" s="241"/>
      <c r="F925" s="241"/>
      <c r="T925" s="254">
        <v>913</v>
      </c>
      <c r="U925" s="248">
        <f t="shared" si="99"/>
        <v>154.7415</v>
      </c>
      <c r="V925" s="248">
        <f t="shared" si="100"/>
        <v>24.391499999999997</v>
      </c>
      <c r="W925" s="248">
        <f t="shared" si="101"/>
        <v>-175.26</v>
      </c>
      <c r="X925" s="248">
        <f t="shared" si="102"/>
        <v>3.8730000000000189</v>
      </c>
      <c r="Y925" s="248">
        <f t="shared" ca="1" si="98"/>
        <v>13.385727699892982</v>
      </c>
      <c r="Z925" s="248">
        <f t="shared" ca="1" si="103"/>
        <v>5.4128289443844944</v>
      </c>
      <c r="AA925" s="250">
        <f t="shared" ca="1" si="104"/>
        <v>541.28289443844949</v>
      </c>
    </row>
    <row r="926" spans="5:27" x14ac:dyDescent="0.3">
      <c r="E926" s="241"/>
      <c r="F926" s="241"/>
      <c r="T926" s="254">
        <v>914</v>
      </c>
      <c r="U926" s="248">
        <f t="shared" si="99"/>
        <v>155.7415</v>
      </c>
      <c r="V926" s="248">
        <f t="shared" si="100"/>
        <v>24.391499999999997</v>
      </c>
      <c r="W926" s="248">
        <f t="shared" si="101"/>
        <v>-176.26</v>
      </c>
      <c r="X926" s="248">
        <f t="shared" si="102"/>
        <v>3.8730000000000189</v>
      </c>
      <c r="Y926" s="248">
        <f t="shared" ca="1" si="98"/>
        <v>13.385727699892982</v>
      </c>
      <c r="Z926" s="248">
        <f t="shared" ca="1" si="103"/>
        <v>5.4128289443844944</v>
      </c>
      <c r="AA926" s="250">
        <f t="shared" ca="1" si="104"/>
        <v>541.28289443844949</v>
      </c>
    </row>
    <row r="927" spans="5:27" x14ac:dyDescent="0.3">
      <c r="E927" s="241"/>
      <c r="F927" s="241"/>
      <c r="T927" s="254">
        <v>915</v>
      </c>
      <c r="U927" s="248">
        <f t="shared" si="99"/>
        <v>156.7415</v>
      </c>
      <c r="V927" s="248">
        <f t="shared" si="100"/>
        <v>24.391499999999997</v>
      </c>
      <c r="W927" s="248">
        <f t="shared" si="101"/>
        <v>-177.26</v>
      </c>
      <c r="X927" s="248">
        <f t="shared" si="102"/>
        <v>3.8730000000000189</v>
      </c>
      <c r="Y927" s="248">
        <f t="shared" ca="1" si="98"/>
        <v>13.385727699892982</v>
      </c>
      <c r="Z927" s="248">
        <f t="shared" ca="1" si="103"/>
        <v>5.4128289443844944</v>
      </c>
      <c r="AA927" s="250">
        <f t="shared" ca="1" si="104"/>
        <v>541.28289443844949</v>
      </c>
    </row>
    <row r="928" spans="5:27" x14ac:dyDescent="0.3">
      <c r="E928" s="241"/>
      <c r="F928" s="241"/>
      <c r="T928" s="254">
        <v>916</v>
      </c>
      <c r="U928" s="248">
        <f t="shared" si="99"/>
        <v>157.7415</v>
      </c>
      <c r="V928" s="248">
        <f t="shared" si="100"/>
        <v>24.391499999999997</v>
      </c>
      <c r="W928" s="248">
        <f t="shared" si="101"/>
        <v>-178.26</v>
      </c>
      <c r="X928" s="248">
        <f t="shared" si="102"/>
        <v>3.8730000000000189</v>
      </c>
      <c r="Y928" s="248">
        <f t="shared" ca="1" si="98"/>
        <v>13.385727699892982</v>
      </c>
      <c r="Z928" s="248">
        <f t="shared" ca="1" si="103"/>
        <v>5.4128289443844944</v>
      </c>
      <c r="AA928" s="250">
        <f t="shared" ca="1" si="104"/>
        <v>541.28289443844949</v>
      </c>
    </row>
    <row r="929" spans="5:27" x14ac:dyDescent="0.3">
      <c r="E929" s="241"/>
      <c r="F929" s="241"/>
      <c r="T929" s="254">
        <v>917</v>
      </c>
      <c r="U929" s="248">
        <f t="shared" si="99"/>
        <v>158.7415</v>
      </c>
      <c r="V929" s="248">
        <f t="shared" si="100"/>
        <v>24.391499999999997</v>
      </c>
      <c r="W929" s="248">
        <f t="shared" si="101"/>
        <v>-179.26</v>
      </c>
      <c r="X929" s="248">
        <f t="shared" si="102"/>
        <v>3.8730000000000189</v>
      </c>
      <c r="Y929" s="248">
        <f t="shared" ca="1" si="98"/>
        <v>13.385727699892982</v>
      </c>
      <c r="Z929" s="248">
        <f t="shared" ca="1" si="103"/>
        <v>5.4128289443844944</v>
      </c>
      <c r="AA929" s="250">
        <f t="shared" ca="1" si="104"/>
        <v>541.28289443844949</v>
      </c>
    </row>
    <row r="930" spans="5:27" x14ac:dyDescent="0.3">
      <c r="E930" s="241"/>
      <c r="F930" s="241"/>
      <c r="T930" s="254">
        <v>918</v>
      </c>
      <c r="U930" s="248">
        <f t="shared" si="99"/>
        <v>159.7415</v>
      </c>
      <c r="V930" s="248">
        <f t="shared" si="100"/>
        <v>24.391499999999997</v>
      </c>
      <c r="W930" s="248">
        <f t="shared" si="101"/>
        <v>-180.26</v>
      </c>
      <c r="X930" s="248">
        <f t="shared" si="102"/>
        <v>3.8730000000000189</v>
      </c>
      <c r="Y930" s="248">
        <f t="shared" ca="1" si="98"/>
        <v>13.385727699892982</v>
      </c>
      <c r="Z930" s="248">
        <f t="shared" ca="1" si="103"/>
        <v>5.4128289443844944</v>
      </c>
      <c r="AA930" s="250">
        <f t="shared" ca="1" si="104"/>
        <v>541.28289443844949</v>
      </c>
    </row>
    <row r="931" spans="5:27" x14ac:dyDescent="0.3">
      <c r="E931" s="241"/>
      <c r="F931" s="241"/>
      <c r="T931" s="254">
        <v>919</v>
      </c>
      <c r="U931" s="248">
        <f t="shared" si="99"/>
        <v>160.7415</v>
      </c>
      <c r="V931" s="248">
        <f t="shared" si="100"/>
        <v>24.391499999999997</v>
      </c>
      <c r="W931" s="248">
        <f t="shared" si="101"/>
        <v>-181.26</v>
      </c>
      <c r="X931" s="248">
        <f t="shared" si="102"/>
        <v>3.8730000000000189</v>
      </c>
      <c r="Y931" s="248">
        <f t="shared" ca="1" si="98"/>
        <v>13.385727699892982</v>
      </c>
      <c r="Z931" s="248">
        <f t="shared" ca="1" si="103"/>
        <v>5.4128289443844944</v>
      </c>
      <c r="AA931" s="250">
        <f t="shared" ca="1" si="104"/>
        <v>541.28289443844949</v>
      </c>
    </row>
    <row r="932" spans="5:27" x14ac:dyDescent="0.3">
      <c r="E932" s="241"/>
      <c r="F932" s="241"/>
      <c r="T932" s="254">
        <v>920</v>
      </c>
      <c r="U932" s="248">
        <f t="shared" si="99"/>
        <v>161.7415</v>
      </c>
      <c r="V932" s="248">
        <f t="shared" si="100"/>
        <v>24.391499999999997</v>
      </c>
      <c r="W932" s="248">
        <f t="shared" si="101"/>
        <v>-182.26</v>
      </c>
      <c r="X932" s="248">
        <f t="shared" si="102"/>
        <v>3.8730000000000189</v>
      </c>
      <c r="Y932" s="248">
        <f t="shared" ca="1" si="98"/>
        <v>13.385727699892982</v>
      </c>
      <c r="Z932" s="248">
        <f t="shared" ca="1" si="103"/>
        <v>5.4128289443844944</v>
      </c>
      <c r="AA932" s="250">
        <f t="shared" ca="1" si="104"/>
        <v>541.28289443844949</v>
      </c>
    </row>
    <row r="933" spans="5:27" x14ac:dyDescent="0.3">
      <c r="E933" s="241"/>
      <c r="F933" s="241"/>
      <c r="T933" s="254">
        <v>921</v>
      </c>
      <c r="U933" s="248">
        <f t="shared" si="99"/>
        <v>162.7415</v>
      </c>
      <c r="V933" s="248">
        <f t="shared" si="100"/>
        <v>24.391499999999997</v>
      </c>
      <c r="W933" s="248">
        <f t="shared" si="101"/>
        <v>-183.26</v>
      </c>
      <c r="X933" s="248">
        <f t="shared" si="102"/>
        <v>3.8730000000000189</v>
      </c>
      <c r="Y933" s="248">
        <f t="shared" ca="1" si="98"/>
        <v>13.385727699892982</v>
      </c>
      <c r="Z933" s="248">
        <f t="shared" ca="1" si="103"/>
        <v>5.4128289443844944</v>
      </c>
      <c r="AA933" s="250">
        <f t="shared" ca="1" si="104"/>
        <v>541.28289443844949</v>
      </c>
    </row>
    <row r="934" spans="5:27" x14ac:dyDescent="0.3">
      <c r="E934" s="241"/>
      <c r="F934" s="241"/>
      <c r="T934" s="254">
        <v>922</v>
      </c>
      <c r="U934" s="248">
        <f t="shared" si="99"/>
        <v>163.7415</v>
      </c>
      <c r="V934" s="248">
        <f t="shared" si="100"/>
        <v>24.391499999999997</v>
      </c>
      <c r="W934" s="248">
        <f t="shared" si="101"/>
        <v>-184.26</v>
      </c>
      <c r="X934" s="248">
        <f t="shared" si="102"/>
        <v>3.8730000000000189</v>
      </c>
      <c r="Y934" s="248">
        <f t="shared" ca="1" si="98"/>
        <v>13.385727699892982</v>
      </c>
      <c r="Z934" s="248">
        <f t="shared" ca="1" si="103"/>
        <v>5.4128289443844944</v>
      </c>
      <c r="AA934" s="250">
        <f t="shared" ca="1" si="104"/>
        <v>541.28289443844949</v>
      </c>
    </row>
    <row r="935" spans="5:27" x14ac:dyDescent="0.3">
      <c r="E935" s="241"/>
      <c r="F935" s="241"/>
      <c r="T935" s="254">
        <v>923</v>
      </c>
      <c r="U935" s="248">
        <f t="shared" si="99"/>
        <v>164.7415</v>
      </c>
      <c r="V935" s="248">
        <f t="shared" si="100"/>
        <v>24.391499999999997</v>
      </c>
      <c r="W935" s="248">
        <f t="shared" si="101"/>
        <v>-185.26</v>
      </c>
      <c r="X935" s="248">
        <f t="shared" si="102"/>
        <v>3.8730000000000189</v>
      </c>
      <c r="Y935" s="248">
        <f t="shared" ca="1" si="98"/>
        <v>13.385727699892982</v>
      </c>
      <c r="Z935" s="248">
        <f t="shared" ca="1" si="103"/>
        <v>5.4128289443844944</v>
      </c>
      <c r="AA935" s="250">
        <f t="shared" ca="1" si="104"/>
        <v>541.28289443844949</v>
      </c>
    </row>
    <row r="936" spans="5:27" x14ac:dyDescent="0.3">
      <c r="E936" s="241"/>
      <c r="F936" s="241"/>
      <c r="T936" s="254">
        <v>924</v>
      </c>
      <c r="U936" s="248">
        <f t="shared" si="99"/>
        <v>165.7415</v>
      </c>
      <c r="V936" s="248">
        <f t="shared" si="100"/>
        <v>24.391499999999997</v>
      </c>
      <c r="W936" s="248">
        <f t="shared" si="101"/>
        <v>-186.26</v>
      </c>
      <c r="X936" s="248">
        <f t="shared" si="102"/>
        <v>3.8730000000000189</v>
      </c>
      <c r="Y936" s="248">
        <f t="shared" ca="1" si="98"/>
        <v>13.385727699892982</v>
      </c>
      <c r="Z936" s="248">
        <f t="shared" ca="1" si="103"/>
        <v>5.4128289443844944</v>
      </c>
      <c r="AA936" s="250">
        <f t="shared" ca="1" si="104"/>
        <v>541.28289443844949</v>
      </c>
    </row>
    <row r="937" spans="5:27" x14ac:dyDescent="0.3">
      <c r="E937" s="241"/>
      <c r="F937" s="241"/>
      <c r="T937" s="254">
        <v>925</v>
      </c>
      <c r="U937" s="248">
        <f t="shared" si="99"/>
        <v>166.7415</v>
      </c>
      <c r="V937" s="248">
        <f t="shared" si="100"/>
        <v>24.391499999999997</v>
      </c>
      <c r="W937" s="248">
        <f t="shared" si="101"/>
        <v>-187.26</v>
      </c>
      <c r="X937" s="248">
        <f t="shared" si="102"/>
        <v>3.8730000000000189</v>
      </c>
      <c r="Y937" s="248">
        <f t="shared" ca="1" si="98"/>
        <v>13.385727699892982</v>
      </c>
      <c r="Z937" s="248">
        <f t="shared" ca="1" si="103"/>
        <v>5.4128289443844944</v>
      </c>
      <c r="AA937" s="250">
        <f t="shared" ca="1" si="104"/>
        <v>541.28289443844949</v>
      </c>
    </row>
    <row r="938" spans="5:27" x14ac:dyDescent="0.3">
      <c r="E938" s="241"/>
      <c r="F938" s="241"/>
      <c r="T938" s="254">
        <v>926</v>
      </c>
      <c r="U938" s="248">
        <f t="shared" si="99"/>
        <v>167.7415</v>
      </c>
      <c r="V938" s="248">
        <f t="shared" si="100"/>
        <v>24.391499999999997</v>
      </c>
      <c r="W938" s="248">
        <f t="shared" si="101"/>
        <v>-188.26</v>
      </c>
      <c r="X938" s="248">
        <f t="shared" si="102"/>
        <v>3.8730000000000189</v>
      </c>
      <c r="Y938" s="248">
        <f t="shared" ca="1" si="98"/>
        <v>13.385727699892982</v>
      </c>
      <c r="Z938" s="248">
        <f t="shared" ca="1" si="103"/>
        <v>5.4128289443844944</v>
      </c>
      <c r="AA938" s="250">
        <f t="shared" ca="1" si="104"/>
        <v>541.28289443844949</v>
      </c>
    </row>
    <row r="939" spans="5:27" x14ac:dyDescent="0.3">
      <c r="E939" s="241"/>
      <c r="F939" s="241"/>
      <c r="T939" s="254">
        <v>927</v>
      </c>
      <c r="U939" s="248">
        <f t="shared" si="99"/>
        <v>168.7415</v>
      </c>
      <c r="V939" s="248">
        <f t="shared" si="100"/>
        <v>24.391499999999997</v>
      </c>
      <c r="W939" s="248">
        <f t="shared" si="101"/>
        <v>-189.26</v>
      </c>
      <c r="X939" s="248">
        <f t="shared" si="102"/>
        <v>3.8730000000000189</v>
      </c>
      <c r="Y939" s="248">
        <f t="shared" ca="1" si="98"/>
        <v>13.385727699892982</v>
      </c>
      <c r="Z939" s="248">
        <f t="shared" ca="1" si="103"/>
        <v>5.4128289443844944</v>
      </c>
      <c r="AA939" s="250">
        <f t="shared" ca="1" si="104"/>
        <v>541.28289443844949</v>
      </c>
    </row>
    <row r="940" spans="5:27" x14ac:dyDescent="0.3">
      <c r="E940" s="241"/>
      <c r="F940" s="241"/>
      <c r="T940" s="254">
        <v>928</v>
      </c>
      <c r="U940" s="248">
        <f t="shared" si="99"/>
        <v>169.7415</v>
      </c>
      <c r="V940" s="248">
        <f t="shared" si="100"/>
        <v>24.391499999999997</v>
      </c>
      <c r="W940" s="248">
        <f t="shared" si="101"/>
        <v>-190.26</v>
      </c>
      <c r="X940" s="248">
        <f t="shared" si="102"/>
        <v>3.8730000000000189</v>
      </c>
      <c r="Y940" s="248">
        <f t="shared" ca="1" si="98"/>
        <v>13.385727699892982</v>
      </c>
      <c r="Z940" s="248">
        <f t="shared" ca="1" si="103"/>
        <v>5.4128289443844944</v>
      </c>
      <c r="AA940" s="250">
        <f t="shared" ca="1" si="104"/>
        <v>541.28289443844949</v>
      </c>
    </row>
    <row r="941" spans="5:27" x14ac:dyDescent="0.3">
      <c r="E941" s="241"/>
      <c r="F941" s="241"/>
      <c r="T941" s="254">
        <v>929</v>
      </c>
      <c r="U941" s="248">
        <f t="shared" si="99"/>
        <v>170.7415</v>
      </c>
      <c r="V941" s="248">
        <f t="shared" si="100"/>
        <v>24.391499999999997</v>
      </c>
      <c r="W941" s="248">
        <f t="shared" si="101"/>
        <v>-191.26</v>
      </c>
      <c r="X941" s="248">
        <f t="shared" si="102"/>
        <v>3.8730000000000189</v>
      </c>
      <c r="Y941" s="248">
        <f t="shared" ca="1" si="98"/>
        <v>13.385727699892982</v>
      </c>
      <c r="Z941" s="248">
        <f t="shared" ca="1" si="103"/>
        <v>5.4128289443844944</v>
      </c>
      <c r="AA941" s="250">
        <f t="shared" ca="1" si="104"/>
        <v>541.28289443844949</v>
      </c>
    </row>
    <row r="942" spans="5:27" x14ac:dyDescent="0.3">
      <c r="E942" s="241"/>
      <c r="F942" s="241"/>
      <c r="T942" s="254">
        <v>930</v>
      </c>
      <c r="U942" s="248">
        <f t="shared" si="99"/>
        <v>171.7415</v>
      </c>
      <c r="V942" s="248">
        <f t="shared" si="100"/>
        <v>24.391499999999997</v>
      </c>
      <c r="W942" s="248">
        <f t="shared" si="101"/>
        <v>-192.26</v>
      </c>
      <c r="X942" s="248">
        <f t="shared" si="102"/>
        <v>3.8730000000000189</v>
      </c>
      <c r="Y942" s="248">
        <f t="shared" ca="1" si="98"/>
        <v>13.385727699892982</v>
      </c>
      <c r="Z942" s="248">
        <f t="shared" ca="1" si="103"/>
        <v>5.4128289443844944</v>
      </c>
      <c r="AA942" s="250">
        <f t="shared" ca="1" si="104"/>
        <v>541.28289443844949</v>
      </c>
    </row>
    <row r="943" spans="5:27" x14ac:dyDescent="0.3">
      <c r="E943" s="241"/>
      <c r="F943" s="241"/>
      <c r="T943" s="254">
        <v>931</v>
      </c>
      <c r="U943" s="248">
        <f t="shared" si="99"/>
        <v>172.7415</v>
      </c>
      <c r="V943" s="248">
        <f t="shared" si="100"/>
        <v>24.391499999999997</v>
      </c>
      <c r="W943" s="248">
        <f t="shared" si="101"/>
        <v>-193.26</v>
      </c>
      <c r="X943" s="248">
        <f t="shared" si="102"/>
        <v>3.8730000000000189</v>
      </c>
      <c r="Y943" s="248">
        <f t="shared" ca="1" si="98"/>
        <v>13.385727699892982</v>
      </c>
      <c r="Z943" s="248">
        <f t="shared" ca="1" si="103"/>
        <v>5.4128289443844944</v>
      </c>
      <c r="AA943" s="250">
        <f t="shared" ca="1" si="104"/>
        <v>541.28289443844949</v>
      </c>
    </row>
    <row r="944" spans="5:27" x14ac:dyDescent="0.3">
      <c r="E944" s="241"/>
      <c r="F944" s="241"/>
      <c r="T944" s="254">
        <v>932</v>
      </c>
      <c r="U944" s="248">
        <f t="shared" si="99"/>
        <v>173.7415</v>
      </c>
      <c r="V944" s="248">
        <f t="shared" si="100"/>
        <v>24.391499999999997</v>
      </c>
      <c r="W944" s="248">
        <f t="shared" si="101"/>
        <v>-194.26</v>
      </c>
      <c r="X944" s="248">
        <f t="shared" si="102"/>
        <v>3.8730000000000189</v>
      </c>
      <c r="Y944" s="248">
        <f t="shared" ca="1" si="98"/>
        <v>13.385727699892982</v>
      </c>
      <c r="Z944" s="248">
        <f t="shared" ca="1" si="103"/>
        <v>5.4128289443844944</v>
      </c>
      <c r="AA944" s="250">
        <f t="shared" ca="1" si="104"/>
        <v>541.28289443844949</v>
      </c>
    </row>
    <row r="945" spans="5:27" x14ac:dyDescent="0.3">
      <c r="E945" s="241"/>
      <c r="F945" s="241"/>
      <c r="T945" s="254">
        <v>933</v>
      </c>
      <c r="U945" s="248">
        <f t="shared" si="99"/>
        <v>174.7415</v>
      </c>
      <c r="V945" s="248">
        <f t="shared" si="100"/>
        <v>24.391499999999997</v>
      </c>
      <c r="W945" s="248">
        <f t="shared" si="101"/>
        <v>-195.26</v>
      </c>
      <c r="X945" s="248">
        <f t="shared" si="102"/>
        <v>3.8730000000000189</v>
      </c>
      <c r="Y945" s="248">
        <f t="shared" ca="1" si="98"/>
        <v>13.385727699892982</v>
      </c>
      <c r="Z945" s="248">
        <f t="shared" ca="1" si="103"/>
        <v>5.4128289443844944</v>
      </c>
      <c r="AA945" s="250">
        <f t="shared" ca="1" si="104"/>
        <v>541.28289443844949</v>
      </c>
    </row>
    <row r="946" spans="5:27" x14ac:dyDescent="0.3">
      <c r="E946" s="241"/>
      <c r="F946" s="241"/>
      <c r="T946" s="254">
        <v>934</v>
      </c>
      <c r="U946" s="248">
        <f t="shared" si="99"/>
        <v>175.7415</v>
      </c>
      <c r="V946" s="248">
        <f t="shared" si="100"/>
        <v>24.391499999999997</v>
      </c>
      <c r="W946" s="248">
        <f t="shared" si="101"/>
        <v>-196.26</v>
      </c>
      <c r="X946" s="248">
        <f t="shared" si="102"/>
        <v>3.8730000000000189</v>
      </c>
      <c r="Y946" s="248">
        <f t="shared" ca="1" si="98"/>
        <v>13.385727699892982</v>
      </c>
      <c r="Z946" s="248">
        <f t="shared" ca="1" si="103"/>
        <v>5.4128289443844944</v>
      </c>
      <c r="AA946" s="250">
        <f t="shared" ca="1" si="104"/>
        <v>541.28289443844949</v>
      </c>
    </row>
    <row r="947" spans="5:27" x14ac:dyDescent="0.3">
      <c r="E947" s="241"/>
      <c r="F947" s="241"/>
      <c r="T947" s="254">
        <v>935</v>
      </c>
      <c r="U947" s="248">
        <f t="shared" si="99"/>
        <v>176.7415</v>
      </c>
      <c r="V947" s="248">
        <f t="shared" si="100"/>
        <v>24.391499999999997</v>
      </c>
      <c r="W947" s="248">
        <f t="shared" si="101"/>
        <v>-197.26</v>
      </c>
      <c r="X947" s="248">
        <f t="shared" si="102"/>
        <v>3.8730000000000189</v>
      </c>
      <c r="Y947" s="248">
        <f t="shared" ca="1" si="98"/>
        <v>13.385727699892982</v>
      </c>
      <c r="Z947" s="248">
        <f t="shared" ca="1" si="103"/>
        <v>5.4128289443844944</v>
      </c>
      <c r="AA947" s="250">
        <f t="shared" ca="1" si="104"/>
        <v>541.28289443844949</v>
      </c>
    </row>
    <row r="948" spans="5:27" x14ac:dyDescent="0.3">
      <c r="E948" s="241"/>
      <c r="F948" s="241"/>
      <c r="T948" s="254">
        <v>936</v>
      </c>
      <c r="U948" s="248">
        <f t="shared" si="99"/>
        <v>177.7415</v>
      </c>
      <c r="V948" s="248">
        <f t="shared" si="100"/>
        <v>24.391499999999997</v>
      </c>
      <c r="W948" s="248">
        <f t="shared" si="101"/>
        <v>-198.26</v>
      </c>
      <c r="X948" s="248">
        <f t="shared" si="102"/>
        <v>3.8730000000000189</v>
      </c>
      <c r="Y948" s="248">
        <f t="shared" ca="1" si="98"/>
        <v>13.385727699892982</v>
      </c>
      <c r="Z948" s="248">
        <f t="shared" ca="1" si="103"/>
        <v>5.4128289443844944</v>
      </c>
      <c r="AA948" s="250">
        <f t="shared" ca="1" si="104"/>
        <v>541.28289443844949</v>
      </c>
    </row>
    <row r="949" spans="5:27" x14ac:dyDescent="0.3">
      <c r="E949" s="241"/>
      <c r="F949" s="241"/>
      <c r="T949" s="254">
        <v>937</v>
      </c>
      <c r="U949" s="248">
        <f t="shared" si="99"/>
        <v>178.7415</v>
      </c>
      <c r="V949" s="248">
        <f t="shared" si="100"/>
        <v>24.391499999999997</v>
      </c>
      <c r="W949" s="248">
        <f t="shared" si="101"/>
        <v>-199.26</v>
      </c>
      <c r="X949" s="248">
        <f t="shared" si="102"/>
        <v>3.8730000000000189</v>
      </c>
      <c r="Y949" s="248">
        <f t="shared" ca="1" si="98"/>
        <v>13.385727699892982</v>
      </c>
      <c r="Z949" s="248">
        <f t="shared" ca="1" si="103"/>
        <v>5.4128289443844944</v>
      </c>
      <c r="AA949" s="250">
        <f t="shared" ca="1" si="104"/>
        <v>541.28289443844949</v>
      </c>
    </row>
    <row r="950" spans="5:27" x14ac:dyDescent="0.3">
      <c r="E950" s="241"/>
      <c r="F950" s="241"/>
      <c r="T950" s="254">
        <v>938</v>
      </c>
      <c r="U950" s="248">
        <f t="shared" si="99"/>
        <v>179.7415</v>
      </c>
      <c r="V950" s="248">
        <f t="shared" si="100"/>
        <v>24.391499999999997</v>
      </c>
      <c r="W950" s="248">
        <f t="shared" si="101"/>
        <v>-200.26</v>
      </c>
      <c r="X950" s="248">
        <f t="shared" si="102"/>
        <v>3.8730000000000189</v>
      </c>
      <c r="Y950" s="248">
        <f t="shared" ca="1" si="98"/>
        <v>13.385727699892982</v>
      </c>
      <c r="Z950" s="248">
        <f t="shared" ca="1" si="103"/>
        <v>5.4128289443844944</v>
      </c>
      <c r="AA950" s="250">
        <f t="shared" ca="1" si="104"/>
        <v>541.28289443844949</v>
      </c>
    </row>
    <row r="951" spans="5:27" x14ac:dyDescent="0.3">
      <c r="E951" s="241"/>
      <c r="F951" s="241"/>
      <c r="T951" s="254">
        <v>939</v>
      </c>
      <c r="U951" s="248">
        <f t="shared" si="99"/>
        <v>180.7415</v>
      </c>
      <c r="V951" s="248">
        <f t="shared" si="100"/>
        <v>24.391499999999997</v>
      </c>
      <c r="W951" s="248">
        <f t="shared" si="101"/>
        <v>-201.26</v>
      </c>
      <c r="X951" s="248">
        <f t="shared" si="102"/>
        <v>3.8730000000000189</v>
      </c>
      <c r="Y951" s="248">
        <f t="shared" ca="1" si="98"/>
        <v>13.385727699892982</v>
      </c>
      <c r="Z951" s="248">
        <f t="shared" ca="1" si="103"/>
        <v>5.4128289443844944</v>
      </c>
      <c r="AA951" s="250">
        <f t="shared" ca="1" si="104"/>
        <v>541.28289443844949</v>
      </c>
    </row>
    <row r="952" spans="5:27" x14ac:dyDescent="0.3">
      <c r="E952" s="241"/>
      <c r="F952" s="241"/>
      <c r="T952" s="254">
        <v>940</v>
      </c>
      <c r="U952" s="248">
        <f t="shared" si="99"/>
        <v>181.7415</v>
      </c>
      <c r="V952" s="248">
        <f t="shared" si="100"/>
        <v>24.391499999999997</v>
      </c>
      <c r="W952" s="248">
        <f t="shared" si="101"/>
        <v>-202.26</v>
      </c>
      <c r="X952" s="248">
        <f t="shared" si="102"/>
        <v>3.8730000000000189</v>
      </c>
      <c r="Y952" s="248">
        <f t="shared" ca="1" si="98"/>
        <v>13.385727699892982</v>
      </c>
      <c r="Z952" s="248">
        <f t="shared" ca="1" si="103"/>
        <v>5.4128289443844944</v>
      </c>
      <c r="AA952" s="250">
        <f t="shared" ca="1" si="104"/>
        <v>541.28289443844949</v>
      </c>
    </row>
    <row r="953" spans="5:27" x14ac:dyDescent="0.3">
      <c r="E953" s="241"/>
      <c r="F953" s="241"/>
      <c r="T953" s="254">
        <v>941</v>
      </c>
      <c r="U953" s="248">
        <f t="shared" si="99"/>
        <v>182.7415</v>
      </c>
      <c r="V953" s="248">
        <f t="shared" si="100"/>
        <v>24.391499999999997</v>
      </c>
      <c r="W953" s="248">
        <f t="shared" si="101"/>
        <v>-203.26</v>
      </c>
      <c r="X953" s="248">
        <f t="shared" si="102"/>
        <v>3.8730000000000189</v>
      </c>
      <c r="Y953" s="248">
        <f t="shared" ca="1" si="98"/>
        <v>13.385727699892982</v>
      </c>
      <c r="Z953" s="248">
        <f t="shared" ca="1" si="103"/>
        <v>5.4128289443844944</v>
      </c>
      <c r="AA953" s="250">
        <f t="shared" ca="1" si="104"/>
        <v>541.28289443844949</v>
      </c>
    </row>
    <row r="954" spans="5:27" x14ac:dyDescent="0.3">
      <c r="E954" s="241"/>
      <c r="F954" s="241"/>
      <c r="T954" s="254">
        <v>942</v>
      </c>
      <c r="U954" s="248">
        <f t="shared" si="99"/>
        <v>183.7415</v>
      </c>
      <c r="V954" s="248">
        <f t="shared" si="100"/>
        <v>24.391499999999997</v>
      </c>
      <c r="W954" s="248">
        <f t="shared" si="101"/>
        <v>-204.26</v>
      </c>
      <c r="X954" s="248">
        <f t="shared" si="102"/>
        <v>3.8730000000000189</v>
      </c>
      <c r="Y954" s="248">
        <f t="shared" ca="1" si="98"/>
        <v>13.385727699892982</v>
      </c>
      <c r="Z954" s="248">
        <f t="shared" ca="1" si="103"/>
        <v>5.4128289443844944</v>
      </c>
      <c r="AA954" s="250">
        <f t="shared" ca="1" si="104"/>
        <v>541.28289443844949</v>
      </c>
    </row>
    <row r="955" spans="5:27" x14ac:dyDescent="0.3">
      <c r="E955" s="241"/>
      <c r="F955" s="241"/>
      <c r="T955" s="254">
        <v>943</v>
      </c>
      <c r="U955" s="248">
        <f t="shared" si="99"/>
        <v>184.7415</v>
      </c>
      <c r="V955" s="248">
        <f t="shared" si="100"/>
        <v>24.391499999999997</v>
      </c>
      <c r="W955" s="248">
        <f t="shared" si="101"/>
        <v>-205.26</v>
      </c>
      <c r="X955" s="248">
        <f t="shared" si="102"/>
        <v>3.8730000000000189</v>
      </c>
      <c r="Y955" s="248">
        <f t="shared" ca="1" si="98"/>
        <v>13.385727699892982</v>
      </c>
      <c r="Z955" s="248">
        <f t="shared" ca="1" si="103"/>
        <v>5.4128289443844944</v>
      </c>
      <c r="AA955" s="250">
        <f t="shared" ca="1" si="104"/>
        <v>541.28289443844949</v>
      </c>
    </row>
    <row r="956" spans="5:27" x14ac:dyDescent="0.3">
      <c r="E956" s="241"/>
      <c r="F956" s="241"/>
      <c r="T956" s="254">
        <v>944</v>
      </c>
      <c r="U956" s="248">
        <f t="shared" si="99"/>
        <v>185.7415</v>
      </c>
      <c r="V956" s="248">
        <f t="shared" si="100"/>
        <v>24.391499999999997</v>
      </c>
      <c r="W956" s="248">
        <f t="shared" si="101"/>
        <v>-206.26</v>
      </c>
      <c r="X956" s="248">
        <f t="shared" si="102"/>
        <v>3.8730000000000189</v>
      </c>
      <c r="Y956" s="248">
        <f t="shared" ca="1" si="98"/>
        <v>13.385727699892982</v>
      </c>
      <c r="Z956" s="248">
        <f t="shared" ca="1" si="103"/>
        <v>5.4128289443844944</v>
      </c>
      <c r="AA956" s="250">
        <f t="shared" ca="1" si="104"/>
        <v>541.28289443844949</v>
      </c>
    </row>
    <row r="957" spans="5:27" x14ac:dyDescent="0.3">
      <c r="E957" s="241"/>
      <c r="F957" s="241"/>
      <c r="T957" s="254">
        <v>945</v>
      </c>
      <c r="U957" s="248">
        <f t="shared" si="99"/>
        <v>186.7415</v>
      </c>
      <c r="V957" s="248">
        <f t="shared" si="100"/>
        <v>24.391499999999997</v>
      </c>
      <c r="W957" s="248">
        <f t="shared" si="101"/>
        <v>-207.26</v>
      </c>
      <c r="X957" s="248">
        <f t="shared" si="102"/>
        <v>3.8730000000000189</v>
      </c>
      <c r="Y957" s="248">
        <f t="shared" ca="1" si="98"/>
        <v>13.385727699892982</v>
      </c>
      <c r="Z957" s="248">
        <f t="shared" ca="1" si="103"/>
        <v>5.4128289443844944</v>
      </c>
      <c r="AA957" s="250">
        <f t="shared" ca="1" si="104"/>
        <v>541.28289443844949</v>
      </c>
    </row>
    <row r="958" spans="5:27" x14ac:dyDescent="0.3">
      <c r="E958" s="241"/>
      <c r="F958" s="241"/>
      <c r="T958" s="254">
        <v>946</v>
      </c>
      <c r="U958" s="248">
        <f t="shared" si="99"/>
        <v>187.7415</v>
      </c>
      <c r="V958" s="248">
        <f t="shared" si="100"/>
        <v>24.391499999999997</v>
      </c>
      <c r="W958" s="248">
        <f t="shared" si="101"/>
        <v>-208.26</v>
      </c>
      <c r="X958" s="248">
        <f t="shared" si="102"/>
        <v>3.8730000000000189</v>
      </c>
      <c r="Y958" s="248">
        <f t="shared" ca="1" si="98"/>
        <v>13.385727699892982</v>
      </c>
      <c r="Z958" s="248">
        <f t="shared" ca="1" si="103"/>
        <v>5.4128289443844944</v>
      </c>
      <c r="AA958" s="250">
        <f t="shared" ca="1" si="104"/>
        <v>541.28289443844949</v>
      </c>
    </row>
    <row r="959" spans="5:27" x14ac:dyDescent="0.3">
      <c r="E959" s="241"/>
      <c r="F959" s="241"/>
      <c r="T959" s="254">
        <v>947</v>
      </c>
      <c r="U959" s="248">
        <f t="shared" si="99"/>
        <v>188.7415</v>
      </c>
      <c r="V959" s="248">
        <f t="shared" si="100"/>
        <v>24.391499999999997</v>
      </c>
      <c r="W959" s="248">
        <f t="shared" si="101"/>
        <v>-209.26</v>
      </c>
      <c r="X959" s="248">
        <f t="shared" si="102"/>
        <v>3.8730000000000189</v>
      </c>
      <c r="Y959" s="248">
        <f t="shared" ca="1" si="98"/>
        <v>13.385727699892982</v>
      </c>
      <c r="Z959" s="248">
        <f t="shared" ca="1" si="103"/>
        <v>5.4128289443844944</v>
      </c>
      <c r="AA959" s="250">
        <f t="shared" ca="1" si="104"/>
        <v>541.28289443844949</v>
      </c>
    </row>
    <row r="960" spans="5:27" x14ac:dyDescent="0.3">
      <c r="E960" s="241"/>
      <c r="F960" s="241"/>
      <c r="T960" s="254">
        <v>948</v>
      </c>
      <c r="U960" s="248">
        <f t="shared" si="99"/>
        <v>189.7415</v>
      </c>
      <c r="V960" s="248">
        <f t="shared" si="100"/>
        <v>24.391499999999997</v>
      </c>
      <c r="W960" s="248">
        <f t="shared" si="101"/>
        <v>-210.26</v>
      </c>
      <c r="X960" s="248">
        <f t="shared" si="102"/>
        <v>3.8730000000000189</v>
      </c>
      <c r="Y960" s="248">
        <f t="shared" ca="1" si="98"/>
        <v>13.385727699892982</v>
      </c>
      <c r="Z960" s="248">
        <f t="shared" ca="1" si="103"/>
        <v>5.4128289443844944</v>
      </c>
      <c r="AA960" s="250">
        <f t="shared" ca="1" si="104"/>
        <v>541.28289443844949</v>
      </c>
    </row>
    <row r="961" spans="5:27" x14ac:dyDescent="0.3">
      <c r="E961" s="241"/>
      <c r="F961" s="241"/>
      <c r="T961" s="254">
        <v>949</v>
      </c>
      <c r="U961" s="248">
        <f t="shared" si="99"/>
        <v>190.7415</v>
      </c>
      <c r="V961" s="248">
        <f t="shared" si="100"/>
        <v>24.391499999999997</v>
      </c>
      <c r="W961" s="248">
        <f t="shared" si="101"/>
        <v>-211.26</v>
      </c>
      <c r="X961" s="248">
        <f t="shared" si="102"/>
        <v>3.8730000000000189</v>
      </c>
      <c r="Y961" s="248">
        <f t="shared" ca="1" si="98"/>
        <v>13.385727699892982</v>
      </c>
      <c r="Z961" s="248">
        <f t="shared" ca="1" si="103"/>
        <v>5.4128289443844944</v>
      </c>
      <c r="AA961" s="250">
        <f t="shared" ca="1" si="104"/>
        <v>541.28289443844949</v>
      </c>
    </row>
    <row r="962" spans="5:27" x14ac:dyDescent="0.3">
      <c r="E962" s="241"/>
      <c r="F962" s="241"/>
      <c r="T962" s="254">
        <v>950</v>
      </c>
      <c r="U962" s="248">
        <f t="shared" si="99"/>
        <v>191.7415</v>
      </c>
      <c r="V962" s="248">
        <f t="shared" si="100"/>
        <v>24.391499999999997</v>
      </c>
      <c r="W962" s="248">
        <f t="shared" si="101"/>
        <v>-212.26</v>
      </c>
      <c r="X962" s="248">
        <f t="shared" si="102"/>
        <v>3.8730000000000189</v>
      </c>
      <c r="Y962" s="248">
        <f t="shared" ca="1" si="98"/>
        <v>13.385727699892982</v>
      </c>
      <c r="Z962" s="248">
        <f t="shared" ca="1" si="103"/>
        <v>5.4128289443844944</v>
      </c>
      <c r="AA962" s="250">
        <f t="shared" ca="1" si="104"/>
        <v>541.28289443844949</v>
      </c>
    </row>
    <row r="963" spans="5:27" x14ac:dyDescent="0.3">
      <c r="E963" s="241"/>
      <c r="F963" s="241"/>
      <c r="T963" s="254">
        <v>951</v>
      </c>
      <c r="U963" s="248">
        <f t="shared" si="99"/>
        <v>192.7415</v>
      </c>
      <c r="V963" s="248">
        <f t="shared" si="100"/>
        <v>24.391499999999997</v>
      </c>
      <c r="W963" s="248">
        <f t="shared" si="101"/>
        <v>-213.26</v>
      </c>
      <c r="X963" s="248">
        <f t="shared" si="102"/>
        <v>3.8730000000000189</v>
      </c>
      <c r="Y963" s="248">
        <f t="shared" ca="1" si="98"/>
        <v>13.385727699892982</v>
      </c>
      <c r="Z963" s="248">
        <f t="shared" ca="1" si="103"/>
        <v>5.4128289443844944</v>
      </c>
      <c r="AA963" s="250">
        <f t="shared" ca="1" si="104"/>
        <v>541.28289443844949</v>
      </c>
    </row>
    <row r="964" spans="5:27" x14ac:dyDescent="0.3">
      <c r="E964" s="241"/>
      <c r="F964" s="241"/>
      <c r="T964" s="254">
        <v>952</v>
      </c>
      <c r="U964" s="248">
        <f t="shared" si="99"/>
        <v>193.7415</v>
      </c>
      <c r="V964" s="248">
        <f t="shared" si="100"/>
        <v>24.391499999999997</v>
      </c>
      <c r="W964" s="248">
        <f t="shared" si="101"/>
        <v>-214.26</v>
      </c>
      <c r="X964" s="248">
        <f t="shared" si="102"/>
        <v>3.8730000000000189</v>
      </c>
      <c r="Y964" s="248">
        <f t="shared" ca="1" si="98"/>
        <v>13.385727699892982</v>
      </c>
      <c r="Z964" s="248">
        <f t="shared" ca="1" si="103"/>
        <v>5.4128289443844944</v>
      </c>
      <c r="AA964" s="250">
        <f t="shared" ca="1" si="104"/>
        <v>541.28289443844949</v>
      </c>
    </row>
    <row r="965" spans="5:27" x14ac:dyDescent="0.3">
      <c r="E965" s="241"/>
      <c r="F965" s="241"/>
      <c r="T965" s="254">
        <v>953</v>
      </c>
      <c r="U965" s="248">
        <f t="shared" si="99"/>
        <v>194.7415</v>
      </c>
      <c r="V965" s="248">
        <f t="shared" si="100"/>
        <v>24.391499999999997</v>
      </c>
      <c r="W965" s="248">
        <f t="shared" si="101"/>
        <v>-215.26</v>
      </c>
      <c r="X965" s="248">
        <f t="shared" si="102"/>
        <v>3.8730000000000189</v>
      </c>
      <c r="Y965" s="248">
        <f t="shared" ca="1" si="98"/>
        <v>13.385727699892982</v>
      </c>
      <c r="Z965" s="248">
        <f t="shared" ca="1" si="103"/>
        <v>5.4128289443844944</v>
      </c>
      <c r="AA965" s="250">
        <f t="shared" ca="1" si="104"/>
        <v>541.28289443844949</v>
      </c>
    </row>
    <row r="966" spans="5:27" x14ac:dyDescent="0.3">
      <c r="E966" s="241"/>
      <c r="F966" s="241"/>
      <c r="T966" s="254">
        <v>954</v>
      </c>
      <c r="U966" s="248">
        <f t="shared" si="99"/>
        <v>195.7415</v>
      </c>
      <c r="V966" s="248">
        <f t="shared" si="100"/>
        <v>24.391499999999997</v>
      </c>
      <c r="W966" s="248">
        <f t="shared" si="101"/>
        <v>-216.26</v>
      </c>
      <c r="X966" s="248">
        <f t="shared" si="102"/>
        <v>3.8730000000000189</v>
      </c>
      <c r="Y966" s="248">
        <f t="shared" ca="1" si="98"/>
        <v>13.385727699892982</v>
      </c>
      <c r="Z966" s="248">
        <f t="shared" ca="1" si="103"/>
        <v>5.4128289443844944</v>
      </c>
      <c r="AA966" s="250">
        <f t="shared" ca="1" si="104"/>
        <v>541.28289443844949</v>
      </c>
    </row>
    <row r="967" spans="5:27" x14ac:dyDescent="0.3">
      <c r="E967" s="241"/>
      <c r="F967" s="241"/>
      <c r="T967" s="254">
        <v>955</v>
      </c>
      <c r="U967" s="248">
        <f t="shared" si="99"/>
        <v>196.7415</v>
      </c>
      <c r="V967" s="248">
        <f t="shared" si="100"/>
        <v>24.391499999999997</v>
      </c>
      <c r="W967" s="248">
        <f t="shared" si="101"/>
        <v>-217.26</v>
      </c>
      <c r="X967" s="248">
        <f t="shared" si="102"/>
        <v>3.8730000000000189</v>
      </c>
      <c r="Y967" s="248">
        <f t="shared" ca="1" si="98"/>
        <v>13.385727699892982</v>
      </c>
      <c r="Z967" s="248">
        <f t="shared" ca="1" si="103"/>
        <v>5.4128289443844944</v>
      </c>
      <c r="AA967" s="250">
        <f t="shared" ca="1" si="104"/>
        <v>541.28289443844949</v>
      </c>
    </row>
    <row r="968" spans="5:27" x14ac:dyDescent="0.3">
      <c r="E968" s="241"/>
      <c r="F968" s="241"/>
      <c r="T968" s="254">
        <v>956</v>
      </c>
      <c r="U968" s="248">
        <f t="shared" si="99"/>
        <v>197.7415</v>
      </c>
      <c r="V968" s="248">
        <f t="shared" si="100"/>
        <v>24.391499999999997</v>
      </c>
      <c r="W968" s="248">
        <f t="shared" si="101"/>
        <v>-218.26</v>
      </c>
      <c r="X968" s="248">
        <f t="shared" si="102"/>
        <v>3.8730000000000189</v>
      </c>
      <c r="Y968" s="248">
        <f t="shared" ca="1" si="98"/>
        <v>13.385727699892982</v>
      </c>
      <c r="Z968" s="248">
        <f t="shared" ca="1" si="103"/>
        <v>5.4128289443844944</v>
      </c>
      <c r="AA968" s="250">
        <f t="shared" ca="1" si="104"/>
        <v>541.28289443844949</v>
      </c>
    </row>
    <row r="969" spans="5:27" x14ac:dyDescent="0.3">
      <c r="E969" s="241"/>
      <c r="F969" s="241"/>
      <c r="T969" s="254">
        <v>957</v>
      </c>
      <c r="U969" s="248">
        <f t="shared" si="99"/>
        <v>198.7415</v>
      </c>
      <c r="V969" s="248">
        <f t="shared" si="100"/>
        <v>24.391499999999997</v>
      </c>
      <c r="W969" s="248">
        <f t="shared" si="101"/>
        <v>-219.26</v>
      </c>
      <c r="X969" s="248">
        <f t="shared" si="102"/>
        <v>3.8730000000000189</v>
      </c>
      <c r="Y969" s="248">
        <f t="shared" ca="1" si="98"/>
        <v>13.385727699892982</v>
      </c>
      <c r="Z969" s="248">
        <f t="shared" ca="1" si="103"/>
        <v>5.4128289443844944</v>
      </c>
      <c r="AA969" s="250">
        <f t="shared" ca="1" si="104"/>
        <v>541.28289443844949</v>
      </c>
    </row>
    <row r="970" spans="5:27" x14ac:dyDescent="0.3">
      <c r="E970" s="241"/>
      <c r="F970" s="241"/>
      <c r="T970" s="254">
        <v>958</v>
      </c>
      <c r="U970" s="248">
        <f t="shared" si="99"/>
        <v>199.7415</v>
      </c>
      <c r="V970" s="248">
        <f t="shared" si="100"/>
        <v>24.391499999999997</v>
      </c>
      <c r="W970" s="248">
        <f t="shared" si="101"/>
        <v>-220.26</v>
      </c>
      <c r="X970" s="248">
        <f t="shared" si="102"/>
        <v>3.8730000000000189</v>
      </c>
      <c r="Y970" s="248">
        <f t="shared" ca="1" si="98"/>
        <v>13.385727699892982</v>
      </c>
      <c r="Z970" s="248">
        <f t="shared" ca="1" si="103"/>
        <v>5.4128289443844944</v>
      </c>
      <c r="AA970" s="250">
        <f t="shared" ca="1" si="104"/>
        <v>541.28289443844949</v>
      </c>
    </row>
    <row r="971" spans="5:27" x14ac:dyDescent="0.3">
      <c r="E971" s="241"/>
      <c r="F971" s="241"/>
      <c r="T971" s="254">
        <v>959</v>
      </c>
      <c r="U971" s="248">
        <f t="shared" si="99"/>
        <v>200.7415</v>
      </c>
      <c r="V971" s="248">
        <f t="shared" si="100"/>
        <v>24.391499999999997</v>
      </c>
      <c r="W971" s="248">
        <f t="shared" si="101"/>
        <v>-221.26</v>
      </c>
      <c r="X971" s="248">
        <f t="shared" si="102"/>
        <v>3.8730000000000189</v>
      </c>
      <c r="Y971" s="248">
        <f t="shared" ca="1" si="98"/>
        <v>13.385727699892982</v>
      </c>
      <c r="Z971" s="248">
        <f t="shared" ca="1" si="103"/>
        <v>5.4128289443844944</v>
      </c>
      <c r="AA971" s="250">
        <f t="shared" ca="1" si="104"/>
        <v>541.28289443844949</v>
      </c>
    </row>
    <row r="972" spans="5:27" x14ac:dyDescent="0.3">
      <c r="E972" s="241"/>
      <c r="F972" s="241"/>
      <c r="T972" s="254">
        <v>960</v>
      </c>
      <c r="U972" s="248">
        <f t="shared" si="99"/>
        <v>201.7415</v>
      </c>
      <c r="V972" s="248">
        <f t="shared" si="100"/>
        <v>24.391499999999997</v>
      </c>
      <c r="W972" s="248">
        <f t="shared" si="101"/>
        <v>-222.26</v>
      </c>
      <c r="X972" s="248">
        <f t="shared" si="102"/>
        <v>3.8730000000000189</v>
      </c>
      <c r="Y972" s="248">
        <f t="shared" ref="Y972:Y1035" ca="1" si="105">$Y$10*EXP($Y$7*$C$6)-$Y$10</f>
        <v>13.385727699892982</v>
      </c>
      <c r="Z972" s="248">
        <f t="shared" ca="1" si="103"/>
        <v>5.4128289443844944</v>
      </c>
      <c r="AA972" s="250">
        <f t="shared" ca="1" si="104"/>
        <v>541.28289443844949</v>
      </c>
    </row>
    <row r="973" spans="5:27" x14ac:dyDescent="0.3">
      <c r="E973" s="241"/>
      <c r="F973" s="241"/>
      <c r="T973" s="254">
        <v>961</v>
      </c>
      <c r="U973" s="248">
        <f t="shared" ref="U973:U1036" si="106">MAX(0,T973-$U$9)-$U$10-$U$11/100</f>
        <v>202.7415</v>
      </c>
      <c r="V973" s="248">
        <f t="shared" ref="V973:V1036" si="107">$V$10-MAX(0,$V$9-T973)-$V$11/100</f>
        <v>24.391499999999997</v>
      </c>
      <c r="W973" s="248">
        <f t="shared" ref="W973:W1036" si="108">$W$10-T973</f>
        <v>-223.26</v>
      </c>
      <c r="X973" s="248">
        <f t="shared" ref="X973:X1036" si="109">SUM(U973:W973)</f>
        <v>3.8730000000000189</v>
      </c>
      <c r="Y973" s="248">
        <f t="shared" ca="1" si="105"/>
        <v>13.385727699892982</v>
      </c>
      <c r="Z973" s="248">
        <f t="shared" ref="Z973:Z1036" ca="1" si="110">EXP(-$E$3*$C$6)*SUM(X973:Y973)</f>
        <v>5.4128289443844944</v>
      </c>
      <c r="AA973" s="250">
        <f t="shared" ref="AA973:AA1036" ca="1" si="111">Z973*100</f>
        <v>541.28289443844949</v>
      </c>
    </row>
    <row r="974" spans="5:27" x14ac:dyDescent="0.3">
      <c r="E974" s="241"/>
      <c r="F974" s="241"/>
      <c r="T974" s="254">
        <v>962</v>
      </c>
      <c r="U974" s="248">
        <f t="shared" si="106"/>
        <v>203.7415</v>
      </c>
      <c r="V974" s="248">
        <f t="shared" si="107"/>
        <v>24.391499999999997</v>
      </c>
      <c r="W974" s="248">
        <f t="shared" si="108"/>
        <v>-224.26</v>
      </c>
      <c r="X974" s="248">
        <f t="shared" si="109"/>
        <v>3.8730000000000189</v>
      </c>
      <c r="Y974" s="248">
        <f t="shared" ca="1" si="105"/>
        <v>13.385727699892982</v>
      </c>
      <c r="Z974" s="248">
        <f t="shared" ca="1" si="110"/>
        <v>5.4128289443844944</v>
      </c>
      <c r="AA974" s="250">
        <f t="shared" ca="1" si="111"/>
        <v>541.28289443844949</v>
      </c>
    </row>
    <row r="975" spans="5:27" x14ac:dyDescent="0.3">
      <c r="E975" s="241"/>
      <c r="F975" s="241"/>
      <c r="T975" s="254">
        <v>963</v>
      </c>
      <c r="U975" s="248">
        <f t="shared" si="106"/>
        <v>204.7415</v>
      </c>
      <c r="V975" s="248">
        <f t="shared" si="107"/>
        <v>24.391499999999997</v>
      </c>
      <c r="W975" s="248">
        <f t="shared" si="108"/>
        <v>-225.26</v>
      </c>
      <c r="X975" s="248">
        <f t="shared" si="109"/>
        <v>3.8730000000000189</v>
      </c>
      <c r="Y975" s="248">
        <f t="shared" ca="1" si="105"/>
        <v>13.385727699892982</v>
      </c>
      <c r="Z975" s="248">
        <f t="shared" ca="1" si="110"/>
        <v>5.4128289443844944</v>
      </c>
      <c r="AA975" s="250">
        <f t="shared" ca="1" si="111"/>
        <v>541.28289443844949</v>
      </c>
    </row>
    <row r="976" spans="5:27" x14ac:dyDescent="0.3">
      <c r="E976" s="241"/>
      <c r="F976" s="241"/>
      <c r="T976" s="254">
        <v>964</v>
      </c>
      <c r="U976" s="248">
        <f t="shared" si="106"/>
        <v>205.7415</v>
      </c>
      <c r="V976" s="248">
        <f t="shared" si="107"/>
        <v>24.391499999999997</v>
      </c>
      <c r="W976" s="248">
        <f t="shared" si="108"/>
        <v>-226.26</v>
      </c>
      <c r="X976" s="248">
        <f t="shared" si="109"/>
        <v>3.8730000000000189</v>
      </c>
      <c r="Y976" s="248">
        <f t="shared" ca="1" si="105"/>
        <v>13.385727699892982</v>
      </c>
      <c r="Z976" s="248">
        <f t="shared" ca="1" si="110"/>
        <v>5.4128289443844944</v>
      </c>
      <c r="AA976" s="250">
        <f t="shared" ca="1" si="111"/>
        <v>541.28289443844949</v>
      </c>
    </row>
    <row r="977" spans="5:27" x14ac:dyDescent="0.3">
      <c r="E977" s="241"/>
      <c r="F977" s="241"/>
      <c r="T977" s="254">
        <v>965</v>
      </c>
      <c r="U977" s="248">
        <f t="shared" si="106"/>
        <v>206.7415</v>
      </c>
      <c r="V977" s="248">
        <f t="shared" si="107"/>
        <v>24.391499999999997</v>
      </c>
      <c r="W977" s="248">
        <f t="shared" si="108"/>
        <v>-227.26</v>
      </c>
      <c r="X977" s="248">
        <f t="shared" si="109"/>
        <v>3.8730000000000189</v>
      </c>
      <c r="Y977" s="248">
        <f t="shared" ca="1" si="105"/>
        <v>13.385727699892982</v>
      </c>
      <c r="Z977" s="248">
        <f t="shared" ca="1" si="110"/>
        <v>5.4128289443844944</v>
      </c>
      <c r="AA977" s="250">
        <f t="shared" ca="1" si="111"/>
        <v>541.28289443844949</v>
      </c>
    </row>
    <row r="978" spans="5:27" x14ac:dyDescent="0.3">
      <c r="E978" s="241"/>
      <c r="F978" s="241"/>
      <c r="T978" s="254">
        <v>966</v>
      </c>
      <c r="U978" s="248">
        <f t="shared" si="106"/>
        <v>207.7415</v>
      </c>
      <c r="V978" s="248">
        <f t="shared" si="107"/>
        <v>24.391499999999997</v>
      </c>
      <c r="W978" s="248">
        <f t="shared" si="108"/>
        <v>-228.26</v>
      </c>
      <c r="X978" s="248">
        <f t="shared" si="109"/>
        <v>3.8730000000000189</v>
      </c>
      <c r="Y978" s="248">
        <f t="shared" ca="1" si="105"/>
        <v>13.385727699892982</v>
      </c>
      <c r="Z978" s="248">
        <f t="shared" ca="1" si="110"/>
        <v>5.4128289443844944</v>
      </c>
      <c r="AA978" s="250">
        <f t="shared" ca="1" si="111"/>
        <v>541.28289443844949</v>
      </c>
    </row>
    <row r="979" spans="5:27" x14ac:dyDescent="0.3">
      <c r="E979" s="241"/>
      <c r="F979" s="241"/>
      <c r="T979" s="254">
        <v>967</v>
      </c>
      <c r="U979" s="248">
        <f t="shared" si="106"/>
        <v>208.7415</v>
      </c>
      <c r="V979" s="248">
        <f t="shared" si="107"/>
        <v>24.391499999999997</v>
      </c>
      <c r="W979" s="248">
        <f t="shared" si="108"/>
        <v>-229.26</v>
      </c>
      <c r="X979" s="248">
        <f t="shared" si="109"/>
        <v>3.8730000000000189</v>
      </c>
      <c r="Y979" s="248">
        <f t="shared" ca="1" si="105"/>
        <v>13.385727699892982</v>
      </c>
      <c r="Z979" s="248">
        <f t="shared" ca="1" si="110"/>
        <v>5.4128289443844944</v>
      </c>
      <c r="AA979" s="250">
        <f t="shared" ca="1" si="111"/>
        <v>541.28289443844949</v>
      </c>
    </row>
    <row r="980" spans="5:27" x14ac:dyDescent="0.3">
      <c r="E980" s="241"/>
      <c r="F980" s="241"/>
      <c r="T980" s="254">
        <v>968</v>
      </c>
      <c r="U980" s="248">
        <f t="shared" si="106"/>
        <v>209.7415</v>
      </c>
      <c r="V980" s="248">
        <f t="shared" si="107"/>
        <v>24.391499999999997</v>
      </c>
      <c r="W980" s="248">
        <f t="shared" si="108"/>
        <v>-230.26</v>
      </c>
      <c r="X980" s="248">
        <f t="shared" si="109"/>
        <v>3.8730000000000189</v>
      </c>
      <c r="Y980" s="248">
        <f t="shared" ca="1" si="105"/>
        <v>13.385727699892982</v>
      </c>
      <c r="Z980" s="248">
        <f t="shared" ca="1" si="110"/>
        <v>5.4128289443844944</v>
      </c>
      <c r="AA980" s="250">
        <f t="shared" ca="1" si="111"/>
        <v>541.28289443844949</v>
      </c>
    </row>
    <row r="981" spans="5:27" x14ac:dyDescent="0.3">
      <c r="E981" s="241"/>
      <c r="F981" s="241"/>
      <c r="T981" s="254">
        <v>969</v>
      </c>
      <c r="U981" s="248">
        <f t="shared" si="106"/>
        <v>210.7415</v>
      </c>
      <c r="V981" s="248">
        <f t="shared" si="107"/>
        <v>24.391499999999997</v>
      </c>
      <c r="W981" s="248">
        <f t="shared" si="108"/>
        <v>-231.26</v>
      </c>
      <c r="X981" s="248">
        <f t="shared" si="109"/>
        <v>3.8730000000000189</v>
      </c>
      <c r="Y981" s="248">
        <f t="shared" ca="1" si="105"/>
        <v>13.385727699892982</v>
      </c>
      <c r="Z981" s="248">
        <f t="shared" ca="1" si="110"/>
        <v>5.4128289443844944</v>
      </c>
      <c r="AA981" s="250">
        <f t="shared" ca="1" si="111"/>
        <v>541.28289443844949</v>
      </c>
    </row>
    <row r="982" spans="5:27" x14ac:dyDescent="0.3">
      <c r="E982" s="241"/>
      <c r="F982" s="241"/>
      <c r="T982" s="254">
        <v>970</v>
      </c>
      <c r="U982" s="248">
        <f t="shared" si="106"/>
        <v>211.7415</v>
      </c>
      <c r="V982" s="248">
        <f t="shared" si="107"/>
        <v>24.391499999999997</v>
      </c>
      <c r="W982" s="248">
        <f t="shared" si="108"/>
        <v>-232.26</v>
      </c>
      <c r="X982" s="248">
        <f t="shared" si="109"/>
        <v>3.8730000000000189</v>
      </c>
      <c r="Y982" s="248">
        <f t="shared" ca="1" si="105"/>
        <v>13.385727699892982</v>
      </c>
      <c r="Z982" s="248">
        <f t="shared" ca="1" si="110"/>
        <v>5.4128289443844944</v>
      </c>
      <c r="AA982" s="250">
        <f t="shared" ca="1" si="111"/>
        <v>541.28289443844949</v>
      </c>
    </row>
    <row r="983" spans="5:27" x14ac:dyDescent="0.3">
      <c r="E983" s="241"/>
      <c r="F983" s="241"/>
      <c r="T983" s="254">
        <v>971</v>
      </c>
      <c r="U983" s="248">
        <f t="shared" si="106"/>
        <v>212.7415</v>
      </c>
      <c r="V983" s="248">
        <f t="shared" si="107"/>
        <v>24.391499999999997</v>
      </c>
      <c r="W983" s="248">
        <f t="shared" si="108"/>
        <v>-233.26</v>
      </c>
      <c r="X983" s="248">
        <f t="shared" si="109"/>
        <v>3.8730000000000189</v>
      </c>
      <c r="Y983" s="248">
        <f t="shared" ca="1" si="105"/>
        <v>13.385727699892982</v>
      </c>
      <c r="Z983" s="248">
        <f t="shared" ca="1" si="110"/>
        <v>5.4128289443844944</v>
      </c>
      <c r="AA983" s="250">
        <f t="shared" ca="1" si="111"/>
        <v>541.28289443844949</v>
      </c>
    </row>
    <row r="984" spans="5:27" x14ac:dyDescent="0.3">
      <c r="E984" s="241"/>
      <c r="F984" s="241"/>
      <c r="T984" s="254">
        <v>972</v>
      </c>
      <c r="U984" s="248">
        <f t="shared" si="106"/>
        <v>213.7415</v>
      </c>
      <c r="V984" s="248">
        <f t="shared" si="107"/>
        <v>24.391499999999997</v>
      </c>
      <c r="W984" s="248">
        <f t="shared" si="108"/>
        <v>-234.26</v>
      </c>
      <c r="X984" s="248">
        <f t="shared" si="109"/>
        <v>3.8730000000000189</v>
      </c>
      <c r="Y984" s="248">
        <f t="shared" ca="1" si="105"/>
        <v>13.385727699892982</v>
      </c>
      <c r="Z984" s="248">
        <f t="shared" ca="1" si="110"/>
        <v>5.4128289443844944</v>
      </c>
      <c r="AA984" s="250">
        <f t="shared" ca="1" si="111"/>
        <v>541.28289443844949</v>
      </c>
    </row>
    <row r="985" spans="5:27" x14ac:dyDescent="0.3">
      <c r="E985" s="241"/>
      <c r="F985" s="241"/>
      <c r="T985" s="254">
        <v>973</v>
      </c>
      <c r="U985" s="248">
        <f t="shared" si="106"/>
        <v>214.7415</v>
      </c>
      <c r="V985" s="248">
        <f t="shared" si="107"/>
        <v>24.391499999999997</v>
      </c>
      <c r="W985" s="248">
        <f t="shared" si="108"/>
        <v>-235.26</v>
      </c>
      <c r="X985" s="248">
        <f t="shared" si="109"/>
        <v>3.8730000000000189</v>
      </c>
      <c r="Y985" s="248">
        <f t="shared" ca="1" si="105"/>
        <v>13.385727699892982</v>
      </c>
      <c r="Z985" s="248">
        <f t="shared" ca="1" si="110"/>
        <v>5.4128289443844944</v>
      </c>
      <c r="AA985" s="250">
        <f t="shared" ca="1" si="111"/>
        <v>541.28289443844949</v>
      </c>
    </row>
    <row r="986" spans="5:27" x14ac:dyDescent="0.3">
      <c r="E986" s="241"/>
      <c r="F986" s="241"/>
      <c r="T986" s="254">
        <v>974</v>
      </c>
      <c r="U986" s="248">
        <f t="shared" si="106"/>
        <v>215.7415</v>
      </c>
      <c r="V986" s="248">
        <f t="shared" si="107"/>
        <v>24.391499999999997</v>
      </c>
      <c r="W986" s="248">
        <f t="shared" si="108"/>
        <v>-236.26</v>
      </c>
      <c r="X986" s="248">
        <f t="shared" si="109"/>
        <v>3.8730000000000189</v>
      </c>
      <c r="Y986" s="248">
        <f t="shared" ca="1" si="105"/>
        <v>13.385727699892982</v>
      </c>
      <c r="Z986" s="248">
        <f t="shared" ca="1" si="110"/>
        <v>5.4128289443844944</v>
      </c>
      <c r="AA986" s="250">
        <f t="shared" ca="1" si="111"/>
        <v>541.28289443844949</v>
      </c>
    </row>
    <row r="987" spans="5:27" x14ac:dyDescent="0.3">
      <c r="E987" s="241"/>
      <c r="F987" s="241"/>
      <c r="T987" s="254">
        <v>975</v>
      </c>
      <c r="U987" s="248">
        <f t="shared" si="106"/>
        <v>216.7415</v>
      </c>
      <c r="V987" s="248">
        <f t="shared" si="107"/>
        <v>24.391499999999997</v>
      </c>
      <c r="W987" s="248">
        <f t="shared" si="108"/>
        <v>-237.26</v>
      </c>
      <c r="X987" s="248">
        <f t="shared" si="109"/>
        <v>3.8730000000000189</v>
      </c>
      <c r="Y987" s="248">
        <f t="shared" ca="1" si="105"/>
        <v>13.385727699892982</v>
      </c>
      <c r="Z987" s="248">
        <f t="shared" ca="1" si="110"/>
        <v>5.4128289443844944</v>
      </c>
      <c r="AA987" s="250">
        <f t="shared" ca="1" si="111"/>
        <v>541.28289443844949</v>
      </c>
    </row>
    <row r="988" spans="5:27" x14ac:dyDescent="0.3">
      <c r="E988" s="241"/>
      <c r="F988" s="241"/>
      <c r="T988" s="254">
        <v>976</v>
      </c>
      <c r="U988" s="248">
        <f t="shared" si="106"/>
        <v>217.7415</v>
      </c>
      <c r="V988" s="248">
        <f t="shared" si="107"/>
        <v>24.391499999999997</v>
      </c>
      <c r="W988" s="248">
        <f t="shared" si="108"/>
        <v>-238.26</v>
      </c>
      <c r="X988" s="248">
        <f t="shared" si="109"/>
        <v>3.8730000000000189</v>
      </c>
      <c r="Y988" s="248">
        <f t="shared" ca="1" si="105"/>
        <v>13.385727699892982</v>
      </c>
      <c r="Z988" s="248">
        <f t="shared" ca="1" si="110"/>
        <v>5.4128289443844944</v>
      </c>
      <c r="AA988" s="250">
        <f t="shared" ca="1" si="111"/>
        <v>541.28289443844949</v>
      </c>
    </row>
    <row r="989" spans="5:27" x14ac:dyDescent="0.3">
      <c r="E989" s="241"/>
      <c r="F989" s="241"/>
      <c r="T989" s="254">
        <v>977</v>
      </c>
      <c r="U989" s="248">
        <f t="shared" si="106"/>
        <v>218.7415</v>
      </c>
      <c r="V989" s="248">
        <f t="shared" si="107"/>
        <v>24.391499999999997</v>
      </c>
      <c r="W989" s="248">
        <f t="shared" si="108"/>
        <v>-239.26</v>
      </c>
      <c r="X989" s="248">
        <f t="shared" si="109"/>
        <v>3.8730000000000189</v>
      </c>
      <c r="Y989" s="248">
        <f t="shared" ca="1" si="105"/>
        <v>13.385727699892982</v>
      </c>
      <c r="Z989" s="248">
        <f t="shared" ca="1" si="110"/>
        <v>5.4128289443844944</v>
      </c>
      <c r="AA989" s="250">
        <f t="shared" ca="1" si="111"/>
        <v>541.28289443844949</v>
      </c>
    </row>
    <row r="990" spans="5:27" x14ac:dyDescent="0.3">
      <c r="E990" s="241"/>
      <c r="F990" s="241"/>
      <c r="T990" s="254">
        <v>978</v>
      </c>
      <c r="U990" s="248">
        <f t="shared" si="106"/>
        <v>219.7415</v>
      </c>
      <c r="V990" s="248">
        <f t="shared" si="107"/>
        <v>24.391499999999997</v>
      </c>
      <c r="W990" s="248">
        <f t="shared" si="108"/>
        <v>-240.26</v>
      </c>
      <c r="X990" s="248">
        <f t="shared" si="109"/>
        <v>3.8730000000000189</v>
      </c>
      <c r="Y990" s="248">
        <f t="shared" ca="1" si="105"/>
        <v>13.385727699892982</v>
      </c>
      <c r="Z990" s="248">
        <f t="shared" ca="1" si="110"/>
        <v>5.4128289443844944</v>
      </c>
      <c r="AA990" s="250">
        <f t="shared" ca="1" si="111"/>
        <v>541.28289443844949</v>
      </c>
    </row>
    <row r="991" spans="5:27" x14ac:dyDescent="0.3">
      <c r="E991" s="241"/>
      <c r="F991" s="241"/>
      <c r="T991" s="254">
        <v>979</v>
      </c>
      <c r="U991" s="248">
        <f t="shared" si="106"/>
        <v>220.7415</v>
      </c>
      <c r="V991" s="248">
        <f t="shared" si="107"/>
        <v>24.391499999999997</v>
      </c>
      <c r="W991" s="248">
        <f t="shared" si="108"/>
        <v>-241.26</v>
      </c>
      <c r="X991" s="248">
        <f t="shared" si="109"/>
        <v>3.8730000000000189</v>
      </c>
      <c r="Y991" s="248">
        <f t="shared" ca="1" si="105"/>
        <v>13.385727699892982</v>
      </c>
      <c r="Z991" s="248">
        <f t="shared" ca="1" si="110"/>
        <v>5.4128289443844944</v>
      </c>
      <c r="AA991" s="250">
        <f t="shared" ca="1" si="111"/>
        <v>541.28289443844949</v>
      </c>
    </row>
    <row r="992" spans="5:27" x14ac:dyDescent="0.3">
      <c r="E992" s="241"/>
      <c r="F992" s="241"/>
      <c r="T992" s="254">
        <v>980</v>
      </c>
      <c r="U992" s="248">
        <f t="shared" si="106"/>
        <v>221.7415</v>
      </c>
      <c r="V992" s="248">
        <f t="shared" si="107"/>
        <v>24.391499999999997</v>
      </c>
      <c r="W992" s="248">
        <f t="shared" si="108"/>
        <v>-242.26</v>
      </c>
      <c r="X992" s="248">
        <f t="shared" si="109"/>
        <v>3.8730000000000189</v>
      </c>
      <c r="Y992" s="248">
        <f t="shared" ca="1" si="105"/>
        <v>13.385727699892982</v>
      </c>
      <c r="Z992" s="248">
        <f t="shared" ca="1" si="110"/>
        <v>5.4128289443844944</v>
      </c>
      <c r="AA992" s="250">
        <f t="shared" ca="1" si="111"/>
        <v>541.28289443844949</v>
      </c>
    </row>
    <row r="993" spans="5:27" x14ac:dyDescent="0.3">
      <c r="E993" s="241"/>
      <c r="F993" s="241"/>
      <c r="T993" s="254">
        <v>981</v>
      </c>
      <c r="U993" s="248">
        <f t="shared" si="106"/>
        <v>222.7415</v>
      </c>
      <c r="V993" s="248">
        <f t="shared" si="107"/>
        <v>24.391499999999997</v>
      </c>
      <c r="W993" s="248">
        <f t="shared" si="108"/>
        <v>-243.26</v>
      </c>
      <c r="X993" s="248">
        <f t="shared" si="109"/>
        <v>3.8730000000000189</v>
      </c>
      <c r="Y993" s="248">
        <f t="shared" ca="1" si="105"/>
        <v>13.385727699892982</v>
      </c>
      <c r="Z993" s="248">
        <f t="shared" ca="1" si="110"/>
        <v>5.4128289443844944</v>
      </c>
      <c r="AA993" s="250">
        <f t="shared" ca="1" si="111"/>
        <v>541.28289443844949</v>
      </c>
    </row>
    <row r="994" spans="5:27" x14ac:dyDescent="0.3">
      <c r="E994" s="241"/>
      <c r="F994" s="241"/>
      <c r="T994" s="254">
        <v>982</v>
      </c>
      <c r="U994" s="248">
        <f t="shared" si="106"/>
        <v>223.7415</v>
      </c>
      <c r="V994" s="248">
        <f t="shared" si="107"/>
        <v>24.391499999999997</v>
      </c>
      <c r="W994" s="248">
        <f t="shared" si="108"/>
        <v>-244.26</v>
      </c>
      <c r="X994" s="248">
        <f t="shared" si="109"/>
        <v>3.8730000000000189</v>
      </c>
      <c r="Y994" s="248">
        <f t="shared" ca="1" si="105"/>
        <v>13.385727699892982</v>
      </c>
      <c r="Z994" s="248">
        <f t="shared" ca="1" si="110"/>
        <v>5.4128289443844944</v>
      </c>
      <c r="AA994" s="250">
        <f t="shared" ca="1" si="111"/>
        <v>541.28289443844949</v>
      </c>
    </row>
    <row r="995" spans="5:27" x14ac:dyDescent="0.3">
      <c r="E995" s="241"/>
      <c r="F995" s="241"/>
      <c r="T995" s="254">
        <v>983</v>
      </c>
      <c r="U995" s="248">
        <f t="shared" si="106"/>
        <v>224.7415</v>
      </c>
      <c r="V995" s="248">
        <f t="shared" si="107"/>
        <v>24.391499999999997</v>
      </c>
      <c r="W995" s="248">
        <f t="shared" si="108"/>
        <v>-245.26</v>
      </c>
      <c r="X995" s="248">
        <f t="shared" si="109"/>
        <v>3.8730000000000189</v>
      </c>
      <c r="Y995" s="248">
        <f t="shared" ca="1" si="105"/>
        <v>13.385727699892982</v>
      </c>
      <c r="Z995" s="248">
        <f t="shared" ca="1" si="110"/>
        <v>5.4128289443844944</v>
      </c>
      <c r="AA995" s="250">
        <f t="shared" ca="1" si="111"/>
        <v>541.28289443844949</v>
      </c>
    </row>
    <row r="996" spans="5:27" x14ac:dyDescent="0.3">
      <c r="E996" s="241"/>
      <c r="F996" s="241"/>
      <c r="T996" s="254">
        <v>984</v>
      </c>
      <c r="U996" s="248">
        <f t="shared" si="106"/>
        <v>225.7415</v>
      </c>
      <c r="V996" s="248">
        <f t="shared" si="107"/>
        <v>24.391499999999997</v>
      </c>
      <c r="W996" s="248">
        <f t="shared" si="108"/>
        <v>-246.26</v>
      </c>
      <c r="X996" s="248">
        <f t="shared" si="109"/>
        <v>3.8730000000000189</v>
      </c>
      <c r="Y996" s="248">
        <f t="shared" ca="1" si="105"/>
        <v>13.385727699892982</v>
      </c>
      <c r="Z996" s="248">
        <f t="shared" ca="1" si="110"/>
        <v>5.4128289443844944</v>
      </c>
      <c r="AA996" s="250">
        <f t="shared" ca="1" si="111"/>
        <v>541.28289443844949</v>
      </c>
    </row>
    <row r="997" spans="5:27" x14ac:dyDescent="0.3">
      <c r="E997" s="241"/>
      <c r="F997" s="241"/>
      <c r="T997" s="254">
        <v>985</v>
      </c>
      <c r="U997" s="248">
        <f t="shared" si="106"/>
        <v>226.7415</v>
      </c>
      <c r="V997" s="248">
        <f t="shared" si="107"/>
        <v>24.391499999999997</v>
      </c>
      <c r="W997" s="248">
        <f t="shared" si="108"/>
        <v>-247.26</v>
      </c>
      <c r="X997" s="248">
        <f t="shared" si="109"/>
        <v>3.8730000000000189</v>
      </c>
      <c r="Y997" s="248">
        <f t="shared" ca="1" si="105"/>
        <v>13.385727699892982</v>
      </c>
      <c r="Z997" s="248">
        <f t="shared" ca="1" si="110"/>
        <v>5.4128289443844944</v>
      </c>
      <c r="AA997" s="250">
        <f t="shared" ca="1" si="111"/>
        <v>541.28289443844949</v>
      </c>
    </row>
    <row r="998" spans="5:27" x14ac:dyDescent="0.3">
      <c r="E998" s="241"/>
      <c r="F998" s="241"/>
      <c r="T998" s="254">
        <v>986</v>
      </c>
      <c r="U998" s="248">
        <f t="shared" si="106"/>
        <v>227.7415</v>
      </c>
      <c r="V998" s="248">
        <f t="shared" si="107"/>
        <v>24.391499999999997</v>
      </c>
      <c r="W998" s="248">
        <f t="shared" si="108"/>
        <v>-248.26</v>
      </c>
      <c r="X998" s="248">
        <f t="shared" si="109"/>
        <v>3.8730000000000189</v>
      </c>
      <c r="Y998" s="248">
        <f t="shared" ca="1" si="105"/>
        <v>13.385727699892982</v>
      </c>
      <c r="Z998" s="248">
        <f t="shared" ca="1" si="110"/>
        <v>5.4128289443844944</v>
      </c>
      <c r="AA998" s="250">
        <f t="shared" ca="1" si="111"/>
        <v>541.28289443844949</v>
      </c>
    </row>
    <row r="999" spans="5:27" x14ac:dyDescent="0.3">
      <c r="E999" s="241"/>
      <c r="F999" s="241"/>
      <c r="T999" s="254">
        <v>987</v>
      </c>
      <c r="U999" s="248">
        <f t="shared" si="106"/>
        <v>228.7415</v>
      </c>
      <c r="V999" s="248">
        <f t="shared" si="107"/>
        <v>24.391499999999997</v>
      </c>
      <c r="W999" s="248">
        <f t="shared" si="108"/>
        <v>-249.26</v>
      </c>
      <c r="X999" s="248">
        <f t="shared" si="109"/>
        <v>3.8730000000000189</v>
      </c>
      <c r="Y999" s="248">
        <f t="shared" ca="1" si="105"/>
        <v>13.385727699892982</v>
      </c>
      <c r="Z999" s="248">
        <f t="shared" ca="1" si="110"/>
        <v>5.4128289443844944</v>
      </c>
      <c r="AA999" s="250">
        <f t="shared" ca="1" si="111"/>
        <v>541.28289443844949</v>
      </c>
    </row>
    <row r="1000" spans="5:27" x14ac:dyDescent="0.3">
      <c r="E1000" s="241"/>
      <c r="F1000" s="241"/>
      <c r="T1000" s="254">
        <v>988</v>
      </c>
      <c r="U1000" s="248">
        <f t="shared" si="106"/>
        <v>229.7415</v>
      </c>
      <c r="V1000" s="248">
        <f t="shared" si="107"/>
        <v>24.391499999999997</v>
      </c>
      <c r="W1000" s="248">
        <f t="shared" si="108"/>
        <v>-250.26</v>
      </c>
      <c r="X1000" s="248">
        <f t="shared" si="109"/>
        <v>3.8730000000000189</v>
      </c>
      <c r="Y1000" s="248">
        <f t="shared" ca="1" si="105"/>
        <v>13.385727699892982</v>
      </c>
      <c r="Z1000" s="248">
        <f t="shared" ca="1" si="110"/>
        <v>5.4128289443844944</v>
      </c>
      <c r="AA1000" s="250">
        <f t="shared" ca="1" si="111"/>
        <v>541.28289443844949</v>
      </c>
    </row>
    <row r="1001" spans="5:27" x14ac:dyDescent="0.3">
      <c r="E1001" s="241"/>
      <c r="F1001" s="241"/>
      <c r="T1001" s="254">
        <v>989</v>
      </c>
      <c r="U1001" s="248">
        <f t="shared" si="106"/>
        <v>230.7415</v>
      </c>
      <c r="V1001" s="248">
        <f t="shared" si="107"/>
        <v>24.391499999999997</v>
      </c>
      <c r="W1001" s="248">
        <f t="shared" si="108"/>
        <v>-251.26</v>
      </c>
      <c r="X1001" s="248">
        <f t="shared" si="109"/>
        <v>3.8730000000000189</v>
      </c>
      <c r="Y1001" s="248">
        <f t="shared" ca="1" si="105"/>
        <v>13.385727699892982</v>
      </c>
      <c r="Z1001" s="248">
        <f t="shared" ca="1" si="110"/>
        <v>5.4128289443844944</v>
      </c>
      <c r="AA1001" s="250">
        <f t="shared" ca="1" si="111"/>
        <v>541.28289443844949</v>
      </c>
    </row>
    <row r="1002" spans="5:27" x14ac:dyDescent="0.3">
      <c r="E1002" s="241"/>
      <c r="F1002" s="241"/>
      <c r="T1002" s="254">
        <v>990</v>
      </c>
      <c r="U1002" s="248">
        <f t="shared" si="106"/>
        <v>231.7415</v>
      </c>
      <c r="V1002" s="248">
        <f t="shared" si="107"/>
        <v>24.391499999999997</v>
      </c>
      <c r="W1002" s="248">
        <f t="shared" si="108"/>
        <v>-252.26</v>
      </c>
      <c r="X1002" s="248">
        <f t="shared" si="109"/>
        <v>3.8729999999999905</v>
      </c>
      <c r="Y1002" s="248">
        <f t="shared" ca="1" si="105"/>
        <v>13.385727699892982</v>
      </c>
      <c r="Z1002" s="248">
        <f t="shared" ca="1" si="110"/>
        <v>5.4128289443844659</v>
      </c>
      <c r="AA1002" s="250">
        <f t="shared" ca="1" si="111"/>
        <v>541.28289443844665</v>
      </c>
    </row>
    <row r="1003" spans="5:27" x14ac:dyDescent="0.3">
      <c r="E1003" s="241"/>
      <c r="F1003" s="241"/>
      <c r="T1003" s="254">
        <v>991</v>
      </c>
      <c r="U1003" s="248">
        <f t="shared" si="106"/>
        <v>232.7415</v>
      </c>
      <c r="V1003" s="248">
        <f t="shared" si="107"/>
        <v>24.391499999999997</v>
      </c>
      <c r="W1003" s="248">
        <f t="shared" si="108"/>
        <v>-253.26</v>
      </c>
      <c r="X1003" s="248">
        <f t="shared" si="109"/>
        <v>3.8729999999999905</v>
      </c>
      <c r="Y1003" s="248">
        <f t="shared" ca="1" si="105"/>
        <v>13.385727699892982</v>
      </c>
      <c r="Z1003" s="248">
        <f t="shared" ca="1" si="110"/>
        <v>5.4128289443844659</v>
      </c>
      <c r="AA1003" s="250">
        <f t="shared" ca="1" si="111"/>
        <v>541.28289443844665</v>
      </c>
    </row>
    <row r="1004" spans="5:27" x14ac:dyDescent="0.3">
      <c r="E1004" s="241"/>
      <c r="F1004" s="241"/>
      <c r="T1004" s="254">
        <v>992</v>
      </c>
      <c r="U1004" s="248">
        <f t="shared" si="106"/>
        <v>233.7415</v>
      </c>
      <c r="V1004" s="248">
        <f t="shared" si="107"/>
        <v>24.391499999999997</v>
      </c>
      <c r="W1004" s="248">
        <f t="shared" si="108"/>
        <v>-254.26</v>
      </c>
      <c r="X1004" s="248">
        <f t="shared" si="109"/>
        <v>3.8729999999999905</v>
      </c>
      <c r="Y1004" s="248">
        <f t="shared" ca="1" si="105"/>
        <v>13.385727699892982</v>
      </c>
      <c r="Z1004" s="248">
        <f t="shared" ca="1" si="110"/>
        <v>5.4128289443844659</v>
      </c>
      <c r="AA1004" s="250">
        <f t="shared" ca="1" si="111"/>
        <v>541.28289443844665</v>
      </c>
    </row>
    <row r="1005" spans="5:27" x14ac:dyDescent="0.3">
      <c r="E1005" s="241"/>
      <c r="F1005" s="241"/>
      <c r="T1005" s="254">
        <v>993</v>
      </c>
      <c r="U1005" s="248">
        <f t="shared" si="106"/>
        <v>234.7415</v>
      </c>
      <c r="V1005" s="248">
        <f t="shared" si="107"/>
        <v>24.391499999999997</v>
      </c>
      <c r="W1005" s="248">
        <f t="shared" si="108"/>
        <v>-255.26</v>
      </c>
      <c r="X1005" s="248">
        <f t="shared" si="109"/>
        <v>3.8729999999999905</v>
      </c>
      <c r="Y1005" s="248">
        <f t="shared" ca="1" si="105"/>
        <v>13.385727699892982</v>
      </c>
      <c r="Z1005" s="248">
        <f t="shared" ca="1" si="110"/>
        <v>5.4128289443844659</v>
      </c>
      <c r="AA1005" s="250">
        <f t="shared" ca="1" si="111"/>
        <v>541.28289443844665</v>
      </c>
    </row>
    <row r="1006" spans="5:27" x14ac:dyDescent="0.3">
      <c r="E1006" s="241"/>
      <c r="F1006" s="241"/>
      <c r="T1006" s="254">
        <v>994</v>
      </c>
      <c r="U1006" s="248">
        <f t="shared" si="106"/>
        <v>235.7415</v>
      </c>
      <c r="V1006" s="248">
        <f t="shared" si="107"/>
        <v>24.391499999999997</v>
      </c>
      <c r="W1006" s="248">
        <f t="shared" si="108"/>
        <v>-256.26</v>
      </c>
      <c r="X1006" s="248">
        <f t="shared" si="109"/>
        <v>3.8729999999999905</v>
      </c>
      <c r="Y1006" s="248">
        <f t="shared" ca="1" si="105"/>
        <v>13.385727699892982</v>
      </c>
      <c r="Z1006" s="248">
        <f t="shared" ca="1" si="110"/>
        <v>5.4128289443844659</v>
      </c>
      <c r="AA1006" s="250">
        <f t="shared" ca="1" si="111"/>
        <v>541.28289443844665</v>
      </c>
    </row>
    <row r="1007" spans="5:27" x14ac:dyDescent="0.3">
      <c r="E1007" s="241"/>
      <c r="F1007" s="241"/>
      <c r="T1007" s="254">
        <v>995</v>
      </c>
      <c r="U1007" s="248">
        <f t="shared" si="106"/>
        <v>236.7415</v>
      </c>
      <c r="V1007" s="248">
        <f t="shared" si="107"/>
        <v>24.391499999999997</v>
      </c>
      <c r="W1007" s="248">
        <f t="shared" si="108"/>
        <v>-257.26</v>
      </c>
      <c r="X1007" s="248">
        <f t="shared" si="109"/>
        <v>3.8729999999999905</v>
      </c>
      <c r="Y1007" s="248">
        <f t="shared" ca="1" si="105"/>
        <v>13.385727699892982</v>
      </c>
      <c r="Z1007" s="248">
        <f t="shared" ca="1" si="110"/>
        <v>5.4128289443844659</v>
      </c>
      <c r="AA1007" s="250">
        <f t="shared" ca="1" si="111"/>
        <v>541.28289443844665</v>
      </c>
    </row>
    <row r="1008" spans="5:27" x14ac:dyDescent="0.3">
      <c r="E1008" s="241"/>
      <c r="F1008" s="241"/>
      <c r="T1008" s="254">
        <v>996</v>
      </c>
      <c r="U1008" s="248">
        <f t="shared" si="106"/>
        <v>237.7415</v>
      </c>
      <c r="V1008" s="248">
        <f t="shared" si="107"/>
        <v>24.391499999999997</v>
      </c>
      <c r="W1008" s="248">
        <f t="shared" si="108"/>
        <v>-258.26</v>
      </c>
      <c r="X1008" s="248">
        <f t="shared" si="109"/>
        <v>3.8729999999999905</v>
      </c>
      <c r="Y1008" s="248">
        <f t="shared" ca="1" si="105"/>
        <v>13.385727699892982</v>
      </c>
      <c r="Z1008" s="248">
        <f t="shared" ca="1" si="110"/>
        <v>5.4128289443844659</v>
      </c>
      <c r="AA1008" s="250">
        <f t="shared" ca="1" si="111"/>
        <v>541.28289443844665</v>
      </c>
    </row>
    <row r="1009" spans="5:27" x14ac:dyDescent="0.3">
      <c r="E1009" s="241"/>
      <c r="F1009" s="241"/>
      <c r="T1009" s="254">
        <v>997</v>
      </c>
      <c r="U1009" s="248">
        <f t="shared" si="106"/>
        <v>238.7415</v>
      </c>
      <c r="V1009" s="248">
        <f t="shared" si="107"/>
        <v>24.391499999999997</v>
      </c>
      <c r="W1009" s="248">
        <f t="shared" si="108"/>
        <v>-259.26</v>
      </c>
      <c r="X1009" s="248">
        <f t="shared" si="109"/>
        <v>3.8729999999999905</v>
      </c>
      <c r="Y1009" s="248">
        <f t="shared" ca="1" si="105"/>
        <v>13.385727699892982</v>
      </c>
      <c r="Z1009" s="248">
        <f t="shared" ca="1" si="110"/>
        <v>5.4128289443844659</v>
      </c>
      <c r="AA1009" s="250">
        <f t="shared" ca="1" si="111"/>
        <v>541.28289443844665</v>
      </c>
    </row>
    <row r="1010" spans="5:27" x14ac:dyDescent="0.3">
      <c r="T1010" s="254">
        <v>998</v>
      </c>
      <c r="U1010" s="248">
        <f t="shared" si="106"/>
        <v>239.7415</v>
      </c>
      <c r="V1010" s="248">
        <f t="shared" si="107"/>
        <v>24.391499999999997</v>
      </c>
      <c r="W1010" s="248">
        <f t="shared" si="108"/>
        <v>-260.26</v>
      </c>
      <c r="X1010" s="248">
        <f t="shared" si="109"/>
        <v>3.8729999999999905</v>
      </c>
      <c r="Y1010" s="248">
        <f t="shared" ca="1" si="105"/>
        <v>13.385727699892982</v>
      </c>
      <c r="Z1010" s="248">
        <f t="shared" ca="1" si="110"/>
        <v>5.4128289443844659</v>
      </c>
      <c r="AA1010" s="250">
        <f t="shared" ca="1" si="111"/>
        <v>541.28289443844665</v>
      </c>
    </row>
    <row r="1011" spans="5:27" x14ac:dyDescent="0.3">
      <c r="T1011" s="254">
        <v>999</v>
      </c>
      <c r="U1011" s="248">
        <f t="shared" si="106"/>
        <v>240.7415</v>
      </c>
      <c r="V1011" s="248">
        <f t="shared" si="107"/>
        <v>24.391499999999997</v>
      </c>
      <c r="W1011" s="248">
        <f t="shared" si="108"/>
        <v>-261.26</v>
      </c>
      <c r="X1011" s="248">
        <f t="shared" si="109"/>
        <v>3.8729999999999905</v>
      </c>
      <c r="Y1011" s="248">
        <f t="shared" ca="1" si="105"/>
        <v>13.385727699892982</v>
      </c>
      <c r="Z1011" s="248">
        <f t="shared" ca="1" si="110"/>
        <v>5.4128289443844659</v>
      </c>
      <c r="AA1011" s="250">
        <f t="shared" ca="1" si="111"/>
        <v>541.28289443844665</v>
      </c>
    </row>
    <row r="1012" spans="5:27" x14ac:dyDescent="0.3">
      <c r="T1012" s="254">
        <v>1000</v>
      </c>
      <c r="U1012" s="248">
        <f t="shared" si="106"/>
        <v>241.7415</v>
      </c>
      <c r="V1012" s="248">
        <f t="shared" si="107"/>
        <v>24.391499999999997</v>
      </c>
      <c r="W1012" s="248">
        <f t="shared" si="108"/>
        <v>-262.26</v>
      </c>
      <c r="X1012" s="248">
        <f t="shared" si="109"/>
        <v>3.8729999999999905</v>
      </c>
      <c r="Y1012" s="248">
        <f t="shared" ca="1" si="105"/>
        <v>13.385727699892982</v>
      </c>
      <c r="Z1012" s="248">
        <f t="shared" ca="1" si="110"/>
        <v>5.4128289443844659</v>
      </c>
      <c r="AA1012" s="250">
        <f t="shared" ca="1" si="111"/>
        <v>541.28289443844665</v>
      </c>
    </row>
    <row r="1013" spans="5:27" x14ac:dyDescent="0.3">
      <c r="T1013" s="254">
        <v>1001</v>
      </c>
      <c r="U1013" s="248">
        <f t="shared" si="106"/>
        <v>242.7415</v>
      </c>
      <c r="V1013" s="248">
        <f t="shared" si="107"/>
        <v>24.391499999999997</v>
      </c>
      <c r="W1013" s="248">
        <f t="shared" si="108"/>
        <v>-263.26</v>
      </c>
      <c r="X1013" s="248">
        <f t="shared" si="109"/>
        <v>3.8729999999999905</v>
      </c>
      <c r="Y1013" s="248">
        <f t="shared" ca="1" si="105"/>
        <v>13.385727699892982</v>
      </c>
      <c r="Z1013" s="248">
        <f t="shared" ca="1" si="110"/>
        <v>5.4128289443844659</v>
      </c>
      <c r="AA1013" s="250">
        <f t="shared" ca="1" si="111"/>
        <v>541.28289443844665</v>
      </c>
    </row>
    <row r="1014" spans="5:27" x14ac:dyDescent="0.3">
      <c r="T1014" s="254">
        <v>1002</v>
      </c>
      <c r="U1014" s="248">
        <f t="shared" si="106"/>
        <v>243.7415</v>
      </c>
      <c r="V1014" s="248">
        <f t="shared" si="107"/>
        <v>24.391499999999997</v>
      </c>
      <c r="W1014" s="248">
        <f t="shared" si="108"/>
        <v>-264.26</v>
      </c>
      <c r="X1014" s="248">
        <f t="shared" si="109"/>
        <v>3.8729999999999905</v>
      </c>
      <c r="Y1014" s="248">
        <f t="shared" ca="1" si="105"/>
        <v>13.385727699892982</v>
      </c>
      <c r="Z1014" s="248">
        <f t="shared" ca="1" si="110"/>
        <v>5.4128289443844659</v>
      </c>
      <c r="AA1014" s="250">
        <f t="shared" ca="1" si="111"/>
        <v>541.28289443844665</v>
      </c>
    </row>
    <row r="1015" spans="5:27" x14ac:dyDescent="0.3">
      <c r="T1015" s="254">
        <v>1003</v>
      </c>
      <c r="U1015" s="248">
        <f t="shared" si="106"/>
        <v>244.7415</v>
      </c>
      <c r="V1015" s="248">
        <f t="shared" si="107"/>
        <v>24.391499999999997</v>
      </c>
      <c r="W1015" s="248">
        <f t="shared" si="108"/>
        <v>-265.26</v>
      </c>
      <c r="X1015" s="248">
        <f t="shared" si="109"/>
        <v>3.8729999999999905</v>
      </c>
      <c r="Y1015" s="248">
        <f t="shared" ca="1" si="105"/>
        <v>13.385727699892982</v>
      </c>
      <c r="Z1015" s="248">
        <f t="shared" ca="1" si="110"/>
        <v>5.4128289443844659</v>
      </c>
      <c r="AA1015" s="250">
        <f t="shared" ca="1" si="111"/>
        <v>541.28289443844665</v>
      </c>
    </row>
    <row r="1016" spans="5:27" x14ac:dyDescent="0.3">
      <c r="T1016" s="254">
        <v>1004</v>
      </c>
      <c r="U1016" s="248">
        <f t="shared" si="106"/>
        <v>245.7415</v>
      </c>
      <c r="V1016" s="248">
        <f t="shared" si="107"/>
        <v>24.391499999999997</v>
      </c>
      <c r="W1016" s="248">
        <f t="shared" si="108"/>
        <v>-266.26</v>
      </c>
      <c r="X1016" s="248">
        <f t="shared" si="109"/>
        <v>3.8729999999999905</v>
      </c>
      <c r="Y1016" s="248">
        <f t="shared" ca="1" si="105"/>
        <v>13.385727699892982</v>
      </c>
      <c r="Z1016" s="248">
        <f t="shared" ca="1" si="110"/>
        <v>5.4128289443844659</v>
      </c>
      <c r="AA1016" s="250">
        <f t="shared" ca="1" si="111"/>
        <v>541.28289443844665</v>
      </c>
    </row>
    <row r="1017" spans="5:27" x14ac:dyDescent="0.3">
      <c r="T1017" s="254">
        <v>1005</v>
      </c>
      <c r="U1017" s="248">
        <f t="shared" si="106"/>
        <v>246.7415</v>
      </c>
      <c r="V1017" s="248">
        <f t="shared" si="107"/>
        <v>24.391499999999997</v>
      </c>
      <c r="W1017" s="248">
        <f t="shared" si="108"/>
        <v>-267.26</v>
      </c>
      <c r="X1017" s="248">
        <f t="shared" si="109"/>
        <v>3.8729999999999905</v>
      </c>
      <c r="Y1017" s="248">
        <f t="shared" ca="1" si="105"/>
        <v>13.385727699892982</v>
      </c>
      <c r="Z1017" s="248">
        <f t="shared" ca="1" si="110"/>
        <v>5.4128289443844659</v>
      </c>
      <c r="AA1017" s="250">
        <f t="shared" ca="1" si="111"/>
        <v>541.28289443844665</v>
      </c>
    </row>
    <row r="1018" spans="5:27" x14ac:dyDescent="0.3">
      <c r="T1018" s="254">
        <v>1006</v>
      </c>
      <c r="U1018" s="248">
        <f t="shared" si="106"/>
        <v>247.7415</v>
      </c>
      <c r="V1018" s="248">
        <f t="shared" si="107"/>
        <v>24.391499999999997</v>
      </c>
      <c r="W1018" s="248">
        <f t="shared" si="108"/>
        <v>-268.26</v>
      </c>
      <c r="X1018" s="248">
        <f t="shared" si="109"/>
        <v>3.8729999999999905</v>
      </c>
      <c r="Y1018" s="248">
        <f t="shared" ca="1" si="105"/>
        <v>13.385727699892982</v>
      </c>
      <c r="Z1018" s="248">
        <f t="shared" ca="1" si="110"/>
        <v>5.4128289443844659</v>
      </c>
      <c r="AA1018" s="250">
        <f t="shared" ca="1" si="111"/>
        <v>541.28289443844665</v>
      </c>
    </row>
    <row r="1019" spans="5:27" x14ac:dyDescent="0.3">
      <c r="T1019" s="254">
        <v>1007</v>
      </c>
      <c r="U1019" s="248">
        <f t="shared" si="106"/>
        <v>248.7415</v>
      </c>
      <c r="V1019" s="248">
        <f t="shared" si="107"/>
        <v>24.391499999999997</v>
      </c>
      <c r="W1019" s="248">
        <f t="shared" si="108"/>
        <v>-269.26</v>
      </c>
      <c r="X1019" s="248">
        <f t="shared" si="109"/>
        <v>3.8729999999999905</v>
      </c>
      <c r="Y1019" s="248">
        <f t="shared" ca="1" si="105"/>
        <v>13.385727699892982</v>
      </c>
      <c r="Z1019" s="248">
        <f t="shared" ca="1" si="110"/>
        <v>5.4128289443844659</v>
      </c>
      <c r="AA1019" s="250">
        <f t="shared" ca="1" si="111"/>
        <v>541.28289443844665</v>
      </c>
    </row>
    <row r="1020" spans="5:27" x14ac:dyDescent="0.3">
      <c r="T1020" s="254">
        <v>1008</v>
      </c>
      <c r="U1020" s="248">
        <f t="shared" si="106"/>
        <v>249.7415</v>
      </c>
      <c r="V1020" s="248">
        <f t="shared" si="107"/>
        <v>24.391499999999997</v>
      </c>
      <c r="W1020" s="248">
        <f t="shared" si="108"/>
        <v>-270.26</v>
      </c>
      <c r="X1020" s="248">
        <f t="shared" si="109"/>
        <v>3.8729999999999905</v>
      </c>
      <c r="Y1020" s="248">
        <f t="shared" ca="1" si="105"/>
        <v>13.385727699892982</v>
      </c>
      <c r="Z1020" s="248">
        <f t="shared" ca="1" si="110"/>
        <v>5.4128289443844659</v>
      </c>
      <c r="AA1020" s="250">
        <f t="shared" ca="1" si="111"/>
        <v>541.28289443844665</v>
      </c>
    </row>
    <row r="1021" spans="5:27" x14ac:dyDescent="0.3">
      <c r="T1021" s="254">
        <v>1009</v>
      </c>
      <c r="U1021" s="248">
        <f t="shared" si="106"/>
        <v>250.7415</v>
      </c>
      <c r="V1021" s="248">
        <f t="shared" si="107"/>
        <v>24.391499999999997</v>
      </c>
      <c r="W1021" s="248">
        <f t="shared" si="108"/>
        <v>-271.26</v>
      </c>
      <c r="X1021" s="248">
        <f t="shared" si="109"/>
        <v>3.8729999999999905</v>
      </c>
      <c r="Y1021" s="248">
        <f t="shared" ca="1" si="105"/>
        <v>13.385727699892982</v>
      </c>
      <c r="Z1021" s="248">
        <f t="shared" ca="1" si="110"/>
        <v>5.4128289443844659</v>
      </c>
      <c r="AA1021" s="250">
        <f t="shared" ca="1" si="111"/>
        <v>541.28289443844665</v>
      </c>
    </row>
    <row r="1022" spans="5:27" x14ac:dyDescent="0.3">
      <c r="T1022" s="254">
        <v>1010</v>
      </c>
      <c r="U1022" s="248">
        <f t="shared" si="106"/>
        <v>251.7415</v>
      </c>
      <c r="V1022" s="248">
        <f t="shared" si="107"/>
        <v>24.391499999999997</v>
      </c>
      <c r="W1022" s="248">
        <f t="shared" si="108"/>
        <v>-272.26</v>
      </c>
      <c r="X1022" s="248">
        <f t="shared" si="109"/>
        <v>3.8729999999999905</v>
      </c>
      <c r="Y1022" s="248">
        <f t="shared" ca="1" si="105"/>
        <v>13.385727699892982</v>
      </c>
      <c r="Z1022" s="248">
        <f t="shared" ca="1" si="110"/>
        <v>5.4128289443844659</v>
      </c>
      <c r="AA1022" s="250">
        <f t="shared" ca="1" si="111"/>
        <v>541.28289443844665</v>
      </c>
    </row>
    <row r="1023" spans="5:27" x14ac:dyDescent="0.3">
      <c r="T1023" s="254">
        <v>1011</v>
      </c>
      <c r="U1023" s="248">
        <f t="shared" si="106"/>
        <v>252.7415</v>
      </c>
      <c r="V1023" s="248">
        <f t="shared" si="107"/>
        <v>24.391499999999997</v>
      </c>
      <c r="W1023" s="248">
        <f t="shared" si="108"/>
        <v>-273.26</v>
      </c>
      <c r="X1023" s="248">
        <f t="shared" si="109"/>
        <v>3.8729999999999905</v>
      </c>
      <c r="Y1023" s="248">
        <f t="shared" ca="1" si="105"/>
        <v>13.385727699892982</v>
      </c>
      <c r="Z1023" s="248">
        <f t="shared" ca="1" si="110"/>
        <v>5.4128289443844659</v>
      </c>
      <c r="AA1023" s="250">
        <f t="shared" ca="1" si="111"/>
        <v>541.28289443844665</v>
      </c>
    </row>
    <row r="1024" spans="5:27" x14ac:dyDescent="0.3">
      <c r="T1024" s="254">
        <v>1012</v>
      </c>
      <c r="U1024" s="248">
        <f t="shared" si="106"/>
        <v>253.7415</v>
      </c>
      <c r="V1024" s="248">
        <f t="shared" si="107"/>
        <v>24.391499999999997</v>
      </c>
      <c r="W1024" s="248">
        <f t="shared" si="108"/>
        <v>-274.26</v>
      </c>
      <c r="X1024" s="248">
        <f t="shared" si="109"/>
        <v>3.8729999999999905</v>
      </c>
      <c r="Y1024" s="248">
        <f t="shared" ca="1" si="105"/>
        <v>13.385727699892982</v>
      </c>
      <c r="Z1024" s="248">
        <f t="shared" ca="1" si="110"/>
        <v>5.4128289443844659</v>
      </c>
      <c r="AA1024" s="250">
        <f t="shared" ca="1" si="111"/>
        <v>541.28289443844665</v>
      </c>
    </row>
    <row r="1025" spans="20:27" x14ac:dyDescent="0.3">
      <c r="T1025" s="254">
        <v>1013</v>
      </c>
      <c r="U1025" s="248">
        <f t="shared" si="106"/>
        <v>254.7415</v>
      </c>
      <c r="V1025" s="248">
        <f t="shared" si="107"/>
        <v>24.391499999999997</v>
      </c>
      <c r="W1025" s="248">
        <f t="shared" si="108"/>
        <v>-275.26</v>
      </c>
      <c r="X1025" s="248">
        <f t="shared" si="109"/>
        <v>3.8729999999999905</v>
      </c>
      <c r="Y1025" s="248">
        <f t="shared" ca="1" si="105"/>
        <v>13.385727699892982</v>
      </c>
      <c r="Z1025" s="248">
        <f t="shared" ca="1" si="110"/>
        <v>5.4128289443844659</v>
      </c>
      <c r="AA1025" s="250">
        <f t="shared" ca="1" si="111"/>
        <v>541.28289443844665</v>
      </c>
    </row>
    <row r="1026" spans="20:27" x14ac:dyDescent="0.3">
      <c r="T1026" s="254">
        <v>1014</v>
      </c>
      <c r="U1026" s="248">
        <f t="shared" si="106"/>
        <v>255.7415</v>
      </c>
      <c r="V1026" s="248">
        <f t="shared" si="107"/>
        <v>24.391499999999997</v>
      </c>
      <c r="W1026" s="248">
        <f t="shared" si="108"/>
        <v>-276.26</v>
      </c>
      <c r="X1026" s="248">
        <f t="shared" si="109"/>
        <v>3.8729999999999905</v>
      </c>
      <c r="Y1026" s="248">
        <f t="shared" ca="1" si="105"/>
        <v>13.385727699892982</v>
      </c>
      <c r="Z1026" s="248">
        <f t="shared" ca="1" si="110"/>
        <v>5.4128289443844659</v>
      </c>
      <c r="AA1026" s="250">
        <f t="shared" ca="1" si="111"/>
        <v>541.28289443844665</v>
      </c>
    </row>
    <row r="1027" spans="20:27" x14ac:dyDescent="0.3">
      <c r="T1027" s="254">
        <v>1015</v>
      </c>
      <c r="U1027" s="248">
        <f t="shared" si="106"/>
        <v>256.74149999999997</v>
      </c>
      <c r="V1027" s="248">
        <f t="shared" si="107"/>
        <v>24.391499999999997</v>
      </c>
      <c r="W1027" s="248">
        <f t="shared" si="108"/>
        <v>-277.26</v>
      </c>
      <c r="X1027" s="248">
        <f t="shared" si="109"/>
        <v>3.8729999999999905</v>
      </c>
      <c r="Y1027" s="248">
        <f t="shared" ca="1" si="105"/>
        <v>13.385727699892982</v>
      </c>
      <c r="Z1027" s="248">
        <f t="shared" ca="1" si="110"/>
        <v>5.4128289443844659</v>
      </c>
      <c r="AA1027" s="250">
        <f t="shared" ca="1" si="111"/>
        <v>541.28289443844665</v>
      </c>
    </row>
    <row r="1028" spans="20:27" x14ac:dyDescent="0.3">
      <c r="T1028" s="254">
        <v>1016</v>
      </c>
      <c r="U1028" s="248">
        <f t="shared" si="106"/>
        <v>257.74149999999997</v>
      </c>
      <c r="V1028" s="248">
        <f t="shared" si="107"/>
        <v>24.391499999999997</v>
      </c>
      <c r="W1028" s="248">
        <f t="shared" si="108"/>
        <v>-278.26</v>
      </c>
      <c r="X1028" s="248">
        <f t="shared" si="109"/>
        <v>3.8729999999999905</v>
      </c>
      <c r="Y1028" s="248">
        <f t="shared" ca="1" si="105"/>
        <v>13.385727699892982</v>
      </c>
      <c r="Z1028" s="248">
        <f t="shared" ca="1" si="110"/>
        <v>5.4128289443844659</v>
      </c>
      <c r="AA1028" s="250">
        <f t="shared" ca="1" si="111"/>
        <v>541.28289443844665</v>
      </c>
    </row>
    <row r="1029" spans="20:27" x14ac:dyDescent="0.3">
      <c r="T1029" s="254">
        <v>1017</v>
      </c>
      <c r="U1029" s="248">
        <f t="shared" si="106"/>
        <v>258.74149999999997</v>
      </c>
      <c r="V1029" s="248">
        <f t="shared" si="107"/>
        <v>24.391499999999997</v>
      </c>
      <c r="W1029" s="248">
        <f t="shared" si="108"/>
        <v>-279.26</v>
      </c>
      <c r="X1029" s="248">
        <f t="shared" si="109"/>
        <v>3.8729999999999905</v>
      </c>
      <c r="Y1029" s="248">
        <f t="shared" ca="1" si="105"/>
        <v>13.385727699892982</v>
      </c>
      <c r="Z1029" s="248">
        <f t="shared" ca="1" si="110"/>
        <v>5.4128289443844659</v>
      </c>
      <c r="AA1029" s="250">
        <f t="shared" ca="1" si="111"/>
        <v>541.28289443844665</v>
      </c>
    </row>
    <row r="1030" spans="20:27" x14ac:dyDescent="0.3">
      <c r="T1030" s="254">
        <v>1018</v>
      </c>
      <c r="U1030" s="248">
        <f t="shared" si="106"/>
        <v>259.74149999999997</v>
      </c>
      <c r="V1030" s="248">
        <f t="shared" si="107"/>
        <v>24.391499999999997</v>
      </c>
      <c r="W1030" s="248">
        <f t="shared" si="108"/>
        <v>-280.26</v>
      </c>
      <c r="X1030" s="248">
        <f t="shared" si="109"/>
        <v>3.8729999999999905</v>
      </c>
      <c r="Y1030" s="248">
        <f t="shared" ca="1" si="105"/>
        <v>13.385727699892982</v>
      </c>
      <c r="Z1030" s="248">
        <f t="shared" ca="1" si="110"/>
        <v>5.4128289443844659</v>
      </c>
      <c r="AA1030" s="250">
        <f t="shared" ca="1" si="111"/>
        <v>541.28289443844665</v>
      </c>
    </row>
    <row r="1031" spans="20:27" x14ac:dyDescent="0.3">
      <c r="T1031" s="254">
        <v>1019</v>
      </c>
      <c r="U1031" s="248">
        <f t="shared" si="106"/>
        <v>260.74149999999997</v>
      </c>
      <c r="V1031" s="248">
        <f t="shared" si="107"/>
        <v>24.391499999999997</v>
      </c>
      <c r="W1031" s="248">
        <f t="shared" si="108"/>
        <v>-281.26</v>
      </c>
      <c r="X1031" s="248">
        <f t="shared" si="109"/>
        <v>3.8729999999999905</v>
      </c>
      <c r="Y1031" s="248">
        <f t="shared" ca="1" si="105"/>
        <v>13.385727699892982</v>
      </c>
      <c r="Z1031" s="248">
        <f t="shared" ca="1" si="110"/>
        <v>5.4128289443844659</v>
      </c>
      <c r="AA1031" s="250">
        <f t="shared" ca="1" si="111"/>
        <v>541.28289443844665</v>
      </c>
    </row>
    <row r="1032" spans="20:27" x14ac:dyDescent="0.3">
      <c r="T1032" s="254">
        <v>1020</v>
      </c>
      <c r="U1032" s="248">
        <f t="shared" si="106"/>
        <v>261.74149999999997</v>
      </c>
      <c r="V1032" s="248">
        <f t="shared" si="107"/>
        <v>24.391499999999997</v>
      </c>
      <c r="W1032" s="248">
        <f t="shared" si="108"/>
        <v>-282.26</v>
      </c>
      <c r="X1032" s="248">
        <f t="shared" si="109"/>
        <v>3.8729999999999905</v>
      </c>
      <c r="Y1032" s="248">
        <f t="shared" ca="1" si="105"/>
        <v>13.385727699892982</v>
      </c>
      <c r="Z1032" s="248">
        <f t="shared" ca="1" si="110"/>
        <v>5.4128289443844659</v>
      </c>
      <c r="AA1032" s="250">
        <f t="shared" ca="1" si="111"/>
        <v>541.28289443844665</v>
      </c>
    </row>
    <row r="1033" spans="20:27" x14ac:dyDescent="0.3">
      <c r="T1033" s="254">
        <v>1021</v>
      </c>
      <c r="U1033" s="248">
        <f t="shared" si="106"/>
        <v>262.74149999999997</v>
      </c>
      <c r="V1033" s="248">
        <f t="shared" si="107"/>
        <v>24.391499999999997</v>
      </c>
      <c r="W1033" s="248">
        <f t="shared" si="108"/>
        <v>-283.26</v>
      </c>
      <c r="X1033" s="248">
        <f t="shared" si="109"/>
        <v>3.8729999999999905</v>
      </c>
      <c r="Y1033" s="248">
        <f t="shared" ca="1" si="105"/>
        <v>13.385727699892982</v>
      </c>
      <c r="Z1033" s="248">
        <f t="shared" ca="1" si="110"/>
        <v>5.4128289443844659</v>
      </c>
      <c r="AA1033" s="250">
        <f t="shared" ca="1" si="111"/>
        <v>541.28289443844665</v>
      </c>
    </row>
    <row r="1034" spans="20:27" x14ac:dyDescent="0.3">
      <c r="T1034" s="254">
        <v>1022</v>
      </c>
      <c r="U1034" s="248">
        <f t="shared" si="106"/>
        <v>263.74149999999997</v>
      </c>
      <c r="V1034" s="248">
        <f t="shared" si="107"/>
        <v>24.391499999999997</v>
      </c>
      <c r="W1034" s="248">
        <f t="shared" si="108"/>
        <v>-284.26</v>
      </c>
      <c r="X1034" s="248">
        <f t="shared" si="109"/>
        <v>3.8729999999999905</v>
      </c>
      <c r="Y1034" s="248">
        <f t="shared" ca="1" si="105"/>
        <v>13.385727699892982</v>
      </c>
      <c r="Z1034" s="248">
        <f t="shared" ca="1" si="110"/>
        <v>5.4128289443844659</v>
      </c>
      <c r="AA1034" s="250">
        <f t="shared" ca="1" si="111"/>
        <v>541.28289443844665</v>
      </c>
    </row>
    <row r="1035" spans="20:27" x14ac:dyDescent="0.3">
      <c r="T1035" s="254">
        <v>1023</v>
      </c>
      <c r="U1035" s="248">
        <f t="shared" si="106"/>
        <v>264.74149999999997</v>
      </c>
      <c r="V1035" s="248">
        <f t="shared" si="107"/>
        <v>24.391499999999997</v>
      </c>
      <c r="W1035" s="248">
        <f t="shared" si="108"/>
        <v>-285.26</v>
      </c>
      <c r="X1035" s="248">
        <f t="shared" si="109"/>
        <v>3.8729999999999905</v>
      </c>
      <c r="Y1035" s="248">
        <f t="shared" ca="1" si="105"/>
        <v>13.385727699892982</v>
      </c>
      <c r="Z1035" s="248">
        <f t="shared" ca="1" si="110"/>
        <v>5.4128289443844659</v>
      </c>
      <c r="AA1035" s="250">
        <f t="shared" ca="1" si="111"/>
        <v>541.28289443844665</v>
      </c>
    </row>
    <row r="1036" spans="20:27" x14ac:dyDescent="0.3">
      <c r="T1036" s="254">
        <v>1024</v>
      </c>
      <c r="U1036" s="248">
        <f t="shared" si="106"/>
        <v>265.74149999999997</v>
      </c>
      <c r="V1036" s="248">
        <f t="shared" si="107"/>
        <v>24.391499999999997</v>
      </c>
      <c r="W1036" s="248">
        <f t="shared" si="108"/>
        <v>-286.26</v>
      </c>
      <c r="X1036" s="248">
        <f t="shared" si="109"/>
        <v>3.8729999999999905</v>
      </c>
      <c r="Y1036" s="248">
        <f t="shared" ref="Y1036:Y1099" ca="1" si="112">$Y$10*EXP($Y$7*$C$6)-$Y$10</f>
        <v>13.385727699892982</v>
      </c>
      <c r="Z1036" s="248">
        <f t="shared" ca="1" si="110"/>
        <v>5.4128289443844659</v>
      </c>
      <c r="AA1036" s="250">
        <f t="shared" ca="1" si="111"/>
        <v>541.28289443844665</v>
      </c>
    </row>
    <row r="1037" spans="20:27" x14ac:dyDescent="0.3">
      <c r="T1037" s="254">
        <v>1025</v>
      </c>
      <c r="U1037" s="248">
        <f t="shared" ref="U1037:U1100" si="113">MAX(0,T1037-$U$9)-$U$10-$U$11/100</f>
        <v>266.74149999999997</v>
      </c>
      <c r="V1037" s="248">
        <f t="shared" ref="V1037:V1100" si="114">$V$10-MAX(0,$V$9-T1037)-$V$11/100</f>
        <v>24.391499999999997</v>
      </c>
      <c r="W1037" s="248">
        <f t="shared" ref="W1037:W1100" si="115">$W$10-T1037</f>
        <v>-287.26</v>
      </c>
      <c r="X1037" s="248">
        <f t="shared" ref="X1037:X1100" si="116">SUM(U1037:W1037)</f>
        <v>3.8729999999999905</v>
      </c>
      <c r="Y1037" s="248">
        <f t="shared" ca="1" si="112"/>
        <v>13.385727699892982</v>
      </c>
      <c r="Z1037" s="248">
        <f t="shared" ref="Z1037:Z1100" ca="1" si="117">EXP(-$E$3*$C$6)*SUM(X1037:Y1037)</f>
        <v>5.4128289443844659</v>
      </c>
      <c r="AA1037" s="250">
        <f t="shared" ref="AA1037:AA1100" ca="1" si="118">Z1037*100</f>
        <v>541.28289443844665</v>
      </c>
    </row>
    <row r="1038" spans="20:27" x14ac:dyDescent="0.3">
      <c r="T1038" s="254">
        <v>1026</v>
      </c>
      <c r="U1038" s="248">
        <f t="shared" si="113"/>
        <v>267.74149999999997</v>
      </c>
      <c r="V1038" s="248">
        <f t="shared" si="114"/>
        <v>24.391499999999997</v>
      </c>
      <c r="W1038" s="248">
        <f t="shared" si="115"/>
        <v>-288.26</v>
      </c>
      <c r="X1038" s="248">
        <f t="shared" si="116"/>
        <v>3.8729999999999905</v>
      </c>
      <c r="Y1038" s="248">
        <f t="shared" ca="1" si="112"/>
        <v>13.385727699892982</v>
      </c>
      <c r="Z1038" s="248">
        <f t="shared" ca="1" si="117"/>
        <v>5.4128289443844659</v>
      </c>
      <c r="AA1038" s="250">
        <f t="shared" ca="1" si="118"/>
        <v>541.28289443844665</v>
      </c>
    </row>
    <row r="1039" spans="20:27" x14ac:dyDescent="0.3">
      <c r="T1039" s="254">
        <v>1027</v>
      </c>
      <c r="U1039" s="248">
        <f t="shared" si="113"/>
        <v>268.74149999999997</v>
      </c>
      <c r="V1039" s="248">
        <f t="shared" si="114"/>
        <v>24.391499999999997</v>
      </c>
      <c r="W1039" s="248">
        <f t="shared" si="115"/>
        <v>-289.26</v>
      </c>
      <c r="X1039" s="248">
        <f t="shared" si="116"/>
        <v>3.8729999999999905</v>
      </c>
      <c r="Y1039" s="248">
        <f t="shared" ca="1" si="112"/>
        <v>13.385727699892982</v>
      </c>
      <c r="Z1039" s="248">
        <f t="shared" ca="1" si="117"/>
        <v>5.4128289443844659</v>
      </c>
      <c r="AA1039" s="250">
        <f t="shared" ca="1" si="118"/>
        <v>541.28289443844665</v>
      </c>
    </row>
    <row r="1040" spans="20:27" x14ac:dyDescent="0.3">
      <c r="T1040" s="254">
        <v>1028</v>
      </c>
      <c r="U1040" s="248">
        <f t="shared" si="113"/>
        <v>269.74149999999997</v>
      </c>
      <c r="V1040" s="248">
        <f t="shared" si="114"/>
        <v>24.391499999999997</v>
      </c>
      <c r="W1040" s="248">
        <f t="shared" si="115"/>
        <v>-290.26</v>
      </c>
      <c r="X1040" s="248">
        <f t="shared" si="116"/>
        <v>3.8729999999999905</v>
      </c>
      <c r="Y1040" s="248">
        <f t="shared" ca="1" si="112"/>
        <v>13.385727699892982</v>
      </c>
      <c r="Z1040" s="248">
        <f t="shared" ca="1" si="117"/>
        <v>5.4128289443844659</v>
      </c>
      <c r="AA1040" s="250">
        <f t="shared" ca="1" si="118"/>
        <v>541.28289443844665</v>
      </c>
    </row>
    <row r="1041" spans="20:27" x14ac:dyDescent="0.3">
      <c r="T1041" s="254">
        <v>1029</v>
      </c>
      <c r="U1041" s="248">
        <f t="shared" si="113"/>
        <v>270.74149999999997</v>
      </c>
      <c r="V1041" s="248">
        <f t="shared" si="114"/>
        <v>24.391499999999997</v>
      </c>
      <c r="W1041" s="248">
        <f t="shared" si="115"/>
        <v>-291.26</v>
      </c>
      <c r="X1041" s="248">
        <f t="shared" si="116"/>
        <v>3.8729999999999905</v>
      </c>
      <c r="Y1041" s="248">
        <f t="shared" ca="1" si="112"/>
        <v>13.385727699892982</v>
      </c>
      <c r="Z1041" s="248">
        <f t="shared" ca="1" si="117"/>
        <v>5.4128289443844659</v>
      </c>
      <c r="AA1041" s="250">
        <f t="shared" ca="1" si="118"/>
        <v>541.28289443844665</v>
      </c>
    </row>
    <row r="1042" spans="20:27" x14ac:dyDescent="0.3">
      <c r="T1042" s="254">
        <v>1030</v>
      </c>
      <c r="U1042" s="248">
        <f t="shared" si="113"/>
        <v>271.74149999999997</v>
      </c>
      <c r="V1042" s="248">
        <f t="shared" si="114"/>
        <v>24.391499999999997</v>
      </c>
      <c r="W1042" s="248">
        <f t="shared" si="115"/>
        <v>-292.26</v>
      </c>
      <c r="X1042" s="248">
        <f t="shared" si="116"/>
        <v>3.8729999999999905</v>
      </c>
      <c r="Y1042" s="248">
        <f t="shared" ca="1" si="112"/>
        <v>13.385727699892982</v>
      </c>
      <c r="Z1042" s="248">
        <f t="shared" ca="1" si="117"/>
        <v>5.4128289443844659</v>
      </c>
      <c r="AA1042" s="250">
        <f t="shared" ca="1" si="118"/>
        <v>541.28289443844665</v>
      </c>
    </row>
    <row r="1043" spans="20:27" x14ac:dyDescent="0.3">
      <c r="T1043" s="254">
        <v>1031</v>
      </c>
      <c r="U1043" s="248">
        <f t="shared" si="113"/>
        <v>272.74149999999997</v>
      </c>
      <c r="V1043" s="248">
        <f t="shared" si="114"/>
        <v>24.391499999999997</v>
      </c>
      <c r="W1043" s="248">
        <f t="shared" si="115"/>
        <v>-293.26</v>
      </c>
      <c r="X1043" s="248">
        <f t="shared" si="116"/>
        <v>3.8729999999999905</v>
      </c>
      <c r="Y1043" s="248">
        <f t="shared" ca="1" si="112"/>
        <v>13.385727699892982</v>
      </c>
      <c r="Z1043" s="248">
        <f t="shared" ca="1" si="117"/>
        <v>5.4128289443844659</v>
      </c>
      <c r="AA1043" s="250">
        <f t="shared" ca="1" si="118"/>
        <v>541.28289443844665</v>
      </c>
    </row>
    <row r="1044" spans="20:27" x14ac:dyDescent="0.3">
      <c r="T1044" s="254">
        <v>1032</v>
      </c>
      <c r="U1044" s="248">
        <f t="shared" si="113"/>
        <v>273.74149999999997</v>
      </c>
      <c r="V1044" s="248">
        <f t="shared" si="114"/>
        <v>24.391499999999997</v>
      </c>
      <c r="W1044" s="248">
        <f t="shared" si="115"/>
        <v>-294.26</v>
      </c>
      <c r="X1044" s="248">
        <f t="shared" si="116"/>
        <v>3.8729999999999905</v>
      </c>
      <c r="Y1044" s="248">
        <f t="shared" ca="1" si="112"/>
        <v>13.385727699892982</v>
      </c>
      <c r="Z1044" s="248">
        <f t="shared" ca="1" si="117"/>
        <v>5.4128289443844659</v>
      </c>
      <c r="AA1044" s="250">
        <f t="shared" ca="1" si="118"/>
        <v>541.28289443844665</v>
      </c>
    </row>
    <row r="1045" spans="20:27" x14ac:dyDescent="0.3">
      <c r="T1045" s="254">
        <v>1033</v>
      </c>
      <c r="U1045" s="248">
        <f t="shared" si="113"/>
        <v>274.74149999999997</v>
      </c>
      <c r="V1045" s="248">
        <f t="shared" si="114"/>
        <v>24.391499999999997</v>
      </c>
      <c r="W1045" s="248">
        <f t="shared" si="115"/>
        <v>-295.26</v>
      </c>
      <c r="X1045" s="248">
        <f t="shared" si="116"/>
        <v>3.8729999999999905</v>
      </c>
      <c r="Y1045" s="248">
        <f t="shared" ca="1" si="112"/>
        <v>13.385727699892982</v>
      </c>
      <c r="Z1045" s="248">
        <f t="shared" ca="1" si="117"/>
        <v>5.4128289443844659</v>
      </c>
      <c r="AA1045" s="250">
        <f t="shared" ca="1" si="118"/>
        <v>541.28289443844665</v>
      </c>
    </row>
    <row r="1046" spans="20:27" x14ac:dyDescent="0.3">
      <c r="T1046" s="254">
        <v>1034</v>
      </c>
      <c r="U1046" s="248">
        <f t="shared" si="113"/>
        <v>275.74149999999997</v>
      </c>
      <c r="V1046" s="248">
        <f t="shared" si="114"/>
        <v>24.391499999999997</v>
      </c>
      <c r="W1046" s="248">
        <f t="shared" si="115"/>
        <v>-296.26</v>
      </c>
      <c r="X1046" s="248">
        <f t="shared" si="116"/>
        <v>3.8729999999999905</v>
      </c>
      <c r="Y1046" s="248">
        <f t="shared" ca="1" si="112"/>
        <v>13.385727699892982</v>
      </c>
      <c r="Z1046" s="248">
        <f t="shared" ca="1" si="117"/>
        <v>5.4128289443844659</v>
      </c>
      <c r="AA1046" s="250">
        <f t="shared" ca="1" si="118"/>
        <v>541.28289443844665</v>
      </c>
    </row>
    <row r="1047" spans="20:27" x14ac:dyDescent="0.3">
      <c r="T1047" s="254">
        <v>1035</v>
      </c>
      <c r="U1047" s="248">
        <f t="shared" si="113"/>
        <v>276.74149999999997</v>
      </c>
      <c r="V1047" s="248">
        <f t="shared" si="114"/>
        <v>24.391499999999997</v>
      </c>
      <c r="W1047" s="248">
        <f t="shared" si="115"/>
        <v>-297.26</v>
      </c>
      <c r="X1047" s="248">
        <f t="shared" si="116"/>
        <v>3.8729999999999905</v>
      </c>
      <c r="Y1047" s="248">
        <f t="shared" ca="1" si="112"/>
        <v>13.385727699892982</v>
      </c>
      <c r="Z1047" s="248">
        <f t="shared" ca="1" si="117"/>
        <v>5.4128289443844659</v>
      </c>
      <c r="AA1047" s="250">
        <f t="shared" ca="1" si="118"/>
        <v>541.28289443844665</v>
      </c>
    </row>
    <row r="1048" spans="20:27" x14ac:dyDescent="0.3">
      <c r="T1048" s="254">
        <v>1036</v>
      </c>
      <c r="U1048" s="248">
        <f t="shared" si="113"/>
        <v>277.74149999999997</v>
      </c>
      <c r="V1048" s="248">
        <f t="shared" si="114"/>
        <v>24.391499999999997</v>
      </c>
      <c r="W1048" s="248">
        <f t="shared" si="115"/>
        <v>-298.26</v>
      </c>
      <c r="X1048" s="248">
        <f t="shared" si="116"/>
        <v>3.8729999999999905</v>
      </c>
      <c r="Y1048" s="248">
        <f t="shared" ca="1" si="112"/>
        <v>13.385727699892982</v>
      </c>
      <c r="Z1048" s="248">
        <f t="shared" ca="1" si="117"/>
        <v>5.4128289443844659</v>
      </c>
      <c r="AA1048" s="250">
        <f t="shared" ca="1" si="118"/>
        <v>541.28289443844665</v>
      </c>
    </row>
    <row r="1049" spans="20:27" x14ac:dyDescent="0.3">
      <c r="T1049" s="254">
        <v>1037</v>
      </c>
      <c r="U1049" s="248">
        <f t="shared" si="113"/>
        <v>278.74149999999997</v>
      </c>
      <c r="V1049" s="248">
        <f t="shared" si="114"/>
        <v>24.391499999999997</v>
      </c>
      <c r="W1049" s="248">
        <f t="shared" si="115"/>
        <v>-299.26</v>
      </c>
      <c r="X1049" s="248">
        <f t="shared" si="116"/>
        <v>3.8729999999999905</v>
      </c>
      <c r="Y1049" s="248">
        <f t="shared" ca="1" si="112"/>
        <v>13.385727699892982</v>
      </c>
      <c r="Z1049" s="248">
        <f t="shared" ca="1" si="117"/>
        <v>5.4128289443844659</v>
      </c>
      <c r="AA1049" s="250">
        <f t="shared" ca="1" si="118"/>
        <v>541.28289443844665</v>
      </c>
    </row>
    <row r="1050" spans="20:27" x14ac:dyDescent="0.3">
      <c r="T1050" s="254">
        <v>1038</v>
      </c>
      <c r="U1050" s="248">
        <f t="shared" si="113"/>
        <v>279.74149999999997</v>
      </c>
      <c r="V1050" s="248">
        <f t="shared" si="114"/>
        <v>24.391499999999997</v>
      </c>
      <c r="W1050" s="248">
        <f t="shared" si="115"/>
        <v>-300.26</v>
      </c>
      <c r="X1050" s="248">
        <f t="shared" si="116"/>
        <v>3.8729999999999905</v>
      </c>
      <c r="Y1050" s="248">
        <f t="shared" ca="1" si="112"/>
        <v>13.385727699892982</v>
      </c>
      <c r="Z1050" s="248">
        <f t="shared" ca="1" si="117"/>
        <v>5.4128289443844659</v>
      </c>
      <c r="AA1050" s="250">
        <f t="shared" ca="1" si="118"/>
        <v>541.28289443844665</v>
      </c>
    </row>
    <row r="1051" spans="20:27" x14ac:dyDescent="0.3">
      <c r="T1051" s="254">
        <v>1039</v>
      </c>
      <c r="U1051" s="248">
        <f t="shared" si="113"/>
        <v>280.74149999999997</v>
      </c>
      <c r="V1051" s="248">
        <f t="shared" si="114"/>
        <v>24.391499999999997</v>
      </c>
      <c r="W1051" s="248">
        <f t="shared" si="115"/>
        <v>-301.26</v>
      </c>
      <c r="X1051" s="248">
        <f t="shared" si="116"/>
        <v>3.8729999999999905</v>
      </c>
      <c r="Y1051" s="248">
        <f t="shared" ca="1" si="112"/>
        <v>13.385727699892982</v>
      </c>
      <c r="Z1051" s="248">
        <f t="shared" ca="1" si="117"/>
        <v>5.4128289443844659</v>
      </c>
      <c r="AA1051" s="250">
        <f t="shared" ca="1" si="118"/>
        <v>541.28289443844665</v>
      </c>
    </row>
    <row r="1052" spans="20:27" x14ac:dyDescent="0.3">
      <c r="T1052" s="254">
        <v>1040</v>
      </c>
      <c r="U1052" s="248">
        <f t="shared" si="113"/>
        <v>281.74149999999997</v>
      </c>
      <c r="V1052" s="248">
        <f t="shared" si="114"/>
        <v>24.391499999999997</v>
      </c>
      <c r="W1052" s="248">
        <f t="shared" si="115"/>
        <v>-302.26</v>
      </c>
      <c r="X1052" s="248">
        <f t="shared" si="116"/>
        <v>3.8729999999999905</v>
      </c>
      <c r="Y1052" s="248">
        <f t="shared" ca="1" si="112"/>
        <v>13.385727699892982</v>
      </c>
      <c r="Z1052" s="248">
        <f t="shared" ca="1" si="117"/>
        <v>5.4128289443844659</v>
      </c>
      <c r="AA1052" s="250">
        <f t="shared" ca="1" si="118"/>
        <v>541.28289443844665</v>
      </c>
    </row>
    <row r="1053" spans="20:27" x14ac:dyDescent="0.3">
      <c r="T1053" s="254">
        <v>1041</v>
      </c>
      <c r="U1053" s="248">
        <f t="shared" si="113"/>
        <v>282.74149999999997</v>
      </c>
      <c r="V1053" s="248">
        <f t="shared" si="114"/>
        <v>24.391499999999997</v>
      </c>
      <c r="W1053" s="248">
        <f t="shared" si="115"/>
        <v>-303.26</v>
      </c>
      <c r="X1053" s="248">
        <f t="shared" si="116"/>
        <v>3.8729999999999905</v>
      </c>
      <c r="Y1053" s="248">
        <f t="shared" ca="1" si="112"/>
        <v>13.385727699892982</v>
      </c>
      <c r="Z1053" s="248">
        <f t="shared" ca="1" si="117"/>
        <v>5.4128289443844659</v>
      </c>
      <c r="AA1053" s="250">
        <f t="shared" ca="1" si="118"/>
        <v>541.28289443844665</v>
      </c>
    </row>
    <row r="1054" spans="20:27" x14ac:dyDescent="0.3">
      <c r="T1054" s="254">
        <v>1042</v>
      </c>
      <c r="U1054" s="248">
        <f t="shared" si="113"/>
        <v>283.74149999999997</v>
      </c>
      <c r="V1054" s="248">
        <f t="shared" si="114"/>
        <v>24.391499999999997</v>
      </c>
      <c r="W1054" s="248">
        <f t="shared" si="115"/>
        <v>-304.26</v>
      </c>
      <c r="X1054" s="248">
        <f t="shared" si="116"/>
        <v>3.8729999999999905</v>
      </c>
      <c r="Y1054" s="248">
        <f t="shared" ca="1" si="112"/>
        <v>13.385727699892982</v>
      </c>
      <c r="Z1054" s="248">
        <f t="shared" ca="1" si="117"/>
        <v>5.4128289443844659</v>
      </c>
      <c r="AA1054" s="250">
        <f t="shared" ca="1" si="118"/>
        <v>541.28289443844665</v>
      </c>
    </row>
    <row r="1055" spans="20:27" x14ac:dyDescent="0.3">
      <c r="T1055" s="254">
        <v>1043</v>
      </c>
      <c r="U1055" s="248">
        <f t="shared" si="113"/>
        <v>284.74149999999997</v>
      </c>
      <c r="V1055" s="248">
        <f t="shared" si="114"/>
        <v>24.391499999999997</v>
      </c>
      <c r="W1055" s="248">
        <f t="shared" si="115"/>
        <v>-305.26</v>
      </c>
      <c r="X1055" s="248">
        <f t="shared" si="116"/>
        <v>3.8729999999999905</v>
      </c>
      <c r="Y1055" s="248">
        <f t="shared" ca="1" si="112"/>
        <v>13.385727699892982</v>
      </c>
      <c r="Z1055" s="248">
        <f t="shared" ca="1" si="117"/>
        <v>5.4128289443844659</v>
      </c>
      <c r="AA1055" s="250">
        <f t="shared" ca="1" si="118"/>
        <v>541.28289443844665</v>
      </c>
    </row>
    <row r="1056" spans="20:27" x14ac:dyDescent="0.3">
      <c r="T1056" s="254">
        <v>1044</v>
      </c>
      <c r="U1056" s="248">
        <f t="shared" si="113"/>
        <v>285.74149999999997</v>
      </c>
      <c r="V1056" s="248">
        <f t="shared" si="114"/>
        <v>24.391499999999997</v>
      </c>
      <c r="W1056" s="248">
        <f t="shared" si="115"/>
        <v>-306.26</v>
      </c>
      <c r="X1056" s="248">
        <f t="shared" si="116"/>
        <v>3.8729999999999905</v>
      </c>
      <c r="Y1056" s="248">
        <f t="shared" ca="1" si="112"/>
        <v>13.385727699892982</v>
      </c>
      <c r="Z1056" s="248">
        <f t="shared" ca="1" si="117"/>
        <v>5.4128289443844659</v>
      </c>
      <c r="AA1056" s="250">
        <f t="shared" ca="1" si="118"/>
        <v>541.28289443844665</v>
      </c>
    </row>
    <row r="1057" spans="20:27" x14ac:dyDescent="0.3">
      <c r="T1057" s="254">
        <v>1045</v>
      </c>
      <c r="U1057" s="248">
        <f t="shared" si="113"/>
        <v>286.74149999999997</v>
      </c>
      <c r="V1057" s="248">
        <f t="shared" si="114"/>
        <v>24.391499999999997</v>
      </c>
      <c r="W1057" s="248">
        <f t="shared" si="115"/>
        <v>-307.26</v>
      </c>
      <c r="X1057" s="248">
        <f t="shared" si="116"/>
        <v>3.8729999999999905</v>
      </c>
      <c r="Y1057" s="248">
        <f t="shared" ca="1" si="112"/>
        <v>13.385727699892982</v>
      </c>
      <c r="Z1057" s="248">
        <f t="shared" ca="1" si="117"/>
        <v>5.4128289443844659</v>
      </c>
      <c r="AA1057" s="250">
        <f t="shared" ca="1" si="118"/>
        <v>541.28289443844665</v>
      </c>
    </row>
    <row r="1058" spans="20:27" x14ac:dyDescent="0.3">
      <c r="T1058" s="254">
        <v>1046</v>
      </c>
      <c r="U1058" s="248">
        <f t="shared" si="113"/>
        <v>287.74149999999997</v>
      </c>
      <c r="V1058" s="248">
        <f t="shared" si="114"/>
        <v>24.391499999999997</v>
      </c>
      <c r="W1058" s="248">
        <f t="shared" si="115"/>
        <v>-308.26</v>
      </c>
      <c r="X1058" s="248">
        <f t="shared" si="116"/>
        <v>3.8729999999999905</v>
      </c>
      <c r="Y1058" s="248">
        <f t="shared" ca="1" si="112"/>
        <v>13.385727699892982</v>
      </c>
      <c r="Z1058" s="248">
        <f t="shared" ca="1" si="117"/>
        <v>5.4128289443844659</v>
      </c>
      <c r="AA1058" s="250">
        <f t="shared" ca="1" si="118"/>
        <v>541.28289443844665</v>
      </c>
    </row>
    <row r="1059" spans="20:27" x14ac:dyDescent="0.3">
      <c r="T1059" s="254">
        <v>1047</v>
      </c>
      <c r="U1059" s="248">
        <f t="shared" si="113"/>
        <v>288.74149999999997</v>
      </c>
      <c r="V1059" s="248">
        <f t="shared" si="114"/>
        <v>24.391499999999997</v>
      </c>
      <c r="W1059" s="248">
        <f t="shared" si="115"/>
        <v>-309.26</v>
      </c>
      <c r="X1059" s="248">
        <f t="shared" si="116"/>
        <v>3.8729999999999905</v>
      </c>
      <c r="Y1059" s="248">
        <f t="shared" ca="1" si="112"/>
        <v>13.385727699892982</v>
      </c>
      <c r="Z1059" s="248">
        <f t="shared" ca="1" si="117"/>
        <v>5.4128289443844659</v>
      </c>
      <c r="AA1059" s="250">
        <f t="shared" ca="1" si="118"/>
        <v>541.28289443844665</v>
      </c>
    </row>
    <row r="1060" spans="20:27" x14ac:dyDescent="0.3">
      <c r="T1060" s="254">
        <v>1048</v>
      </c>
      <c r="U1060" s="248">
        <f t="shared" si="113"/>
        <v>289.74149999999997</v>
      </c>
      <c r="V1060" s="248">
        <f t="shared" si="114"/>
        <v>24.391499999999997</v>
      </c>
      <c r="W1060" s="248">
        <f t="shared" si="115"/>
        <v>-310.26</v>
      </c>
      <c r="X1060" s="248">
        <f t="shared" si="116"/>
        <v>3.8729999999999905</v>
      </c>
      <c r="Y1060" s="248">
        <f t="shared" ca="1" si="112"/>
        <v>13.385727699892982</v>
      </c>
      <c r="Z1060" s="248">
        <f t="shared" ca="1" si="117"/>
        <v>5.4128289443844659</v>
      </c>
      <c r="AA1060" s="250">
        <f t="shared" ca="1" si="118"/>
        <v>541.28289443844665</v>
      </c>
    </row>
    <row r="1061" spans="20:27" x14ac:dyDescent="0.3">
      <c r="T1061" s="254">
        <v>1049</v>
      </c>
      <c r="U1061" s="248">
        <f t="shared" si="113"/>
        <v>290.74149999999997</v>
      </c>
      <c r="V1061" s="248">
        <f t="shared" si="114"/>
        <v>24.391499999999997</v>
      </c>
      <c r="W1061" s="248">
        <f t="shared" si="115"/>
        <v>-311.26</v>
      </c>
      <c r="X1061" s="248">
        <f t="shared" si="116"/>
        <v>3.8729999999999905</v>
      </c>
      <c r="Y1061" s="248">
        <f t="shared" ca="1" si="112"/>
        <v>13.385727699892982</v>
      </c>
      <c r="Z1061" s="248">
        <f t="shared" ca="1" si="117"/>
        <v>5.4128289443844659</v>
      </c>
      <c r="AA1061" s="250">
        <f t="shared" ca="1" si="118"/>
        <v>541.28289443844665</v>
      </c>
    </row>
    <row r="1062" spans="20:27" x14ac:dyDescent="0.3">
      <c r="T1062" s="254">
        <v>1050</v>
      </c>
      <c r="U1062" s="248">
        <f t="shared" si="113"/>
        <v>291.74149999999997</v>
      </c>
      <c r="V1062" s="248">
        <f t="shared" si="114"/>
        <v>24.391499999999997</v>
      </c>
      <c r="W1062" s="248">
        <f t="shared" si="115"/>
        <v>-312.26</v>
      </c>
      <c r="X1062" s="248">
        <f t="shared" si="116"/>
        <v>3.8729999999999905</v>
      </c>
      <c r="Y1062" s="248">
        <f t="shared" ca="1" si="112"/>
        <v>13.385727699892982</v>
      </c>
      <c r="Z1062" s="248">
        <f t="shared" ca="1" si="117"/>
        <v>5.4128289443844659</v>
      </c>
      <c r="AA1062" s="250">
        <f t="shared" ca="1" si="118"/>
        <v>541.28289443844665</v>
      </c>
    </row>
    <row r="1063" spans="20:27" x14ac:dyDescent="0.3">
      <c r="T1063" s="254">
        <v>1051</v>
      </c>
      <c r="U1063" s="248">
        <f t="shared" si="113"/>
        <v>292.74149999999997</v>
      </c>
      <c r="V1063" s="248">
        <f t="shared" si="114"/>
        <v>24.391499999999997</v>
      </c>
      <c r="W1063" s="248">
        <f t="shared" si="115"/>
        <v>-313.26</v>
      </c>
      <c r="X1063" s="248">
        <f t="shared" si="116"/>
        <v>3.8729999999999905</v>
      </c>
      <c r="Y1063" s="248">
        <f t="shared" ca="1" si="112"/>
        <v>13.385727699892982</v>
      </c>
      <c r="Z1063" s="248">
        <f t="shared" ca="1" si="117"/>
        <v>5.4128289443844659</v>
      </c>
      <c r="AA1063" s="250">
        <f t="shared" ca="1" si="118"/>
        <v>541.28289443844665</v>
      </c>
    </row>
    <row r="1064" spans="20:27" x14ac:dyDescent="0.3">
      <c r="T1064" s="254">
        <v>1052</v>
      </c>
      <c r="U1064" s="248">
        <f t="shared" si="113"/>
        <v>293.74149999999997</v>
      </c>
      <c r="V1064" s="248">
        <f t="shared" si="114"/>
        <v>24.391499999999997</v>
      </c>
      <c r="W1064" s="248">
        <f t="shared" si="115"/>
        <v>-314.26</v>
      </c>
      <c r="X1064" s="248">
        <f t="shared" si="116"/>
        <v>3.8729999999999905</v>
      </c>
      <c r="Y1064" s="248">
        <f t="shared" ca="1" si="112"/>
        <v>13.385727699892982</v>
      </c>
      <c r="Z1064" s="248">
        <f t="shared" ca="1" si="117"/>
        <v>5.4128289443844659</v>
      </c>
      <c r="AA1064" s="250">
        <f t="shared" ca="1" si="118"/>
        <v>541.28289443844665</v>
      </c>
    </row>
    <row r="1065" spans="20:27" x14ac:dyDescent="0.3">
      <c r="T1065" s="254">
        <v>1053</v>
      </c>
      <c r="U1065" s="248">
        <f t="shared" si="113"/>
        <v>294.74149999999997</v>
      </c>
      <c r="V1065" s="248">
        <f t="shared" si="114"/>
        <v>24.391499999999997</v>
      </c>
      <c r="W1065" s="248">
        <f t="shared" si="115"/>
        <v>-315.26</v>
      </c>
      <c r="X1065" s="248">
        <f t="shared" si="116"/>
        <v>3.8729999999999905</v>
      </c>
      <c r="Y1065" s="248">
        <f t="shared" ca="1" si="112"/>
        <v>13.385727699892982</v>
      </c>
      <c r="Z1065" s="248">
        <f t="shared" ca="1" si="117"/>
        <v>5.4128289443844659</v>
      </c>
      <c r="AA1065" s="250">
        <f t="shared" ca="1" si="118"/>
        <v>541.28289443844665</v>
      </c>
    </row>
    <row r="1066" spans="20:27" x14ac:dyDescent="0.3">
      <c r="T1066" s="254">
        <v>1054</v>
      </c>
      <c r="U1066" s="248">
        <f t="shared" si="113"/>
        <v>295.74149999999997</v>
      </c>
      <c r="V1066" s="248">
        <f t="shared" si="114"/>
        <v>24.391499999999997</v>
      </c>
      <c r="W1066" s="248">
        <f t="shared" si="115"/>
        <v>-316.26</v>
      </c>
      <c r="X1066" s="248">
        <f t="shared" si="116"/>
        <v>3.8729999999999905</v>
      </c>
      <c r="Y1066" s="248">
        <f t="shared" ca="1" si="112"/>
        <v>13.385727699892982</v>
      </c>
      <c r="Z1066" s="248">
        <f t="shared" ca="1" si="117"/>
        <v>5.4128289443844659</v>
      </c>
      <c r="AA1066" s="250">
        <f t="shared" ca="1" si="118"/>
        <v>541.28289443844665</v>
      </c>
    </row>
    <row r="1067" spans="20:27" x14ac:dyDescent="0.3">
      <c r="T1067" s="254">
        <v>1055</v>
      </c>
      <c r="U1067" s="248">
        <f t="shared" si="113"/>
        <v>296.74149999999997</v>
      </c>
      <c r="V1067" s="248">
        <f t="shared" si="114"/>
        <v>24.391499999999997</v>
      </c>
      <c r="W1067" s="248">
        <f t="shared" si="115"/>
        <v>-317.26</v>
      </c>
      <c r="X1067" s="248">
        <f t="shared" si="116"/>
        <v>3.8729999999999905</v>
      </c>
      <c r="Y1067" s="248">
        <f t="shared" ca="1" si="112"/>
        <v>13.385727699892982</v>
      </c>
      <c r="Z1067" s="248">
        <f t="shared" ca="1" si="117"/>
        <v>5.4128289443844659</v>
      </c>
      <c r="AA1067" s="250">
        <f t="shared" ca="1" si="118"/>
        <v>541.28289443844665</v>
      </c>
    </row>
    <row r="1068" spans="20:27" x14ac:dyDescent="0.3">
      <c r="T1068" s="254">
        <v>1056</v>
      </c>
      <c r="U1068" s="248">
        <f t="shared" si="113"/>
        <v>297.74149999999997</v>
      </c>
      <c r="V1068" s="248">
        <f t="shared" si="114"/>
        <v>24.391499999999997</v>
      </c>
      <c r="W1068" s="248">
        <f t="shared" si="115"/>
        <v>-318.26</v>
      </c>
      <c r="X1068" s="248">
        <f t="shared" si="116"/>
        <v>3.8729999999999905</v>
      </c>
      <c r="Y1068" s="248">
        <f t="shared" ca="1" si="112"/>
        <v>13.385727699892982</v>
      </c>
      <c r="Z1068" s="248">
        <f t="shared" ca="1" si="117"/>
        <v>5.4128289443844659</v>
      </c>
      <c r="AA1068" s="250">
        <f t="shared" ca="1" si="118"/>
        <v>541.28289443844665</v>
      </c>
    </row>
    <row r="1069" spans="20:27" x14ac:dyDescent="0.3">
      <c r="T1069" s="254">
        <v>1057</v>
      </c>
      <c r="U1069" s="248">
        <f t="shared" si="113"/>
        <v>298.74149999999997</v>
      </c>
      <c r="V1069" s="248">
        <f t="shared" si="114"/>
        <v>24.391499999999997</v>
      </c>
      <c r="W1069" s="248">
        <f t="shared" si="115"/>
        <v>-319.26</v>
      </c>
      <c r="X1069" s="248">
        <f t="shared" si="116"/>
        <v>3.8729999999999905</v>
      </c>
      <c r="Y1069" s="248">
        <f t="shared" ca="1" si="112"/>
        <v>13.385727699892982</v>
      </c>
      <c r="Z1069" s="248">
        <f t="shared" ca="1" si="117"/>
        <v>5.4128289443844659</v>
      </c>
      <c r="AA1069" s="250">
        <f t="shared" ca="1" si="118"/>
        <v>541.28289443844665</v>
      </c>
    </row>
    <row r="1070" spans="20:27" x14ac:dyDescent="0.3">
      <c r="T1070" s="254">
        <v>1058</v>
      </c>
      <c r="U1070" s="248">
        <f t="shared" si="113"/>
        <v>299.74149999999997</v>
      </c>
      <c r="V1070" s="248">
        <f t="shared" si="114"/>
        <v>24.391499999999997</v>
      </c>
      <c r="W1070" s="248">
        <f t="shared" si="115"/>
        <v>-320.26</v>
      </c>
      <c r="X1070" s="248">
        <f t="shared" si="116"/>
        <v>3.8729999999999905</v>
      </c>
      <c r="Y1070" s="248">
        <f t="shared" ca="1" si="112"/>
        <v>13.385727699892982</v>
      </c>
      <c r="Z1070" s="248">
        <f t="shared" ca="1" si="117"/>
        <v>5.4128289443844659</v>
      </c>
      <c r="AA1070" s="250">
        <f t="shared" ca="1" si="118"/>
        <v>541.28289443844665</v>
      </c>
    </row>
    <row r="1071" spans="20:27" x14ac:dyDescent="0.3">
      <c r="T1071" s="254">
        <v>1059</v>
      </c>
      <c r="U1071" s="248">
        <f t="shared" si="113"/>
        <v>300.74149999999997</v>
      </c>
      <c r="V1071" s="248">
        <f t="shared" si="114"/>
        <v>24.391499999999997</v>
      </c>
      <c r="W1071" s="248">
        <f t="shared" si="115"/>
        <v>-321.26</v>
      </c>
      <c r="X1071" s="248">
        <f t="shared" si="116"/>
        <v>3.8729999999999905</v>
      </c>
      <c r="Y1071" s="248">
        <f t="shared" ca="1" si="112"/>
        <v>13.385727699892982</v>
      </c>
      <c r="Z1071" s="248">
        <f t="shared" ca="1" si="117"/>
        <v>5.4128289443844659</v>
      </c>
      <c r="AA1071" s="250">
        <f t="shared" ca="1" si="118"/>
        <v>541.28289443844665</v>
      </c>
    </row>
    <row r="1072" spans="20:27" x14ac:dyDescent="0.3">
      <c r="T1072" s="254">
        <v>1060</v>
      </c>
      <c r="U1072" s="248">
        <f t="shared" si="113"/>
        <v>301.74149999999997</v>
      </c>
      <c r="V1072" s="248">
        <f t="shared" si="114"/>
        <v>24.391499999999997</v>
      </c>
      <c r="W1072" s="248">
        <f t="shared" si="115"/>
        <v>-322.26</v>
      </c>
      <c r="X1072" s="248">
        <f t="shared" si="116"/>
        <v>3.8729999999999905</v>
      </c>
      <c r="Y1072" s="248">
        <f t="shared" ca="1" si="112"/>
        <v>13.385727699892982</v>
      </c>
      <c r="Z1072" s="248">
        <f t="shared" ca="1" si="117"/>
        <v>5.4128289443844659</v>
      </c>
      <c r="AA1072" s="250">
        <f t="shared" ca="1" si="118"/>
        <v>541.28289443844665</v>
      </c>
    </row>
    <row r="1073" spans="20:27" x14ac:dyDescent="0.3">
      <c r="T1073" s="254">
        <v>1061</v>
      </c>
      <c r="U1073" s="248">
        <f t="shared" si="113"/>
        <v>302.74149999999997</v>
      </c>
      <c r="V1073" s="248">
        <f t="shared" si="114"/>
        <v>24.391499999999997</v>
      </c>
      <c r="W1073" s="248">
        <f t="shared" si="115"/>
        <v>-323.26</v>
      </c>
      <c r="X1073" s="248">
        <f t="shared" si="116"/>
        <v>3.8729999999999905</v>
      </c>
      <c r="Y1073" s="248">
        <f t="shared" ca="1" si="112"/>
        <v>13.385727699892982</v>
      </c>
      <c r="Z1073" s="248">
        <f t="shared" ca="1" si="117"/>
        <v>5.4128289443844659</v>
      </c>
      <c r="AA1073" s="250">
        <f t="shared" ca="1" si="118"/>
        <v>541.28289443844665</v>
      </c>
    </row>
    <row r="1074" spans="20:27" x14ac:dyDescent="0.3">
      <c r="T1074" s="254">
        <v>1062</v>
      </c>
      <c r="U1074" s="248">
        <f t="shared" si="113"/>
        <v>303.74149999999997</v>
      </c>
      <c r="V1074" s="248">
        <f t="shared" si="114"/>
        <v>24.391499999999997</v>
      </c>
      <c r="W1074" s="248">
        <f t="shared" si="115"/>
        <v>-324.26</v>
      </c>
      <c r="X1074" s="248">
        <f t="shared" si="116"/>
        <v>3.8729999999999905</v>
      </c>
      <c r="Y1074" s="248">
        <f t="shared" ca="1" si="112"/>
        <v>13.385727699892982</v>
      </c>
      <c r="Z1074" s="248">
        <f t="shared" ca="1" si="117"/>
        <v>5.4128289443844659</v>
      </c>
      <c r="AA1074" s="250">
        <f t="shared" ca="1" si="118"/>
        <v>541.28289443844665</v>
      </c>
    </row>
    <row r="1075" spans="20:27" x14ac:dyDescent="0.3">
      <c r="T1075" s="254">
        <v>1063</v>
      </c>
      <c r="U1075" s="248">
        <f t="shared" si="113"/>
        <v>304.74149999999997</v>
      </c>
      <c r="V1075" s="248">
        <f t="shared" si="114"/>
        <v>24.391499999999997</v>
      </c>
      <c r="W1075" s="248">
        <f t="shared" si="115"/>
        <v>-325.26</v>
      </c>
      <c r="X1075" s="248">
        <f t="shared" si="116"/>
        <v>3.8729999999999905</v>
      </c>
      <c r="Y1075" s="248">
        <f t="shared" ca="1" si="112"/>
        <v>13.385727699892982</v>
      </c>
      <c r="Z1075" s="248">
        <f t="shared" ca="1" si="117"/>
        <v>5.4128289443844659</v>
      </c>
      <c r="AA1075" s="250">
        <f t="shared" ca="1" si="118"/>
        <v>541.28289443844665</v>
      </c>
    </row>
    <row r="1076" spans="20:27" x14ac:dyDescent="0.3">
      <c r="T1076" s="254">
        <v>1064</v>
      </c>
      <c r="U1076" s="248">
        <f t="shared" si="113"/>
        <v>305.74149999999997</v>
      </c>
      <c r="V1076" s="248">
        <f t="shared" si="114"/>
        <v>24.391499999999997</v>
      </c>
      <c r="W1076" s="248">
        <f t="shared" si="115"/>
        <v>-326.26</v>
      </c>
      <c r="X1076" s="248">
        <f t="shared" si="116"/>
        <v>3.8729999999999905</v>
      </c>
      <c r="Y1076" s="248">
        <f t="shared" ca="1" si="112"/>
        <v>13.385727699892982</v>
      </c>
      <c r="Z1076" s="248">
        <f t="shared" ca="1" si="117"/>
        <v>5.4128289443844659</v>
      </c>
      <c r="AA1076" s="250">
        <f t="shared" ca="1" si="118"/>
        <v>541.28289443844665</v>
      </c>
    </row>
    <row r="1077" spans="20:27" x14ac:dyDescent="0.3">
      <c r="T1077" s="254">
        <v>1065</v>
      </c>
      <c r="U1077" s="248">
        <f t="shared" si="113"/>
        <v>306.74149999999997</v>
      </c>
      <c r="V1077" s="248">
        <f t="shared" si="114"/>
        <v>24.391499999999997</v>
      </c>
      <c r="W1077" s="248">
        <f t="shared" si="115"/>
        <v>-327.26</v>
      </c>
      <c r="X1077" s="248">
        <f t="shared" si="116"/>
        <v>3.8729999999999905</v>
      </c>
      <c r="Y1077" s="248">
        <f t="shared" ca="1" si="112"/>
        <v>13.385727699892982</v>
      </c>
      <c r="Z1077" s="248">
        <f t="shared" ca="1" si="117"/>
        <v>5.4128289443844659</v>
      </c>
      <c r="AA1077" s="250">
        <f t="shared" ca="1" si="118"/>
        <v>541.28289443844665</v>
      </c>
    </row>
    <row r="1078" spans="20:27" x14ac:dyDescent="0.3">
      <c r="T1078" s="254">
        <v>1066</v>
      </c>
      <c r="U1078" s="248">
        <f t="shared" si="113"/>
        <v>307.74149999999997</v>
      </c>
      <c r="V1078" s="248">
        <f t="shared" si="114"/>
        <v>24.391499999999997</v>
      </c>
      <c r="W1078" s="248">
        <f t="shared" si="115"/>
        <v>-328.26</v>
      </c>
      <c r="X1078" s="248">
        <f t="shared" si="116"/>
        <v>3.8729999999999905</v>
      </c>
      <c r="Y1078" s="248">
        <f t="shared" ca="1" si="112"/>
        <v>13.385727699892982</v>
      </c>
      <c r="Z1078" s="248">
        <f t="shared" ca="1" si="117"/>
        <v>5.4128289443844659</v>
      </c>
      <c r="AA1078" s="250">
        <f t="shared" ca="1" si="118"/>
        <v>541.28289443844665</v>
      </c>
    </row>
    <row r="1079" spans="20:27" x14ac:dyDescent="0.3">
      <c r="T1079" s="254">
        <v>1067</v>
      </c>
      <c r="U1079" s="248">
        <f t="shared" si="113"/>
        <v>308.74149999999997</v>
      </c>
      <c r="V1079" s="248">
        <f t="shared" si="114"/>
        <v>24.391499999999997</v>
      </c>
      <c r="W1079" s="248">
        <f t="shared" si="115"/>
        <v>-329.26</v>
      </c>
      <c r="X1079" s="248">
        <f t="shared" si="116"/>
        <v>3.8729999999999905</v>
      </c>
      <c r="Y1079" s="248">
        <f t="shared" ca="1" si="112"/>
        <v>13.385727699892982</v>
      </c>
      <c r="Z1079" s="248">
        <f t="shared" ca="1" si="117"/>
        <v>5.4128289443844659</v>
      </c>
      <c r="AA1079" s="250">
        <f t="shared" ca="1" si="118"/>
        <v>541.28289443844665</v>
      </c>
    </row>
    <row r="1080" spans="20:27" x14ac:dyDescent="0.3">
      <c r="T1080" s="254">
        <v>1068</v>
      </c>
      <c r="U1080" s="248">
        <f t="shared" si="113"/>
        <v>309.74149999999997</v>
      </c>
      <c r="V1080" s="248">
        <f t="shared" si="114"/>
        <v>24.391499999999997</v>
      </c>
      <c r="W1080" s="248">
        <f t="shared" si="115"/>
        <v>-330.26</v>
      </c>
      <c r="X1080" s="248">
        <f t="shared" si="116"/>
        <v>3.8729999999999905</v>
      </c>
      <c r="Y1080" s="248">
        <f t="shared" ca="1" si="112"/>
        <v>13.385727699892982</v>
      </c>
      <c r="Z1080" s="248">
        <f t="shared" ca="1" si="117"/>
        <v>5.4128289443844659</v>
      </c>
      <c r="AA1080" s="250">
        <f t="shared" ca="1" si="118"/>
        <v>541.28289443844665</v>
      </c>
    </row>
    <row r="1081" spans="20:27" x14ac:dyDescent="0.3">
      <c r="T1081" s="254">
        <v>1069</v>
      </c>
      <c r="U1081" s="248">
        <f t="shared" si="113"/>
        <v>310.74149999999997</v>
      </c>
      <c r="V1081" s="248">
        <f t="shared" si="114"/>
        <v>24.391499999999997</v>
      </c>
      <c r="W1081" s="248">
        <f t="shared" si="115"/>
        <v>-331.26</v>
      </c>
      <c r="X1081" s="248">
        <f t="shared" si="116"/>
        <v>3.8729999999999905</v>
      </c>
      <c r="Y1081" s="248">
        <f t="shared" ca="1" si="112"/>
        <v>13.385727699892982</v>
      </c>
      <c r="Z1081" s="248">
        <f t="shared" ca="1" si="117"/>
        <v>5.4128289443844659</v>
      </c>
      <c r="AA1081" s="250">
        <f t="shared" ca="1" si="118"/>
        <v>541.28289443844665</v>
      </c>
    </row>
    <row r="1082" spans="20:27" x14ac:dyDescent="0.3">
      <c r="T1082" s="254">
        <v>1070</v>
      </c>
      <c r="U1082" s="248">
        <f t="shared" si="113"/>
        <v>311.74149999999997</v>
      </c>
      <c r="V1082" s="248">
        <f t="shared" si="114"/>
        <v>24.391499999999997</v>
      </c>
      <c r="W1082" s="248">
        <f t="shared" si="115"/>
        <v>-332.26</v>
      </c>
      <c r="X1082" s="248">
        <f t="shared" si="116"/>
        <v>3.8729999999999905</v>
      </c>
      <c r="Y1082" s="248">
        <f t="shared" ca="1" si="112"/>
        <v>13.385727699892982</v>
      </c>
      <c r="Z1082" s="248">
        <f t="shared" ca="1" si="117"/>
        <v>5.4128289443844659</v>
      </c>
      <c r="AA1082" s="250">
        <f t="shared" ca="1" si="118"/>
        <v>541.28289443844665</v>
      </c>
    </row>
    <row r="1083" spans="20:27" x14ac:dyDescent="0.3">
      <c r="T1083" s="254">
        <v>1071</v>
      </c>
      <c r="U1083" s="248">
        <f t="shared" si="113"/>
        <v>312.74149999999997</v>
      </c>
      <c r="V1083" s="248">
        <f t="shared" si="114"/>
        <v>24.391499999999997</v>
      </c>
      <c r="W1083" s="248">
        <f t="shared" si="115"/>
        <v>-333.26</v>
      </c>
      <c r="X1083" s="248">
        <f t="shared" si="116"/>
        <v>3.8729999999999905</v>
      </c>
      <c r="Y1083" s="248">
        <f t="shared" ca="1" si="112"/>
        <v>13.385727699892982</v>
      </c>
      <c r="Z1083" s="248">
        <f t="shared" ca="1" si="117"/>
        <v>5.4128289443844659</v>
      </c>
      <c r="AA1083" s="250">
        <f t="shared" ca="1" si="118"/>
        <v>541.28289443844665</v>
      </c>
    </row>
    <row r="1084" spans="20:27" x14ac:dyDescent="0.3">
      <c r="T1084" s="254">
        <v>1072</v>
      </c>
      <c r="U1084" s="248">
        <f t="shared" si="113"/>
        <v>313.74149999999997</v>
      </c>
      <c r="V1084" s="248">
        <f t="shared" si="114"/>
        <v>24.391499999999997</v>
      </c>
      <c r="W1084" s="248">
        <f t="shared" si="115"/>
        <v>-334.26</v>
      </c>
      <c r="X1084" s="248">
        <f t="shared" si="116"/>
        <v>3.8729999999999905</v>
      </c>
      <c r="Y1084" s="248">
        <f t="shared" ca="1" si="112"/>
        <v>13.385727699892982</v>
      </c>
      <c r="Z1084" s="248">
        <f t="shared" ca="1" si="117"/>
        <v>5.4128289443844659</v>
      </c>
      <c r="AA1084" s="250">
        <f t="shared" ca="1" si="118"/>
        <v>541.28289443844665</v>
      </c>
    </row>
    <row r="1085" spans="20:27" x14ac:dyDescent="0.3">
      <c r="T1085" s="254">
        <v>1073</v>
      </c>
      <c r="U1085" s="248">
        <f t="shared" si="113"/>
        <v>314.74149999999997</v>
      </c>
      <c r="V1085" s="248">
        <f t="shared" si="114"/>
        <v>24.391499999999997</v>
      </c>
      <c r="W1085" s="248">
        <f t="shared" si="115"/>
        <v>-335.26</v>
      </c>
      <c r="X1085" s="248">
        <f t="shared" si="116"/>
        <v>3.8729999999999905</v>
      </c>
      <c r="Y1085" s="248">
        <f t="shared" ca="1" si="112"/>
        <v>13.385727699892982</v>
      </c>
      <c r="Z1085" s="248">
        <f t="shared" ca="1" si="117"/>
        <v>5.4128289443844659</v>
      </c>
      <c r="AA1085" s="250">
        <f t="shared" ca="1" si="118"/>
        <v>541.28289443844665</v>
      </c>
    </row>
    <row r="1086" spans="20:27" x14ac:dyDescent="0.3">
      <c r="T1086" s="254">
        <v>1074</v>
      </c>
      <c r="U1086" s="248">
        <f t="shared" si="113"/>
        <v>315.74149999999997</v>
      </c>
      <c r="V1086" s="248">
        <f t="shared" si="114"/>
        <v>24.391499999999997</v>
      </c>
      <c r="W1086" s="248">
        <f t="shared" si="115"/>
        <v>-336.26</v>
      </c>
      <c r="X1086" s="248">
        <f t="shared" si="116"/>
        <v>3.8729999999999905</v>
      </c>
      <c r="Y1086" s="248">
        <f t="shared" ca="1" si="112"/>
        <v>13.385727699892982</v>
      </c>
      <c r="Z1086" s="248">
        <f t="shared" ca="1" si="117"/>
        <v>5.4128289443844659</v>
      </c>
      <c r="AA1086" s="250">
        <f t="shared" ca="1" si="118"/>
        <v>541.28289443844665</v>
      </c>
    </row>
    <row r="1087" spans="20:27" x14ac:dyDescent="0.3">
      <c r="T1087" s="254">
        <v>1075</v>
      </c>
      <c r="U1087" s="248">
        <f t="shared" si="113"/>
        <v>316.74149999999997</v>
      </c>
      <c r="V1087" s="248">
        <f t="shared" si="114"/>
        <v>24.391499999999997</v>
      </c>
      <c r="W1087" s="248">
        <f t="shared" si="115"/>
        <v>-337.26</v>
      </c>
      <c r="X1087" s="248">
        <f t="shared" si="116"/>
        <v>3.8729999999999905</v>
      </c>
      <c r="Y1087" s="248">
        <f t="shared" ca="1" si="112"/>
        <v>13.385727699892982</v>
      </c>
      <c r="Z1087" s="248">
        <f t="shared" ca="1" si="117"/>
        <v>5.4128289443844659</v>
      </c>
      <c r="AA1087" s="250">
        <f t="shared" ca="1" si="118"/>
        <v>541.28289443844665</v>
      </c>
    </row>
    <row r="1088" spans="20:27" x14ac:dyDescent="0.3">
      <c r="T1088" s="254">
        <v>1076</v>
      </c>
      <c r="U1088" s="248">
        <f t="shared" si="113"/>
        <v>317.74149999999997</v>
      </c>
      <c r="V1088" s="248">
        <f t="shared" si="114"/>
        <v>24.391499999999997</v>
      </c>
      <c r="W1088" s="248">
        <f t="shared" si="115"/>
        <v>-338.26</v>
      </c>
      <c r="X1088" s="248">
        <f t="shared" si="116"/>
        <v>3.8729999999999905</v>
      </c>
      <c r="Y1088" s="248">
        <f t="shared" ca="1" si="112"/>
        <v>13.385727699892982</v>
      </c>
      <c r="Z1088" s="248">
        <f t="shared" ca="1" si="117"/>
        <v>5.4128289443844659</v>
      </c>
      <c r="AA1088" s="250">
        <f t="shared" ca="1" si="118"/>
        <v>541.28289443844665</v>
      </c>
    </row>
    <row r="1089" spans="20:27" x14ac:dyDescent="0.3">
      <c r="T1089" s="254">
        <v>1077</v>
      </c>
      <c r="U1089" s="248">
        <f t="shared" si="113"/>
        <v>318.74149999999997</v>
      </c>
      <c r="V1089" s="248">
        <f t="shared" si="114"/>
        <v>24.391499999999997</v>
      </c>
      <c r="W1089" s="248">
        <f t="shared" si="115"/>
        <v>-339.26</v>
      </c>
      <c r="X1089" s="248">
        <f t="shared" si="116"/>
        <v>3.8729999999999905</v>
      </c>
      <c r="Y1089" s="248">
        <f t="shared" ca="1" si="112"/>
        <v>13.385727699892982</v>
      </c>
      <c r="Z1089" s="248">
        <f t="shared" ca="1" si="117"/>
        <v>5.4128289443844659</v>
      </c>
      <c r="AA1089" s="250">
        <f t="shared" ca="1" si="118"/>
        <v>541.28289443844665</v>
      </c>
    </row>
    <row r="1090" spans="20:27" x14ac:dyDescent="0.3">
      <c r="T1090" s="254">
        <v>1078</v>
      </c>
      <c r="U1090" s="248">
        <f t="shared" si="113"/>
        <v>319.74149999999997</v>
      </c>
      <c r="V1090" s="248">
        <f t="shared" si="114"/>
        <v>24.391499999999997</v>
      </c>
      <c r="W1090" s="248">
        <f t="shared" si="115"/>
        <v>-340.26</v>
      </c>
      <c r="X1090" s="248">
        <f t="shared" si="116"/>
        <v>3.8729999999999905</v>
      </c>
      <c r="Y1090" s="248">
        <f t="shared" ca="1" si="112"/>
        <v>13.385727699892982</v>
      </c>
      <c r="Z1090" s="248">
        <f t="shared" ca="1" si="117"/>
        <v>5.4128289443844659</v>
      </c>
      <c r="AA1090" s="250">
        <f t="shared" ca="1" si="118"/>
        <v>541.28289443844665</v>
      </c>
    </row>
    <row r="1091" spans="20:27" x14ac:dyDescent="0.3">
      <c r="T1091" s="254">
        <v>1079</v>
      </c>
      <c r="U1091" s="248">
        <f t="shared" si="113"/>
        <v>320.74149999999997</v>
      </c>
      <c r="V1091" s="248">
        <f t="shared" si="114"/>
        <v>24.391499999999997</v>
      </c>
      <c r="W1091" s="248">
        <f t="shared" si="115"/>
        <v>-341.26</v>
      </c>
      <c r="X1091" s="248">
        <f t="shared" si="116"/>
        <v>3.8729999999999905</v>
      </c>
      <c r="Y1091" s="248">
        <f t="shared" ca="1" si="112"/>
        <v>13.385727699892982</v>
      </c>
      <c r="Z1091" s="248">
        <f t="shared" ca="1" si="117"/>
        <v>5.4128289443844659</v>
      </c>
      <c r="AA1091" s="250">
        <f t="shared" ca="1" si="118"/>
        <v>541.28289443844665</v>
      </c>
    </row>
    <row r="1092" spans="20:27" x14ac:dyDescent="0.3">
      <c r="T1092" s="254">
        <v>1080</v>
      </c>
      <c r="U1092" s="248">
        <f t="shared" si="113"/>
        <v>321.74149999999997</v>
      </c>
      <c r="V1092" s="248">
        <f t="shared" si="114"/>
        <v>24.391499999999997</v>
      </c>
      <c r="W1092" s="248">
        <f t="shared" si="115"/>
        <v>-342.26</v>
      </c>
      <c r="X1092" s="248">
        <f t="shared" si="116"/>
        <v>3.8729999999999905</v>
      </c>
      <c r="Y1092" s="248">
        <f t="shared" ca="1" si="112"/>
        <v>13.385727699892982</v>
      </c>
      <c r="Z1092" s="248">
        <f t="shared" ca="1" si="117"/>
        <v>5.4128289443844659</v>
      </c>
      <c r="AA1092" s="250">
        <f t="shared" ca="1" si="118"/>
        <v>541.28289443844665</v>
      </c>
    </row>
    <row r="1093" spans="20:27" x14ac:dyDescent="0.3">
      <c r="T1093" s="254">
        <v>1081</v>
      </c>
      <c r="U1093" s="248">
        <f t="shared" si="113"/>
        <v>322.74149999999997</v>
      </c>
      <c r="V1093" s="248">
        <f t="shared" si="114"/>
        <v>24.391499999999997</v>
      </c>
      <c r="W1093" s="248">
        <f t="shared" si="115"/>
        <v>-343.26</v>
      </c>
      <c r="X1093" s="248">
        <f t="shared" si="116"/>
        <v>3.8729999999999905</v>
      </c>
      <c r="Y1093" s="248">
        <f t="shared" ca="1" si="112"/>
        <v>13.385727699892982</v>
      </c>
      <c r="Z1093" s="248">
        <f t="shared" ca="1" si="117"/>
        <v>5.4128289443844659</v>
      </c>
      <c r="AA1093" s="250">
        <f t="shared" ca="1" si="118"/>
        <v>541.28289443844665</v>
      </c>
    </row>
    <row r="1094" spans="20:27" x14ac:dyDescent="0.3">
      <c r="T1094" s="254">
        <v>1082</v>
      </c>
      <c r="U1094" s="248">
        <f t="shared" si="113"/>
        <v>323.74149999999997</v>
      </c>
      <c r="V1094" s="248">
        <f t="shared" si="114"/>
        <v>24.391499999999997</v>
      </c>
      <c r="W1094" s="248">
        <f t="shared" si="115"/>
        <v>-344.26</v>
      </c>
      <c r="X1094" s="248">
        <f t="shared" si="116"/>
        <v>3.8729999999999905</v>
      </c>
      <c r="Y1094" s="248">
        <f t="shared" ca="1" si="112"/>
        <v>13.385727699892982</v>
      </c>
      <c r="Z1094" s="248">
        <f t="shared" ca="1" si="117"/>
        <v>5.4128289443844659</v>
      </c>
      <c r="AA1094" s="250">
        <f t="shared" ca="1" si="118"/>
        <v>541.28289443844665</v>
      </c>
    </row>
    <row r="1095" spans="20:27" x14ac:dyDescent="0.3">
      <c r="T1095" s="254">
        <v>1083</v>
      </c>
      <c r="U1095" s="248">
        <f t="shared" si="113"/>
        <v>324.74149999999997</v>
      </c>
      <c r="V1095" s="248">
        <f t="shared" si="114"/>
        <v>24.391499999999997</v>
      </c>
      <c r="W1095" s="248">
        <f t="shared" si="115"/>
        <v>-345.26</v>
      </c>
      <c r="X1095" s="248">
        <f t="shared" si="116"/>
        <v>3.8729999999999905</v>
      </c>
      <c r="Y1095" s="248">
        <f t="shared" ca="1" si="112"/>
        <v>13.385727699892982</v>
      </c>
      <c r="Z1095" s="248">
        <f t="shared" ca="1" si="117"/>
        <v>5.4128289443844659</v>
      </c>
      <c r="AA1095" s="250">
        <f t="shared" ca="1" si="118"/>
        <v>541.28289443844665</v>
      </c>
    </row>
    <row r="1096" spans="20:27" x14ac:dyDescent="0.3">
      <c r="T1096" s="254">
        <v>1084</v>
      </c>
      <c r="U1096" s="248">
        <f t="shared" si="113"/>
        <v>325.74149999999997</v>
      </c>
      <c r="V1096" s="248">
        <f t="shared" si="114"/>
        <v>24.391499999999997</v>
      </c>
      <c r="W1096" s="248">
        <f t="shared" si="115"/>
        <v>-346.26</v>
      </c>
      <c r="X1096" s="248">
        <f t="shared" si="116"/>
        <v>3.8729999999999905</v>
      </c>
      <c r="Y1096" s="248">
        <f t="shared" ca="1" si="112"/>
        <v>13.385727699892982</v>
      </c>
      <c r="Z1096" s="248">
        <f t="shared" ca="1" si="117"/>
        <v>5.4128289443844659</v>
      </c>
      <c r="AA1096" s="250">
        <f t="shared" ca="1" si="118"/>
        <v>541.28289443844665</v>
      </c>
    </row>
    <row r="1097" spans="20:27" x14ac:dyDescent="0.3">
      <c r="T1097" s="254">
        <v>1085</v>
      </c>
      <c r="U1097" s="248">
        <f t="shared" si="113"/>
        <v>326.74149999999997</v>
      </c>
      <c r="V1097" s="248">
        <f t="shared" si="114"/>
        <v>24.391499999999997</v>
      </c>
      <c r="W1097" s="248">
        <f t="shared" si="115"/>
        <v>-347.26</v>
      </c>
      <c r="X1097" s="248">
        <f t="shared" si="116"/>
        <v>3.8729999999999905</v>
      </c>
      <c r="Y1097" s="248">
        <f t="shared" ca="1" si="112"/>
        <v>13.385727699892982</v>
      </c>
      <c r="Z1097" s="248">
        <f t="shared" ca="1" si="117"/>
        <v>5.4128289443844659</v>
      </c>
      <c r="AA1097" s="250">
        <f t="shared" ca="1" si="118"/>
        <v>541.28289443844665</v>
      </c>
    </row>
    <row r="1098" spans="20:27" x14ac:dyDescent="0.3">
      <c r="T1098" s="254">
        <v>1086</v>
      </c>
      <c r="U1098" s="248">
        <f t="shared" si="113"/>
        <v>327.74149999999997</v>
      </c>
      <c r="V1098" s="248">
        <f t="shared" si="114"/>
        <v>24.391499999999997</v>
      </c>
      <c r="W1098" s="248">
        <f t="shared" si="115"/>
        <v>-348.26</v>
      </c>
      <c r="X1098" s="248">
        <f t="shared" si="116"/>
        <v>3.8729999999999905</v>
      </c>
      <c r="Y1098" s="248">
        <f t="shared" ca="1" si="112"/>
        <v>13.385727699892982</v>
      </c>
      <c r="Z1098" s="248">
        <f t="shared" ca="1" si="117"/>
        <v>5.4128289443844659</v>
      </c>
      <c r="AA1098" s="250">
        <f t="shared" ca="1" si="118"/>
        <v>541.28289443844665</v>
      </c>
    </row>
    <row r="1099" spans="20:27" x14ac:dyDescent="0.3">
      <c r="T1099" s="254">
        <v>1087</v>
      </c>
      <c r="U1099" s="248">
        <f t="shared" si="113"/>
        <v>328.74149999999997</v>
      </c>
      <c r="V1099" s="248">
        <f t="shared" si="114"/>
        <v>24.391499999999997</v>
      </c>
      <c r="W1099" s="248">
        <f t="shared" si="115"/>
        <v>-349.26</v>
      </c>
      <c r="X1099" s="248">
        <f t="shared" si="116"/>
        <v>3.8729999999999905</v>
      </c>
      <c r="Y1099" s="248">
        <f t="shared" ca="1" si="112"/>
        <v>13.385727699892982</v>
      </c>
      <c r="Z1099" s="248">
        <f t="shared" ca="1" si="117"/>
        <v>5.4128289443844659</v>
      </c>
      <c r="AA1099" s="250">
        <f t="shared" ca="1" si="118"/>
        <v>541.28289443844665</v>
      </c>
    </row>
    <row r="1100" spans="20:27" x14ac:dyDescent="0.3">
      <c r="T1100" s="254">
        <v>1088</v>
      </c>
      <c r="U1100" s="248">
        <f t="shared" si="113"/>
        <v>329.74149999999997</v>
      </c>
      <c r="V1100" s="248">
        <f t="shared" si="114"/>
        <v>24.391499999999997</v>
      </c>
      <c r="W1100" s="248">
        <f t="shared" si="115"/>
        <v>-350.26</v>
      </c>
      <c r="X1100" s="248">
        <f t="shared" si="116"/>
        <v>3.8729999999999905</v>
      </c>
      <c r="Y1100" s="248">
        <f t="shared" ref="Y1100:Y1163" ca="1" si="119">$Y$10*EXP($Y$7*$C$6)-$Y$10</f>
        <v>13.385727699892982</v>
      </c>
      <c r="Z1100" s="248">
        <f t="shared" ca="1" si="117"/>
        <v>5.4128289443844659</v>
      </c>
      <c r="AA1100" s="250">
        <f t="shared" ca="1" si="118"/>
        <v>541.28289443844665</v>
      </c>
    </row>
    <row r="1101" spans="20:27" x14ac:dyDescent="0.3">
      <c r="T1101" s="254">
        <v>1089</v>
      </c>
      <c r="U1101" s="248">
        <f t="shared" ref="U1101:U1164" si="120">MAX(0,T1101-$U$9)-$U$10-$U$11/100</f>
        <v>330.74149999999997</v>
      </c>
      <c r="V1101" s="248">
        <f t="shared" ref="V1101:V1164" si="121">$V$10-MAX(0,$V$9-T1101)-$V$11/100</f>
        <v>24.391499999999997</v>
      </c>
      <c r="W1101" s="248">
        <f t="shared" ref="W1101:W1164" si="122">$W$10-T1101</f>
        <v>-351.26</v>
      </c>
      <c r="X1101" s="248">
        <f t="shared" ref="X1101:X1164" si="123">SUM(U1101:W1101)</f>
        <v>3.8729999999999905</v>
      </c>
      <c r="Y1101" s="248">
        <f t="shared" ca="1" si="119"/>
        <v>13.385727699892982</v>
      </c>
      <c r="Z1101" s="248">
        <f t="shared" ref="Z1101:Z1164" ca="1" si="124">EXP(-$E$3*$C$6)*SUM(X1101:Y1101)</f>
        <v>5.4128289443844659</v>
      </c>
      <c r="AA1101" s="250">
        <f t="shared" ref="AA1101:AA1164" ca="1" si="125">Z1101*100</f>
        <v>541.28289443844665</v>
      </c>
    </row>
    <row r="1102" spans="20:27" x14ac:dyDescent="0.3">
      <c r="T1102" s="254">
        <v>1090</v>
      </c>
      <c r="U1102" s="248">
        <f t="shared" si="120"/>
        <v>331.74149999999997</v>
      </c>
      <c r="V1102" s="248">
        <f t="shared" si="121"/>
        <v>24.391499999999997</v>
      </c>
      <c r="W1102" s="248">
        <f t="shared" si="122"/>
        <v>-352.26</v>
      </c>
      <c r="X1102" s="248">
        <f t="shared" si="123"/>
        <v>3.8729999999999905</v>
      </c>
      <c r="Y1102" s="248">
        <f t="shared" ca="1" si="119"/>
        <v>13.385727699892982</v>
      </c>
      <c r="Z1102" s="248">
        <f t="shared" ca="1" si="124"/>
        <v>5.4128289443844659</v>
      </c>
      <c r="AA1102" s="250">
        <f t="shared" ca="1" si="125"/>
        <v>541.28289443844665</v>
      </c>
    </row>
    <row r="1103" spans="20:27" x14ac:dyDescent="0.3">
      <c r="T1103" s="254">
        <v>1091</v>
      </c>
      <c r="U1103" s="248">
        <f t="shared" si="120"/>
        <v>332.74149999999997</v>
      </c>
      <c r="V1103" s="248">
        <f t="shared" si="121"/>
        <v>24.391499999999997</v>
      </c>
      <c r="W1103" s="248">
        <f t="shared" si="122"/>
        <v>-353.26</v>
      </c>
      <c r="X1103" s="248">
        <f t="shared" si="123"/>
        <v>3.8729999999999905</v>
      </c>
      <c r="Y1103" s="248">
        <f t="shared" ca="1" si="119"/>
        <v>13.385727699892982</v>
      </c>
      <c r="Z1103" s="248">
        <f t="shared" ca="1" si="124"/>
        <v>5.4128289443844659</v>
      </c>
      <c r="AA1103" s="250">
        <f t="shared" ca="1" si="125"/>
        <v>541.28289443844665</v>
      </c>
    </row>
    <row r="1104" spans="20:27" x14ac:dyDescent="0.3">
      <c r="T1104" s="254">
        <v>1092</v>
      </c>
      <c r="U1104" s="248">
        <f t="shared" si="120"/>
        <v>333.74149999999997</v>
      </c>
      <c r="V1104" s="248">
        <f t="shared" si="121"/>
        <v>24.391499999999997</v>
      </c>
      <c r="W1104" s="248">
        <f t="shared" si="122"/>
        <v>-354.26</v>
      </c>
      <c r="X1104" s="248">
        <f t="shared" si="123"/>
        <v>3.8729999999999905</v>
      </c>
      <c r="Y1104" s="248">
        <f t="shared" ca="1" si="119"/>
        <v>13.385727699892982</v>
      </c>
      <c r="Z1104" s="248">
        <f t="shared" ca="1" si="124"/>
        <v>5.4128289443844659</v>
      </c>
      <c r="AA1104" s="250">
        <f t="shared" ca="1" si="125"/>
        <v>541.28289443844665</v>
      </c>
    </row>
    <row r="1105" spans="20:27" x14ac:dyDescent="0.3">
      <c r="T1105" s="254">
        <v>1093</v>
      </c>
      <c r="U1105" s="248">
        <f t="shared" si="120"/>
        <v>334.74149999999997</v>
      </c>
      <c r="V1105" s="248">
        <f t="shared" si="121"/>
        <v>24.391499999999997</v>
      </c>
      <c r="W1105" s="248">
        <f t="shared" si="122"/>
        <v>-355.26</v>
      </c>
      <c r="X1105" s="248">
        <f t="shared" si="123"/>
        <v>3.8729999999999905</v>
      </c>
      <c r="Y1105" s="248">
        <f t="shared" ca="1" si="119"/>
        <v>13.385727699892982</v>
      </c>
      <c r="Z1105" s="248">
        <f t="shared" ca="1" si="124"/>
        <v>5.4128289443844659</v>
      </c>
      <c r="AA1105" s="250">
        <f t="shared" ca="1" si="125"/>
        <v>541.28289443844665</v>
      </c>
    </row>
    <row r="1106" spans="20:27" x14ac:dyDescent="0.3">
      <c r="T1106" s="254">
        <v>1094</v>
      </c>
      <c r="U1106" s="248">
        <f t="shared" si="120"/>
        <v>335.74149999999997</v>
      </c>
      <c r="V1106" s="248">
        <f t="shared" si="121"/>
        <v>24.391499999999997</v>
      </c>
      <c r="W1106" s="248">
        <f t="shared" si="122"/>
        <v>-356.26</v>
      </c>
      <c r="X1106" s="248">
        <f t="shared" si="123"/>
        <v>3.8729999999999905</v>
      </c>
      <c r="Y1106" s="248">
        <f t="shared" ca="1" si="119"/>
        <v>13.385727699892982</v>
      </c>
      <c r="Z1106" s="248">
        <f t="shared" ca="1" si="124"/>
        <v>5.4128289443844659</v>
      </c>
      <c r="AA1106" s="250">
        <f t="shared" ca="1" si="125"/>
        <v>541.28289443844665</v>
      </c>
    </row>
    <row r="1107" spans="20:27" x14ac:dyDescent="0.3">
      <c r="T1107" s="254">
        <v>1095</v>
      </c>
      <c r="U1107" s="248">
        <f t="shared" si="120"/>
        <v>336.74149999999997</v>
      </c>
      <c r="V1107" s="248">
        <f t="shared" si="121"/>
        <v>24.391499999999997</v>
      </c>
      <c r="W1107" s="248">
        <f t="shared" si="122"/>
        <v>-357.26</v>
      </c>
      <c r="X1107" s="248">
        <f t="shared" si="123"/>
        <v>3.8729999999999905</v>
      </c>
      <c r="Y1107" s="248">
        <f t="shared" ca="1" si="119"/>
        <v>13.385727699892982</v>
      </c>
      <c r="Z1107" s="248">
        <f t="shared" ca="1" si="124"/>
        <v>5.4128289443844659</v>
      </c>
      <c r="AA1107" s="250">
        <f t="shared" ca="1" si="125"/>
        <v>541.28289443844665</v>
      </c>
    </row>
    <row r="1108" spans="20:27" x14ac:dyDescent="0.3">
      <c r="T1108" s="254">
        <v>1096</v>
      </c>
      <c r="U1108" s="248">
        <f t="shared" si="120"/>
        <v>337.74149999999997</v>
      </c>
      <c r="V1108" s="248">
        <f t="shared" si="121"/>
        <v>24.391499999999997</v>
      </c>
      <c r="W1108" s="248">
        <f t="shared" si="122"/>
        <v>-358.26</v>
      </c>
      <c r="X1108" s="248">
        <f t="shared" si="123"/>
        <v>3.8729999999999905</v>
      </c>
      <c r="Y1108" s="248">
        <f t="shared" ca="1" si="119"/>
        <v>13.385727699892982</v>
      </c>
      <c r="Z1108" s="248">
        <f t="shared" ca="1" si="124"/>
        <v>5.4128289443844659</v>
      </c>
      <c r="AA1108" s="250">
        <f t="shared" ca="1" si="125"/>
        <v>541.28289443844665</v>
      </c>
    </row>
    <row r="1109" spans="20:27" x14ac:dyDescent="0.3">
      <c r="T1109" s="254">
        <v>1097</v>
      </c>
      <c r="U1109" s="248">
        <f t="shared" si="120"/>
        <v>338.74149999999997</v>
      </c>
      <c r="V1109" s="248">
        <f t="shared" si="121"/>
        <v>24.391499999999997</v>
      </c>
      <c r="W1109" s="248">
        <f t="shared" si="122"/>
        <v>-359.26</v>
      </c>
      <c r="X1109" s="248">
        <f t="shared" si="123"/>
        <v>3.8729999999999905</v>
      </c>
      <c r="Y1109" s="248">
        <f t="shared" ca="1" si="119"/>
        <v>13.385727699892982</v>
      </c>
      <c r="Z1109" s="248">
        <f t="shared" ca="1" si="124"/>
        <v>5.4128289443844659</v>
      </c>
      <c r="AA1109" s="250">
        <f t="shared" ca="1" si="125"/>
        <v>541.28289443844665</v>
      </c>
    </row>
    <row r="1110" spans="20:27" x14ac:dyDescent="0.3">
      <c r="T1110" s="254">
        <v>1098</v>
      </c>
      <c r="U1110" s="248">
        <f t="shared" si="120"/>
        <v>339.74149999999997</v>
      </c>
      <c r="V1110" s="248">
        <f t="shared" si="121"/>
        <v>24.391499999999997</v>
      </c>
      <c r="W1110" s="248">
        <f t="shared" si="122"/>
        <v>-360.26</v>
      </c>
      <c r="X1110" s="248">
        <f t="shared" si="123"/>
        <v>3.8729999999999905</v>
      </c>
      <c r="Y1110" s="248">
        <f t="shared" ca="1" si="119"/>
        <v>13.385727699892982</v>
      </c>
      <c r="Z1110" s="248">
        <f t="shared" ca="1" si="124"/>
        <v>5.4128289443844659</v>
      </c>
      <c r="AA1110" s="250">
        <f t="shared" ca="1" si="125"/>
        <v>541.28289443844665</v>
      </c>
    </row>
    <row r="1111" spans="20:27" x14ac:dyDescent="0.3">
      <c r="T1111" s="254">
        <v>1099</v>
      </c>
      <c r="U1111" s="248">
        <f t="shared" si="120"/>
        <v>340.74149999999997</v>
      </c>
      <c r="V1111" s="248">
        <f t="shared" si="121"/>
        <v>24.391499999999997</v>
      </c>
      <c r="W1111" s="248">
        <f t="shared" si="122"/>
        <v>-361.26</v>
      </c>
      <c r="X1111" s="248">
        <f t="shared" si="123"/>
        <v>3.8729999999999905</v>
      </c>
      <c r="Y1111" s="248">
        <f t="shared" ca="1" si="119"/>
        <v>13.385727699892982</v>
      </c>
      <c r="Z1111" s="248">
        <f t="shared" ca="1" si="124"/>
        <v>5.4128289443844659</v>
      </c>
      <c r="AA1111" s="250">
        <f t="shared" ca="1" si="125"/>
        <v>541.28289443844665</v>
      </c>
    </row>
    <row r="1112" spans="20:27" x14ac:dyDescent="0.3">
      <c r="T1112" s="254">
        <v>1100</v>
      </c>
      <c r="U1112" s="248">
        <f t="shared" si="120"/>
        <v>341.74149999999997</v>
      </c>
      <c r="V1112" s="248">
        <f t="shared" si="121"/>
        <v>24.391499999999997</v>
      </c>
      <c r="W1112" s="248">
        <f t="shared" si="122"/>
        <v>-362.26</v>
      </c>
      <c r="X1112" s="248">
        <f t="shared" si="123"/>
        <v>3.8729999999999905</v>
      </c>
      <c r="Y1112" s="248">
        <f t="shared" ca="1" si="119"/>
        <v>13.385727699892982</v>
      </c>
      <c r="Z1112" s="248">
        <f t="shared" ca="1" si="124"/>
        <v>5.4128289443844659</v>
      </c>
      <c r="AA1112" s="250">
        <f t="shared" ca="1" si="125"/>
        <v>541.28289443844665</v>
      </c>
    </row>
    <row r="1113" spans="20:27" x14ac:dyDescent="0.3">
      <c r="T1113" s="254">
        <v>1101</v>
      </c>
      <c r="U1113" s="248">
        <f t="shared" si="120"/>
        <v>342.74149999999997</v>
      </c>
      <c r="V1113" s="248">
        <f t="shared" si="121"/>
        <v>24.391499999999997</v>
      </c>
      <c r="W1113" s="248">
        <f t="shared" si="122"/>
        <v>-363.26</v>
      </c>
      <c r="X1113" s="248">
        <f t="shared" si="123"/>
        <v>3.8729999999999905</v>
      </c>
      <c r="Y1113" s="248">
        <f t="shared" ca="1" si="119"/>
        <v>13.385727699892982</v>
      </c>
      <c r="Z1113" s="248">
        <f t="shared" ca="1" si="124"/>
        <v>5.4128289443844659</v>
      </c>
      <c r="AA1113" s="250">
        <f t="shared" ca="1" si="125"/>
        <v>541.28289443844665</v>
      </c>
    </row>
    <row r="1114" spans="20:27" x14ac:dyDescent="0.3">
      <c r="T1114" s="254">
        <v>1102</v>
      </c>
      <c r="U1114" s="248">
        <f t="shared" si="120"/>
        <v>343.74149999999997</v>
      </c>
      <c r="V1114" s="248">
        <f t="shared" si="121"/>
        <v>24.391499999999997</v>
      </c>
      <c r="W1114" s="248">
        <f t="shared" si="122"/>
        <v>-364.26</v>
      </c>
      <c r="X1114" s="248">
        <f t="shared" si="123"/>
        <v>3.8729999999999905</v>
      </c>
      <c r="Y1114" s="248">
        <f t="shared" ca="1" si="119"/>
        <v>13.385727699892982</v>
      </c>
      <c r="Z1114" s="248">
        <f t="shared" ca="1" si="124"/>
        <v>5.4128289443844659</v>
      </c>
      <c r="AA1114" s="250">
        <f t="shared" ca="1" si="125"/>
        <v>541.28289443844665</v>
      </c>
    </row>
    <row r="1115" spans="20:27" x14ac:dyDescent="0.3">
      <c r="T1115" s="254">
        <v>1103</v>
      </c>
      <c r="U1115" s="248">
        <f t="shared" si="120"/>
        <v>344.74149999999997</v>
      </c>
      <c r="V1115" s="248">
        <f t="shared" si="121"/>
        <v>24.391499999999997</v>
      </c>
      <c r="W1115" s="248">
        <f t="shared" si="122"/>
        <v>-365.26</v>
      </c>
      <c r="X1115" s="248">
        <f t="shared" si="123"/>
        <v>3.8729999999999905</v>
      </c>
      <c r="Y1115" s="248">
        <f t="shared" ca="1" si="119"/>
        <v>13.385727699892982</v>
      </c>
      <c r="Z1115" s="248">
        <f t="shared" ca="1" si="124"/>
        <v>5.4128289443844659</v>
      </c>
      <c r="AA1115" s="250">
        <f t="shared" ca="1" si="125"/>
        <v>541.28289443844665</v>
      </c>
    </row>
    <row r="1116" spans="20:27" x14ac:dyDescent="0.3">
      <c r="T1116" s="254">
        <v>1104</v>
      </c>
      <c r="U1116" s="248">
        <f t="shared" si="120"/>
        <v>345.74149999999997</v>
      </c>
      <c r="V1116" s="248">
        <f t="shared" si="121"/>
        <v>24.391499999999997</v>
      </c>
      <c r="W1116" s="248">
        <f t="shared" si="122"/>
        <v>-366.26</v>
      </c>
      <c r="X1116" s="248">
        <f t="shared" si="123"/>
        <v>3.8729999999999905</v>
      </c>
      <c r="Y1116" s="248">
        <f t="shared" ca="1" si="119"/>
        <v>13.385727699892982</v>
      </c>
      <c r="Z1116" s="248">
        <f t="shared" ca="1" si="124"/>
        <v>5.4128289443844659</v>
      </c>
      <c r="AA1116" s="250">
        <f t="shared" ca="1" si="125"/>
        <v>541.28289443844665</v>
      </c>
    </row>
    <row r="1117" spans="20:27" x14ac:dyDescent="0.3">
      <c r="T1117" s="254">
        <v>1105</v>
      </c>
      <c r="U1117" s="248">
        <f t="shared" si="120"/>
        <v>346.74149999999997</v>
      </c>
      <c r="V1117" s="248">
        <f t="shared" si="121"/>
        <v>24.391499999999997</v>
      </c>
      <c r="W1117" s="248">
        <f t="shared" si="122"/>
        <v>-367.26</v>
      </c>
      <c r="X1117" s="248">
        <f t="shared" si="123"/>
        <v>3.8729999999999905</v>
      </c>
      <c r="Y1117" s="248">
        <f t="shared" ca="1" si="119"/>
        <v>13.385727699892982</v>
      </c>
      <c r="Z1117" s="248">
        <f t="shared" ca="1" si="124"/>
        <v>5.4128289443844659</v>
      </c>
      <c r="AA1117" s="250">
        <f t="shared" ca="1" si="125"/>
        <v>541.28289443844665</v>
      </c>
    </row>
    <row r="1118" spans="20:27" x14ac:dyDescent="0.3">
      <c r="T1118" s="254">
        <v>1106</v>
      </c>
      <c r="U1118" s="248">
        <f t="shared" si="120"/>
        <v>347.74149999999997</v>
      </c>
      <c r="V1118" s="248">
        <f t="shared" si="121"/>
        <v>24.391499999999997</v>
      </c>
      <c r="W1118" s="248">
        <f t="shared" si="122"/>
        <v>-368.26</v>
      </c>
      <c r="X1118" s="248">
        <f t="shared" si="123"/>
        <v>3.8729999999999905</v>
      </c>
      <c r="Y1118" s="248">
        <f t="shared" ca="1" si="119"/>
        <v>13.385727699892982</v>
      </c>
      <c r="Z1118" s="248">
        <f t="shared" ca="1" si="124"/>
        <v>5.4128289443844659</v>
      </c>
      <c r="AA1118" s="250">
        <f t="shared" ca="1" si="125"/>
        <v>541.28289443844665</v>
      </c>
    </row>
    <row r="1119" spans="20:27" x14ac:dyDescent="0.3">
      <c r="T1119" s="254">
        <v>1107</v>
      </c>
      <c r="U1119" s="248">
        <f t="shared" si="120"/>
        <v>348.74149999999997</v>
      </c>
      <c r="V1119" s="248">
        <f t="shared" si="121"/>
        <v>24.391499999999997</v>
      </c>
      <c r="W1119" s="248">
        <f t="shared" si="122"/>
        <v>-369.26</v>
      </c>
      <c r="X1119" s="248">
        <f t="shared" si="123"/>
        <v>3.8729999999999905</v>
      </c>
      <c r="Y1119" s="248">
        <f t="shared" ca="1" si="119"/>
        <v>13.385727699892982</v>
      </c>
      <c r="Z1119" s="248">
        <f t="shared" ca="1" si="124"/>
        <v>5.4128289443844659</v>
      </c>
      <c r="AA1119" s="250">
        <f t="shared" ca="1" si="125"/>
        <v>541.28289443844665</v>
      </c>
    </row>
    <row r="1120" spans="20:27" x14ac:dyDescent="0.3">
      <c r="T1120" s="254">
        <v>1108</v>
      </c>
      <c r="U1120" s="248">
        <f t="shared" si="120"/>
        <v>349.74149999999997</v>
      </c>
      <c r="V1120" s="248">
        <f t="shared" si="121"/>
        <v>24.391499999999997</v>
      </c>
      <c r="W1120" s="248">
        <f t="shared" si="122"/>
        <v>-370.26</v>
      </c>
      <c r="X1120" s="248">
        <f t="shared" si="123"/>
        <v>3.8729999999999905</v>
      </c>
      <c r="Y1120" s="248">
        <f t="shared" ca="1" si="119"/>
        <v>13.385727699892982</v>
      </c>
      <c r="Z1120" s="248">
        <f t="shared" ca="1" si="124"/>
        <v>5.4128289443844659</v>
      </c>
      <c r="AA1120" s="250">
        <f t="shared" ca="1" si="125"/>
        <v>541.28289443844665</v>
      </c>
    </row>
    <row r="1121" spans="20:27" x14ac:dyDescent="0.3">
      <c r="T1121" s="254">
        <v>1109</v>
      </c>
      <c r="U1121" s="248">
        <f t="shared" si="120"/>
        <v>350.74149999999997</v>
      </c>
      <c r="V1121" s="248">
        <f t="shared" si="121"/>
        <v>24.391499999999997</v>
      </c>
      <c r="W1121" s="248">
        <f t="shared" si="122"/>
        <v>-371.26</v>
      </c>
      <c r="X1121" s="248">
        <f t="shared" si="123"/>
        <v>3.8729999999999905</v>
      </c>
      <c r="Y1121" s="248">
        <f t="shared" ca="1" si="119"/>
        <v>13.385727699892982</v>
      </c>
      <c r="Z1121" s="248">
        <f t="shared" ca="1" si="124"/>
        <v>5.4128289443844659</v>
      </c>
      <c r="AA1121" s="250">
        <f t="shared" ca="1" si="125"/>
        <v>541.28289443844665</v>
      </c>
    </row>
    <row r="1122" spans="20:27" x14ac:dyDescent="0.3">
      <c r="T1122" s="254">
        <v>1110</v>
      </c>
      <c r="U1122" s="248">
        <f t="shared" si="120"/>
        <v>351.74149999999997</v>
      </c>
      <c r="V1122" s="248">
        <f t="shared" si="121"/>
        <v>24.391499999999997</v>
      </c>
      <c r="W1122" s="248">
        <f t="shared" si="122"/>
        <v>-372.26</v>
      </c>
      <c r="X1122" s="248">
        <f t="shared" si="123"/>
        <v>3.8729999999999905</v>
      </c>
      <c r="Y1122" s="248">
        <f t="shared" ca="1" si="119"/>
        <v>13.385727699892982</v>
      </c>
      <c r="Z1122" s="248">
        <f t="shared" ca="1" si="124"/>
        <v>5.4128289443844659</v>
      </c>
      <c r="AA1122" s="250">
        <f t="shared" ca="1" si="125"/>
        <v>541.28289443844665</v>
      </c>
    </row>
    <row r="1123" spans="20:27" x14ac:dyDescent="0.3">
      <c r="T1123" s="254">
        <v>1111</v>
      </c>
      <c r="U1123" s="248">
        <f t="shared" si="120"/>
        <v>352.74149999999997</v>
      </c>
      <c r="V1123" s="248">
        <f t="shared" si="121"/>
        <v>24.391499999999997</v>
      </c>
      <c r="W1123" s="248">
        <f t="shared" si="122"/>
        <v>-373.26</v>
      </c>
      <c r="X1123" s="248">
        <f t="shared" si="123"/>
        <v>3.8729999999999905</v>
      </c>
      <c r="Y1123" s="248">
        <f t="shared" ca="1" si="119"/>
        <v>13.385727699892982</v>
      </c>
      <c r="Z1123" s="248">
        <f t="shared" ca="1" si="124"/>
        <v>5.4128289443844659</v>
      </c>
      <c r="AA1123" s="250">
        <f t="shared" ca="1" si="125"/>
        <v>541.28289443844665</v>
      </c>
    </row>
    <row r="1124" spans="20:27" x14ac:dyDescent="0.3">
      <c r="T1124" s="254">
        <v>1112</v>
      </c>
      <c r="U1124" s="248">
        <f t="shared" si="120"/>
        <v>353.74149999999997</v>
      </c>
      <c r="V1124" s="248">
        <f t="shared" si="121"/>
        <v>24.391499999999997</v>
      </c>
      <c r="W1124" s="248">
        <f t="shared" si="122"/>
        <v>-374.26</v>
      </c>
      <c r="X1124" s="248">
        <f t="shared" si="123"/>
        <v>3.8729999999999905</v>
      </c>
      <c r="Y1124" s="248">
        <f t="shared" ca="1" si="119"/>
        <v>13.385727699892982</v>
      </c>
      <c r="Z1124" s="248">
        <f t="shared" ca="1" si="124"/>
        <v>5.4128289443844659</v>
      </c>
      <c r="AA1124" s="250">
        <f t="shared" ca="1" si="125"/>
        <v>541.28289443844665</v>
      </c>
    </row>
    <row r="1125" spans="20:27" x14ac:dyDescent="0.3">
      <c r="T1125" s="254">
        <v>1113</v>
      </c>
      <c r="U1125" s="248">
        <f t="shared" si="120"/>
        <v>354.74149999999997</v>
      </c>
      <c r="V1125" s="248">
        <f t="shared" si="121"/>
        <v>24.391499999999997</v>
      </c>
      <c r="W1125" s="248">
        <f t="shared" si="122"/>
        <v>-375.26</v>
      </c>
      <c r="X1125" s="248">
        <f t="shared" si="123"/>
        <v>3.8729999999999905</v>
      </c>
      <c r="Y1125" s="248">
        <f t="shared" ca="1" si="119"/>
        <v>13.385727699892982</v>
      </c>
      <c r="Z1125" s="248">
        <f t="shared" ca="1" si="124"/>
        <v>5.4128289443844659</v>
      </c>
      <c r="AA1125" s="250">
        <f t="shared" ca="1" si="125"/>
        <v>541.28289443844665</v>
      </c>
    </row>
    <row r="1126" spans="20:27" x14ac:dyDescent="0.3">
      <c r="T1126" s="254">
        <v>1114</v>
      </c>
      <c r="U1126" s="248">
        <f t="shared" si="120"/>
        <v>355.74149999999997</v>
      </c>
      <c r="V1126" s="248">
        <f t="shared" si="121"/>
        <v>24.391499999999997</v>
      </c>
      <c r="W1126" s="248">
        <f t="shared" si="122"/>
        <v>-376.26</v>
      </c>
      <c r="X1126" s="248">
        <f t="shared" si="123"/>
        <v>3.8729999999999905</v>
      </c>
      <c r="Y1126" s="248">
        <f t="shared" ca="1" si="119"/>
        <v>13.385727699892982</v>
      </c>
      <c r="Z1126" s="248">
        <f t="shared" ca="1" si="124"/>
        <v>5.4128289443844659</v>
      </c>
      <c r="AA1126" s="250">
        <f t="shared" ca="1" si="125"/>
        <v>541.28289443844665</v>
      </c>
    </row>
    <row r="1127" spans="20:27" x14ac:dyDescent="0.3">
      <c r="T1127" s="254">
        <v>1115</v>
      </c>
      <c r="U1127" s="248">
        <f t="shared" si="120"/>
        <v>356.74149999999997</v>
      </c>
      <c r="V1127" s="248">
        <f t="shared" si="121"/>
        <v>24.391499999999997</v>
      </c>
      <c r="W1127" s="248">
        <f t="shared" si="122"/>
        <v>-377.26</v>
      </c>
      <c r="X1127" s="248">
        <f t="shared" si="123"/>
        <v>3.8729999999999905</v>
      </c>
      <c r="Y1127" s="248">
        <f t="shared" ca="1" si="119"/>
        <v>13.385727699892982</v>
      </c>
      <c r="Z1127" s="248">
        <f t="shared" ca="1" si="124"/>
        <v>5.4128289443844659</v>
      </c>
      <c r="AA1127" s="250">
        <f t="shared" ca="1" si="125"/>
        <v>541.28289443844665</v>
      </c>
    </row>
    <row r="1128" spans="20:27" x14ac:dyDescent="0.3">
      <c r="T1128" s="254">
        <v>1116</v>
      </c>
      <c r="U1128" s="248">
        <f t="shared" si="120"/>
        <v>357.74149999999997</v>
      </c>
      <c r="V1128" s="248">
        <f t="shared" si="121"/>
        <v>24.391499999999997</v>
      </c>
      <c r="W1128" s="248">
        <f t="shared" si="122"/>
        <v>-378.26</v>
      </c>
      <c r="X1128" s="248">
        <f t="shared" si="123"/>
        <v>3.8729999999999905</v>
      </c>
      <c r="Y1128" s="248">
        <f t="shared" ca="1" si="119"/>
        <v>13.385727699892982</v>
      </c>
      <c r="Z1128" s="248">
        <f t="shared" ca="1" si="124"/>
        <v>5.4128289443844659</v>
      </c>
      <c r="AA1128" s="250">
        <f t="shared" ca="1" si="125"/>
        <v>541.28289443844665</v>
      </c>
    </row>
    <row r="1129" spans="20:27" x14ac:dyDescent="0.3">
      <c r="T1129" s="254">
        <v>1117</v>
      </c>
      <c r="U1129" s="248">
        <f t="shared" si="120"/>
        <v>358.74149999999997</v>
      </c>
      <c r="V1129" s="248">
        <f t="shared" si="121"/>
        <v>24.391499999999997</v>
      </c>
      <c r="W1129" s="248">
        <f t="shared" si="122"/>
        <v>-379.26</v>
      </c>
      <c r="X1129" s="248">
        <f t="shared" si="123"/>
        <v>3.8729999999999905</v>
      </c>
      <c r="Y1129" s="248">
        <f t="shared" ca="1" si="119"/>
        <v>13.385727699892982</v>
      </c>
      <c r="Z1129" s="248">
        <f t="shared" ca="1" si="124"/>
        <v>5.4128289443844659</v>
      </c>
      <c r="AA1129" s="250">
        <f t="shared" ca="1" si="125"/>
        <v>541.28289443844665</v>
      </c>
    </row>
    <row r="1130" spans="20:27" x14ac:dyDescent="0.3">
      <c r="T1130" s="254">
        <v>1118</v>
      </c>
      <c r="U1130" s="248">
        <f t="shared" si="120"/>
        <v>359.74149999999997</v>
      </c>
      <c r="V1130" s="248">
        <f t="shared" si="121"/>
        <v>24.391499999999997</v>
      </c>
      <c r="W1130" s="248">
        <f t="shared" si="122"/>
        <v>-380.26</v>
      </c>
      <c r="X1130" s="248">
        <f t="shared" si="123"/>
        <v>3.8729999999999905</v>
      </c>
      <c r="Y1130" s="248">
        <f t="shared" ca="1" si="119"/>
        <v>13.385727699892982</v>
      </c>
      <c r="Z1130" s="248">
        <f t="shared" ca="1" si="124"/>
        <v>5.4128289443844659</v>
      </c>
      <c r="AA1130" s="250">
        <f t="shared" ca="1" si="125"/>
        <v>541.28289443844665</v>
      </c>
    </row>
    <row r="1131" spans="20:27" x14ac:dyDescent="0.3">
      <c r="T1131" s="254">
        <v>1119</v>
      </c>
      <c r="U1131" s="248">
        <f t="shared" si="120"/>
        <v>360.74149999999997</v>
      </c>
      <c r="V1131" s="248">
        <f t="shared" si="121"/>
        <v>24.391499999999997</v>
      </c>
      <c r="W1131" s="248">
        <f t="shared" si="122"/>
        <v>-381.26</v>
      </c>
      <c r="X1131" s="248">
        <f t="shared" si="123"/>
        <v>3.8729999999999905</v>
      </c>
      <c r="Y1131" s="248">
        <f t="shared" ca="1" si="119"/>
        <v>13.385727699892982</v>
      </c>
      <c r="Z1131" s="248">
        <f t="shared" ca="1" si="124"/>
        <v>5.4128289443844659</v>
      </c>
      <c r="AA1131" s="250">
        <f t="shared" ca="1" si="125"/>
        <v>541.28289443844665</v>
      </c>
    </row>
    <row r="1132" spans="20:27" x14ac:dyDescent="0.3">
      <c r="T1132" s="254">
        <v>1120</v>
      </c>
      <c r="U1132" s="248">
        <f t="shared" si="120"/>
        <v>361.74149999999997</v>
      </c>
      <c r="V1132" s="248">
        <f t="shared" si="121"/>
        <v>24.391499999999997</v>
      </c>
      <c r="W1132" s="248">
        <f t="shared" si="122"/>
        <v>-382.26</v>
      </c>
      <c r="X1132" s="248">
        <f t="shared" si="123"/>
        <v>3.8729999999999905</v>
      </c>
      <c r="Y1132" s="248">
        <f t="shared" ca="1" si="119"/>
        <v>13.385727699892982</v>
      </c>
      <c r="Z1132" s="248">
        <f t="shared" ca="1" si="124"/>
        <v>5.4128289443844659</v>
      </c>
      <c r="AA1132" s="250">
        <f t="shared" ca="1" si="125"/>
        <v>541.28289443844665</v>
      </c>
    </row>
    <row r="1133" spans="20:27" x14ac:dyDescent="0.3">
      <c r="T1133" s="254">
        <v>1121</v>
      </c>
      <c r="U1133" s="248">
        <f t="shared" si="120"/>
        <v>362.74149999999997</v>
      </c>
      <c r="V1133" s="248">
        <f t="shared" si="121"/>
        <v>24.391499999999997</v>
      </c>
      <c r="W1133" s="248">
        <f t="shared" si="122"/>
        <v>-383.26</v>
      </c>
      <c r="X1133" s="248">
        <f t="shared" si="123"/>
        <v>3.8729999999999905</v>
      </c>
      <c r="Y1133" s="248">
        <f t="shared" ca="1" si="119"/>
        <v>13.385727699892982</v>
      </c>
      <c r="Z1133" s="248">
        <f t="shared" ca="1" si="124"/>
        <v>5.4128289443844659</v>
      </c>
      <c r="AA1133" s="250">
        <f t="shared" ca="1" si="125"/>
        <v>541.28289443844665</v>
      </c>
    </row>
    <row r="1134" spans="20:27" x14ac:dyDescent="0.3">
      <c r="T1134" s="254">
        <v>1122</v>
      </c>
      <c r="U1134" s="248">
        <f t="shared" si="120"/>
        <v>363.74149999999997</v>
      </c>
      <c r="V1134" s="248">
        <f t="shared" si="121"/>
        <v>24.391499999999997</v>
      </c>
      <c r="W1134" s="248">
        <f t="shared" si="122"/>
        <v>-384.26</v>
      </c>
      <c r="X1134" s="248">
        <f t="shared" si="123"/>
        <v>3.8729999999999905</v>
      </c>
      <c r="Y1134" s="248">
        <f t="shared" ca="1" si="119"/>
        <v>13.385727699892982</v>
      </c>
      <c r="Z1134" s="248">
        <f t="shared" ca="1" si="124"/>
        <v>5.4128289443844659</v>
      </c>
      <c r="AA1134" s="250">
        <f t="shared" ca="1" si="125"/>
        <v>541.28289443844665</v>
      </c>
    </row>
    <row r="1135" spans="20:27" x14ac:dyDescent="0.3">
      <c r="T1135" s="254">
        <v>1123</v>
      </c>
      <c r="U1135" s="248">
        <f t="shared" si="120"/>
        <v>364.74149999999997</v>
      </c>
      <c r="V1135" s="248">
        <f t="shared" si="121"/>
        <v>24.391499999999997</v>
      </c>
      <c r="W1135" s="248">
        <f t="shared" si="122"/>
        <v>-385.26</v>
      </c>
      <c r="X1135" s="248">
        <f t="shared" si="123"/>
        <v>3.8729999999999905</v>
      </c>
      <c r="Y1135" s="248">
        <f t="shared" ca="1" si="119"/>
        <v>13.385727699892982</v>
      </c>
      <c r="Z1135" s="248">
        <f t="shared" ca="1" si="124"/>
        <v>5.4128289443844659</v>
      </c>
      <c r="AA1135" s="250">
        <f t="shared" ca="1" si="125"/>
        <v>541.28289443844665</v>
      </c>
    </row>
    <row r="1136" spans="20:27" x14ac:dyDescent="0.3">
      <c r="T1136" s="254">
        <v>1124</v>
      </c>
      <c r="U1136" s="248">
        <f t="shared" si="120"/>
        <v>365.74149999999997</v>
      </c>
      <c r="V1136" s="248">
        <f t="shared" si="121"/>
        <v>24.391499999999997</v>
      </c>
      <c r="W1136" s="248">
        <f t="shared" si="122"/>
        <v>-386.26</v>
      </c>
      <c r="X1136" s="248">
        <f t="shared" si="123"/>
        <v>3.8729999999999905</v>
      </c>
      <c r="Y1136" s="248">
        <f t="shared" ca="1" si="119"/>
        <v>13.385727699892982</v>
      </c>
      <c r="Z1136" s="248">
        <f t="shared" ca="1" si="124"/>
        <v>5.4128289443844659</v>
      </c>
      <c r="AA1136" s="250">
        <f t="shared" ca="1" si="125"/>
        <v>541.28289443844665</v>
      </c>
    </row>
    <row r="1137" spans="20:27" x14ac:dyDescent="0.3">
      <c r="T1137" s="254">
        <v>1125</v>
      </c>
      <c r="U1137" s="248">
        <f t="shared" si="120"/>
        <v>366.74149999999997</v>
      </c>
      <c r="V1137" s="248">
        <f t="shared" si="121"/>
        <v>24.391499999999997</v>
      </c>
      <c r="W1137" s="248">
        <f t="shared" si="122"/>
        <v>-387.26</v>
      </c>
      <c r="X1137" s="248">
        <f t="shared" si="123"/>
        <v>3.8729999999999905</v>
      </c>
      <c r="Y1137" s="248">
        <f t="shared" ca="1" si="119"/>
        <v>13.385727699892982</v>
      </c>
      <c r="Z1137" s="248">
        <f t="shared" ca="1" si="124"/>
        <v>5.4128289443844659</v>
      </c>
      <c r="AA1137" s="250">
        <f t="shared" ca="1" si="125"/>
        <v>541.28289443844665</v>
      </c>
    </row>
    <row r="1138" spans="20:27" x14ac:dyDescent="0.3">
      <c r="T1138" s="254">
        <v>1126</v>
      </c>
      <c r="U1138" s="248">
        <f t="shared" si="120"/>
        <v>367.74149999999997</v>
      </c>
      <c r="V1138" s="248">
        <f t="shared" si="121"/>
        <v>24.391499999999997</v>
      </c>
      <c r="W1138" s="248">
        <f t="shared" si="122"/>
        <v>-388.26</v>
      </c>
      <c r="X1138" s="248">
        <f t="shared" si="123"/>
        <v>3.8729999999999905</v>
      </c>
      <c r="Y1138" s="248">
        <f t="shared" ca="1" si="119"/>
        <v>13.385727699892982</v>
      </c>
      <c r="Z1138" s="248">
        <f t="shared" ca="1" si="124"/>
        <v>5.4128289443844659</v>
      </c>
      <c r="AA1138" s="250">
        <f t="shared" ca="1" si="125"/>
        <v>541.28289443844665</v>
      </c>
    </row>
    <row r="1139" spans="20:27" x14ac:dyDescent="0.3">
      <c r="T1139" s="254">
        <v>1127</v>
      </c>
      <c r="U1139" s="248">
        <f t="shared" si="120"/>
        <v>368.74149999999997</v>
      </c>
      <c r="V1139" s="248">
        <f t="shared" si="121"/>
        <v>24.391499999999997</v>
      </c>
      <c r="W1139" s="248">
        <f t="shared" si="122"/>
        <v>-389.26</v>
      </c>
      <c r="X1139" s="248">
        <f t="shared" si="123"/>
        <v>3.8729999999999905</v>
      </c>
      <c r="Y1139" s="248">
        <f t="shared" ca="1" si="119"/>
        <v>13.385727699892982</v>
      </c>
      <c r="Z1139" s="248">
        <f t="shared" ca="1" si="124"/>
        <v>5.4128289443844659</v>
      </c>
      <c r="AA1139" s="250">
        <f t="shared" ca="1" si="125"/>
        <v>541.28289443844665</v>
      </c>
    </row>
    <row r="1140" spans="20:27" x14ac:dyDescent="0.3">
      <c r="T1140" s="254">
        <v>1128</v>
      </c>
      <c r="U1140" s="248">
        <f t="shared" si="120"/>
        <v>369.74149999999997</v>
      </c>
      <c r="V1140" s="248">
        <f t="shared" si="121"/>
        <v>24.391499999999997</v>
      </c>
      <c r="W1140" s="248">
        <f t="shared" si="122"/>
        <v>-390.26</v>
      </c>
      <c r="X1140" s="248">
        <f t="shared" si="123"/>
        <v>3.8729999999999905</v>
      </c>
      <c r="Y1140" s="248">
        <f t="shared" ca="1" si="119"/>
        <v>13.385727699892982</v>
      </c>
      <c r="Z1140" s="248">
        <f t="shared" ca="1" si="124"/>
        <v>5.4128289443844659</v>
      </c>
      <c r="AA1140" s="250">
        <f t="shared" ca="1" si="125"/>
        <v>541.28289443844665</v>
      </c>
    </row>
    <row r="1141" spans="20:27" x14ac:dyDescent="0.3">
      <c r="T1141" s="254">
        <v>1129</v>
      </c>
      <c r="U1141" s="248">
        <f t="shared" si="120"/>
        <v>370.74149999999997</v>
      </c>
      <c r="V1141" s="248">
        <f t="shared" si="121"/>
        <v>24.391499999999997</v>
      </c>
      <c r="W1141" s="248">
        <f t="shared" si="122"/>
        <v>-391.26</v>
      </c>
      <c r="X1141" s="248">
        <f t="shared" si="123"/>
        <v>3.8729999999999905</v>
      </c>
      <c r="Y1141" s="248">
        <f t="shared" ca="1" si="119"/>
        <v>13.385727699892982</v>
      </c>
      <c r="Z1141" s="248">
        <f t="shared" ca="1" si="124"/>
        <v>5.4128289443844659</v>
      </c>
      <c r="AA1141" s="250">
        <f t="shared" ca="1" si="125"/>
        <v>541.28289443844665</v>
      </c>
    </row>
    <row r="1142" spans="20:27" x14ac:dyDescent="0.3">
      <c r="T1142" s="254">
        <v>1130</v>
      </c>
      <c r="U1142" s="248">
        <f t="shared" si="120"/>
        <v>371.74149999999997</v>
      </c>
      <c r="V1142" s="248">
        <f t="shared" si="121"/>
        <v>24.391499999999997</v>
      </c>
      <c r="W1142" s="248">
        <f t="shared" si="122"/>
        <v>-392.26</v>
      </c>
      <c r="X1142" s="248">
        <f t="shared" si="123"/>
        <v>3.8729999999999905</v>
      </c>
      <c r="Y1142" s="248">
        <f t="shared" ca="1" si="119"/>
        <v>13.385727699892982</v>
      </c>
      <c r="Z1142" s="248">
        <f t="shared" ca="1" si="124"/>
        <v>5.4128289443844659</v>
      </c>
      <c r="AA1142" s="250">
        <f t="shared" ca="1" si="125"/>
        <v>541.28289443844665</v>
      </c>
    </row>
    <row r="1143" spans="20:27" x14ac:dyDescent="0.3">
      <c r="T1143" s="254">
        <v>1131</v>
      </c>
      <c r="U1143" s="248">
        <f t="shared" si="120"/>
        <v>372.74149999999997</v>
      </c>
      <c r="V1143" s="248">
        <f t="shared" si="121"/>
        <v>24.391499999999997</v>
      </c>
      <c r="W1143" s="248">
        <f t="shared" si="122"/>
        <v>-393.26</v>
      </c>
      <c r="X1143" s="248">
        <f t="shared" si="123"/>
        <v>3.8729999999999905</v>
      </c>
      <c r="Y1143" s="248">
        <f t="shared" ca="1" si="119"/>
        <v>13.385727699892982</v>
      </c>
      <c r="Z1143" s="248">
        <f t="shared" ca="1" si="124"/>
        <v>5.4128289443844659</v>
      </c>
      <c r="AA1143" s="250">
        <f t="shared" ca="1" si="125"/>
        <v>541.28289443844665</v>
      </c>
    </row>
    <row r="1144" spans="20:27" x14ac:dyDescent="0.3">
      <c r="T1144" s="254">
        <v>1132</v>
      </c>
      <c r="U1144" s="248">
        <f t="shared" si="120"/>
        <v>373.74149999999997</v>
      </c>
      <c r="V1144" s="248">
        <f t="shared" si="121"/>
        <v>24.391499999999997</v>
      </c>
      <c r="W1144" s="248">
        <f t="shared" si="122"/>
        <v>-394.26</v>
      </c>
      <c r="X1144" s="248">
        <f t="shared" si="123"/>
        <v>3.8729999999999905</v>
      </c>
      <c r="Y1144" s="248">
        <f t="shared" ca="1" si="119"/>
        <v>13.385727699892982</v>
      </c>
      <c r="Z1144" s="248">
        <f t="shared" ca="1" si="124"/>
        <v>5.4128289443844659</v>
      </c>
      <c r="AA1144" s="250">
        <f t="shared" ca="1" si="125"/>
        <v>541.28289443844665</v>
      </c>
    </row>
    <row r="1145" spans="20:27" x14ac:dyDescent="0.3">
      <c r="T1145" s="254">
        <v>1133</v>
      </c>
      <c r="U1145" s="248">
        <f t="shared" si="120"/>
        <v>374.74149999999997</v>
      </c>
      <c r="V1145" s="248">
        <f t="shared" si="121"/>
        <v>24.391499999999997</v>
      </c>
      <c r="W1145" s="248">
        <f t="shared" si="122"/>
        <v>-395.26</v>
      </c>
      <c r="X1145" s="248">
        <f t="shared" si="123"/>
        <v>3.8729999999999905</v>
      </c>
      <c r="Y1145" s="248">
        <f t="shared" ca="1" si="119"/>
        <v>13.385727699892982</v>
      </c>
      <c r="Z1145" s="248">
        <f t="shared" ca="1" si="124"/>
        <v>5.4128289443844659</v>
      </c>
      <c r="AA1145" s="250">
        <f t="shared" ca="1" si="125"/>
        <v>541.28289443844665</v>
      </c>
    </row>
    <row r="1146" spans="20:27" x14ac:dyDescent="0.3">
      <c r="T1146" s="254">
        <v>1134</v>
      </c>
      <c r="U1146" s="248">
        <f t="shared" si="120"/>
        <v>375.74149999999997</v>
      </c>
      <c r="V1146" s="248">
        <f t="shared" si="121"/>
        <v>24.391499999999997</v>
      </c>
      <c r="W1146" s="248">
        <f t="shared" si="122"/>
        <v>-396.26</v>
      </c>
      <c r="X1146" s="248">
        <f t="shared" si="123"/>
        <v>3.8729999999999905</v>
      </c>
      <c r="Y1146" s="248">
        <f t="shared" ca="1" si="119"/>
        <v>13.385727699892982</v>
      </c>
      <c r="Z1146" s="248">
        <f t="shared" ca="1" si="124"/>
        <v>5.4128289443844659</v>
      </c>
      <c r="AA1146" s="250">
        <f t="shared" ca="1" si="125"/>
        <v>541.28289443844665</v>
      </c>
    </row>
    <row r="1147" spans="20:27" x14ac:dyDescent="0.3">
      <c r="T1147" s="254">
        <v>1135</v>
      </c>
      <c r="U1147" s="248">
        <f t="shared" si="120"/>
        <v>376.74149999999997</v>
      </c>
      <c r="V1147" s="248">
        <f t="shared" si="121"/>
        <v>24.391499999999997</v>
      </c>
      <c r="W1147" s="248">
        <f t="shared" si="122"/>
        <v>-397.26</v>
      </c>
      <c r="X1147" s="248">
        <f t="shared" si="123"/>
        <v>3.8729999999999905</v>
      </c>
      <c r="Y1147" s="248">
        <f t="shared" ca="1" si="119"/>
        <v>13.385727699892982</v>
      </c>
      <c r="Z1147" s="248">
        <f t="shared" ca="1" si="124"/>
        <v>5.4128289443844659</v>
      </c>
      <c r="AA1147" s="250">
        <f t="shared" ca="1" si="125"/>
        <v>541.28289443844665</v>
      </c>
    </row>
    <row r="1148" spans="20:27" x14ac:dyDescent="0.3">
      <c r="T1148" s="254">
        <v>1136</v>
      </c>
      <c r="U1148" s="248">
        <f t="shared" si="120"/>
        <v>377.74149999999997</v>
      </c>
      <c r="V1148" s="248">
        <f t="shared" si="121"/>
        <v>24.391499999999997</v>
      </c>
      <c r="W1148" s="248">
        <f t="shared" si="122"/>
        <v>-398.26</v>
      </c>
      <c r="X1148" s="248">
        <f t="shared" si="123"/>
        <v>3.8729999999999905</v>
      </c>
      <c r="Y1148" s="248">
        <f t="shared" ca="1" si="119"/>
        <v>13.385727699892982</v>
      </c>
      <c r="Z1148" s="248">
        <f t="shared" ca="1" si="124"/>
        <v>5.4128289443844659</v>
      </c>
      <c r="AA1148" s="250">
        <f t="shared" ca="1" si="125"/>
        <v>541.28289443844665</v>
      </c>
    </row>
    <row r="1149" spans="20:27" x14ac:dyDescent="0.3">
      <c r="T1149" s="254">
        <v>1137</v>
      </c>
      <c r="U1149" s="248">
        <f t="shared" si="120"/>
        <v>378.74149999999997</v>
      </c>
      <c r="V1149" s="248">
        <f t="shared" si="121"/>
        <v>24.391499999999997</v>
      </c>
      <c r="W1149" s="248">
        <f t="shared" si="122"/>
        <v>-399.26</v>
      </c>
      <c r="X1149" s="248">
        <f t="shared" si="123"/>
        <v>3.8729999999999905</v>
      </c>
      <c r="Y1149" s="248">
        <f t="shared" ca="1" si="119"/>
        <v>13.385727699892982</v>
      </c>
      <c r="Z1149" s="248">
        <f t="shared" ca="1" si="124"/>
        <v>5.4128289443844659</v>
      </c>
      <c r="AA1149" s="250">
        <f t="shared" ca="1" si="125"/>
        <v>541.28289443844665</v>
      </c>
    </row>
    <row r="1150" spans="20:27" x14ac:dyDescent="0.3">
      <c r="T1150" s="254">
        <v>1138</v>
      </c>
      <c r="U1150" s="248">
        <f t="shared" si="120"/>
        <v>379.74149999999997</v>
      </c>
      <c r="V1150" s="248">
        <f t="shared" si="121"/>
        <v>24.391499999999997</v>
      </c>
      <c r="W1150" s="248">
        <f t="shared" si="122"/>
        <v>-400.26</v>
      </c>
      <c r="X1150" s="248">
        <f t="shared" si="123"/>
        <v>3.8729999999999905</v>
      </c>
      <c r="Y1150" s="248">
        <f t="shared" ca="1" si="119"/>
        <v>13.385727699892982</v>
      </c>
      <c r="Z1150" s="248">
        <f t="shared" ca="1" si="124"/>
        <v>5.4128289443844659</v>
      </c>
      <c r="AA1150" s="250">
        <f t="shared" ca="1" si="125"/>
        <v>541.28289443844665</v>
      </c>
    </row>
    <row r="1151" spans="20:27" x14ac:dyDescent="0.3">
      <c r="T1151" s="254">
        <v>1139</v>
      </c>
      <c r="U1151" s="248">
        <f t="shared" si="120"/>
        <v>380.74149999999997</v>
      </c>
      <c r="V1151" s="248">
        <f t="shared" si="121"/>
        <v>24.391499999999997</v>
      </c>
      <c r="W1151" s="248">
        <f t="shared" si="122"/>
        <v>-401.26</v>
      </c>
      <c r="X1151" s="248">
        <f t="shared" si="123"/>
        <v>3.8729999999999905</v>
      </c>
      <c r="Y1151" s="248">
        <f t="shared" ca="1" si="119"/>
        <v>13.385727699892982</v>
      </c>
      <c r="Z1151" s="248">
        <f t="shared" ca="1" si="124"/>
        <v>5.4128289443844659</v>
      </c>
      <c r="AA1151" s="250">
        <f t="shared" ca="1" si="125"/>
        <v>541.28289443844665</v>
      </c>
    </row>
    <row r="1152" spans="20:27" x14ac:dyDescent="0.3">
      <c r="T1152" s="254">
        <v>1140</v>
      </c>
      <c r="U1152" s="248">
        <f t="shared" si="120"/>
        <v>381.74149999999997</v>
      </c>
      <c r="V1152" s="248">
        <f t="shared" si="121"/>
        <v>24.391499999999997</v>
      </c>
      <c r="W1152" s="248">
        <f t="shared" si="122"/>
        <v>-402.26</v>
      </c>
      <c r="X1152" s="248">
        <f t="shared" si="123"/>
        <v>3.8729999999999905</v>
      </c>
      <c r="Y1152" s="248">
        <f t="shared" ca="1" si="119"/>
        <v>13.385727699892982</v>
      </c>
      <c r="Z1152" s="248">
        <f t="shared" ca="1" si="124"/>
        <v>5.4128289443844659</v>
      </c>
      <c r="AA1152" s="250">
        <f t="shared" ca="1" si="125"/>
        <v>541.28289443844665</v>
      </c>
    </row>
    <row r="1153" spans="20:27" x14ac:dyDescent="0.3">
      <c r="T1153" s="254">
        <v>1141</v>
      </c>
      <c r="U1153" s="248">
        <f t="shared" si="120"/>
        <v>382.74149999999997</v>
      </c>
      <c r="V1153" s="248">
        <f t="shared" si="121"/>
        <v>24.391499999999997</v>
      </c>
      <c r="W1153" s="248">
        <f t="shared" si="122"/>
        <v>-403.26</v>
      </c>
      <c r="X1153" s="248">
        <f t="shared" si="123"/>
        <v>3.8729999999999905</v>
      </c>
      <c r="Y1153" s="248">
        <f t="shared" ca="1" si="119"/>
        <v>13.385727699892982</v>
      </c>
      <c r="Z1153" s="248">
        <f t="shared" ca="1" si="124"/>
        <v>5.4128289443844659</v>
      </c>
      <c r="AA1153" s="250">
        <f t="shared" ca="1" si="125"/>
        <v>541.28289443844665</v>
      </c>
    </row>
    <row r="1154" spans="20:27" x14ac:dyDescent="0.3">
      <c r="T1154" s="254">
        <v>1142</v>
      </c>
      <c r="U1154" s="248">
        <f t="shared" si="120"/>
        <v>383.74149999999997</v>
      </c>
      <c r="V1154" s="248">
        <f t="shared" si="121"/>
        <v>24.391499999999997</v>
      </c>
      <c r="W1154" s="248">
        <f t="shared" si="122"/>
        <v>-404.26</v>
      </c>
      <c r="X1154" s="248">
        <f t="shared" si="123"/>
        <v>3.8729999999999905</v>
      </c>
      <c r="Y1154" s="248">
        <f t="shared" ca="1" si="119"/>
        <v>13.385727699892982</v>
      </c>
      <c r="Z1154" s="248">
        <f t="shared" ca="1" si="124"/>
        <v>5.4128289443844659</v>
      </c>
      <c r="AA1154" s="250">
        <f t="shared" ca="1" si="125"/>
        <v>541.28289443844665</v>
      </c>
    </row>
    <row r="1155" spans="20:27" x14ac:dyDescent="0.3">
      <c r="T1155" s="254">
        <v>1143</v>
      </c>
      <c r="U1155" s="248">
        <f t="shared" si="120"/>
        <v>384.74149999999997</v>
      </c>
      <c r="V1155" s="248">
        <f t="shared" si="121"/>
        <v>24.391499999999997</v>
      </c>
      <c r="W1155" s="248">
        <f t="shared" si="122"/>
        <v>-405.26</v>
      </c>
      <c r="X1155" s="248">
        <f t="shared" si="123"/>
        <v>3.8729999999999905</v>
      </c>
      <c r="Y1155" s="248">
        <f t="shared" ca="1" si="119"/>
        <v>13.385727699892982</v>
      </c>
      <c r="Z1155" s="248">
        <f t="shared" ca="1" si="124"/>
        <v>5.4128289443844659</v>
      </c>
      <c r="AA1155" s="250">
        <f t="shared" ca="1" si="125"/>
        <v>541.28289443844665</v>
      </c>
    </row>
    <row r="1156" spans="20:27" x14ac:dyDescent="0.3">
      <c r="T1156" s="254">
        <v>1144</v>
      </c>
      <c r="U1156" s="248">
        <f t="shared" si="120"/>
        <v>385.74149999999997</v>
      </c>
      <c r="V1156" s="248">
        <f t="shared" si="121"/>
        <v>24.391499999999997</v>
      </c>
      <c r="W1156" s="248">
        <f t="shared" si="122"/>
        <v>-406.26</v>
      </c>
      <c r="X1156" s="248">
        <f t="shared" si="123"/>
        <v>3.8729999999999905</v>
      </c>
      <c r="Y1156" s="248">
        <f t="shared" ca="1" si="119"/>
        <v>13.385727699892982</v>
      </c>
      <c r="Z1156" s="248">
        <f t="shared" ca="1" si="124"/>
        <v>5.4128289443844659</v>
      </c>
      <c r="AA1156" s="250">
        <f t="shared" ca="1" si="125"/>
        <v>541.28289443844665</v>
      </c>
    </row>
    <row r="1157" spans="20:27" x14ac:dyDescent="0.3">
      <c r="T1157" s="254">
        <v>1145</v>
      </c>
      <c r="U1157" s="248">
        <f t="shared" si="120"/>
        <v>386.74149999999997</v>
      </c>
      <c r="V1157" s="248">
        <f t="shared" si="121"/>
        <v>24.391499999999997</v>
      </c>
      <c r="W1157" s="248">
        <f t="shared" si="122"/>
        <v>-407.26</v>
      </c>
      <c r="X1157" s="248">
        <f t="shared" si="123"/>
        <v>3.8729999999999905</v>
      </c>
      <c r="Y1157" s="248">
        <f t="shared" ca="1" si="119"/>
        <v>13.385727699892982</v>
      </c>
      <c r="Z1157" s="248">
        <f t="shared" ca="1" si="124"/>
        <v>5.4128289443844659</v>
      </c>
      <c r="AA1157" s="250">
        <f t="shared" ca="1" si="125"/>
        <v>541.28289443844665</v>
      </c>
    </row>
    <row r="1158" spans="20:27" x14ac:dyDescent="0.3">
      <c r="T1158" s="254">
        <v>1146</v>
      </c>
      <c r="U1158" s="248">
        <f t="shared" si="120"/>
        <v>387.74149999999997</v>
      </c>
      <c r="V1158" s="248">
        <f t="shared" si="121"/>
        <v>24.391499999999997</v>
      </c>
      <c r="W1158" s="248">
        <f t="shared" si="122"/>
        <v>-408.26</v>
      </c>
      <c r="X1158" s="248">
        <f t="shared" si="123"/>
        <v>3.8729999999999905</v>
      </c>
      <c r="Y1158" s="248">
        <f t="shared" ca="1" si="119"/>
        <v>13.385727699892982</v>
      </c>
      <c r="Z1158" s="248">
        <f t="shared" ca="1" si="124"/>
        <v>5.4128289443844659</v>
      </c>
      <c r="AA1158" s="250">
        <f t="shared" ca="1" si="125"/>
        <v>541.28289443844665</v>
      </c>
    </row>
    <row r="1159" spans="20:27" x14ac:dyDescent="0.3">
      <c r="T1159" s="254">
        <v>1147</v>
      </c>
      <c r="U1159" s="248">
        <f t="shared" si="120"/>
        <v>388.74149999999997</v>
      </c>
      <c r="V1159" s="248">
        <f t="shared" si="121"/>
        <v>24.391499999999997</v>
      </c>
      <c r="W1159" s="248">
        <f t="shared" si="122"/>
        <v>-409.26</v>
      </c>
      <c r="X1159" s="248">
        <f t="shared" si="123"/>
        <v>3.8729999999999905</v>
      </c>
      <c r="Y1159" s="248">
        <f t="shared" ca="1" si="119"/>
        <v>13.385727699892982</v>
      </c>
      <c r="Z1159" s="248">
        <f t="shared" ca="1" si="124"/>
        <v>5.4128289443844659</v>
      </c>
      <c r="AA1159" s="250">
        <f t="shared" ca="1" si="125"/>
        <v>541.28289443844665</v>
      </c>
    </row>
    <row r="1160" spans="20:27" x14ac:dyDescent="0.3">
      <c r="T1160" s="254">
        <v>1148</v>
      </c>
      <c r="U1160" s="248">
        <f t="shared" si="120"/>
        <v>389.74149999999997</v>
      </c>
      <c r="V1160" s="248">
        <f t="shared" si="121"/>
        <v>24.391499999999997</v>
      </c>
      <c r="W1160" s="248">
        <f t="shared" si="122"/>
        <v>-410.26</v>
      </c>
      <c r="X1160" s="248">
        <f t="shared" si="123"/>
        <v>3.8729999999999905</v>
      </c>
      <c r="Y1160" s="248">
        <f t="shared" ca="1" si="119"/>
        <v>13.385727699892982</v>
      </c>
      <c r="Z1160" s="248">
        <f t="shared" ca="1" si="124"/>
        <v>5.4128289443844659</v>
      </c>
      <c r="AA1160" s="250">
        <f t="shared" ca="1" si="125"/>
        <v>541.28289443844665</v>
      </c>
    </row>
    <row r="1161" spans="20:27" x14ac:dyDescent="0.3">
      <c r="T1161" s="254">
        <v>1149</v>
      </c>
      <c r="U1161" s="248">
        <f t="shared" si="120"/>
        <v>390.74149999999997</v>
      </c>
      <c r="V1161" s="248">
        <f t="shared" si="121"/>
        <v>24.391499999999997</v>
      </c>
      <c r="W1161" s="248">
        <f t="shared" si="122"/>
        <v>-411.26</v>
      </c>
      <c r="X1161" s="248">
        <f t="shared" si="123"/>
        <v>3.8729999999999905</v>
      </c>
      <c r="Y1161" s="248">
        <f t="shared" ca="1" si="119"/>
        <v>13.385727699892982</v>
      </c>
      <c r="Z1161" s="248">
        <f t="shared" ca="1" si="124"/>
        <v>5.4128289443844659</v>
      </c>
      <c r="AA1161" s="250">
        <f t="shared" ca="1" si="125"/>
        <v>541.28289443844665</v>
      </c>
    </row>
    <row r="1162" spans="20:27" x14ac:dyDescent="0.3">
      <c r="T1162" s="254">
        <v>1150</v>
      </c>
      <c r="U1162" s="248">
        <f t="shared" si="120"/>
        <v>391.74149999999997</v>
      </c>
      <c r="V1162" s="248">
        <f t="shared" si="121"/>
        <v>24.391499999999997</v>
      </c>
      <c r="W1162" s="248">
        <f t="shared" si="122"/>
        <v>-412.26</v>
      </c>
      <c r="X1162" s="248">
        <f t="shared" si="123"/>
        <v>3.8729999999999905</v>
      </c>
      <c r="Y1162" s="248">
        <f t="shared" ca="1" si="119"/>
        <v>13.385727699892982</v>
      </c>
      <c r="Z1162" s="248">
        <f t="shared" ca="1" si="124"/>
        <v>5.4128289443844659</v>
      </c>
      <c r="AA1162" s="250">
        <f t="shared" ca="1" si="125"/>
        <v>541.28289443844665</v>
      </c>
    </row>
    <row r="1163" spans="20:27" x14ac:dyDescent="0.3">
      <c r="T1163" s="254">
        <v>1151</v>
      </c>
      <c r="U1163" s="248">
        <f t="shared" si="120"/>
        <v>392.74149999999997</v>
      </c>
      <c r="V1163" s="248">
        <f t="shared" si="121"/>
        <v>24.391499999999997</v>
      </c>
      <c r="W1163" s="248">
        <f t="shared" si="122"/>
        <v>-413.26</v>
      </c>
      <c r="X1163" s="248">
        <f t="shared" si="123"/>
        <v>3.8729999999999905</v>
      </c>
      <c r="Y1163" s="248">
        <f t="shared" ca="1" si="119"/>
        <v>13.385727699892982</v>
      </c>
      <c r="Z1163" s="248">
        <f t="shared" ca="1" si="124"/>
        <v>5.4128289443844659</v>
      </c>
      <c r="AA1163" s="250">
        <f t="shared" ca="1" si="125"/>
        <v>541.28289443844665</v>
      </c>
    </row>
    <row r="1164" spans="20:27" x14ac:dyDescent="0.3">
      <c r="T1164" s="254">
        <v>1152</v>
      </c>
      <c r="U1164" s="248">
        <f t="shared" si="120"/>
        <v>393.74149999999997</v>
      </c>
      <c r="V1164" s="248">
        <f t="shared" si="121"/>
        <v>24.391499999999997</v>
      </c>
      <c r="W1164" s="248">
        <f t="shared" si="122"/>
        <v>-414.26</v>
      </c>
      <c r="X1164" s="248">
        <f t="shared" si="123"/>
        <v>3.8729999999999905</v>
      </c>
      <c r="Y1164" s="248">
        <f t="shared" ref="Y1164:Y1227" ca="1" si="126">$Y$10*EXP($Y$7*$C$6)-$Y$10</f>
        <v>13.385727699892982</v>
      </c>
      <c r="Z1164" s="248">
        <f t="shared" ca="1" si="124"/>
        <v>5.4128289443844659</v>
      </c>
      <c r="AA1164" s="250">
        <f t="shared" ca="1" si="125"/>
        <v>541.28289443844665</v>
      </c>
    </row>
    <row r="1165" spans="20:27" x14ac:dyDescent="0.3">
      <c r="T1165" s="254">
        <v>1153</v>
      </c>
      <c r="U1165" s="248">
        <f t="shared" ref="U1165:U1228" si="127">MAX(0,T1165-$U$9)-$U$10-$U$11/100</f>
        <v>394.74149999999997</v>
      </c>
      <c r="V1165" s="248">
        <f t="shared" ref="V1165:V1228" si="128">$V$10-MAX(0,$V$9-T1165)-$V$11/100</f>
        <v>24.391499999999997</v>
      </c>
      <c r="W1165" s="248">
        <f t="shared" ref="W1165:W1228" si="129">$W$10-T1165</f>
        <v>-415.26</v>
      </c>
      <c r="X1165" s="248">
        <f t="shared" ref="X1165:X1228" si="130">SUM(U1165:W1165)</f>
        <v>3.8729999999999905</v>
      </c>
      <c r="Y1165" s="248">
        <f t="shared" ca="1" si="126"/>
        <v>13.385727699892982</v>
      </c>
      <c r="Z1165" s="248">
        <f t="shared" ref="Z1165:Z1228" ca="1" si="131">EXP(-$E$3*$C$6)*SUM(X1165:Y1165)</f>
        <v>5.4128289443844659</v>
      </c>
      <c r="AA1165" s="250">
        <f t="shared" ref="AA1165:AA1228" ca="1" si="132">Z1165*100</f>
        <v>541.28289443844665</v>
      </c>
    </row>
    <row r="1166" spans="20:27" x14ac:dyDescent="0.3">
      <c r="T1166" s="254">
        <v>1154</v>
      </c>
      <c r="U1166" s="248">
        <f t="shared" si="127"/>
        <v>395.74149999999997</v>
      </c>
      <c r="V1166" s="248">
        <f t="shared" si="128"/>
        <v>24.391499999999997</v>
      </c>
      <c r="W1166" s="248">
        <f t="shared" si="129"/>
        <v>-416.26</v>
      </c>
      <c r="X1166" s="248">
        <f t="shared" si="130"/>
        <v>3.8729999999999905</v>
      </c>
      <c r="Y1166" s="248">
        <f t="shared" ca="1" si="126"/>
        <v>13.385727699892982</v>
      </c>
      <c r="Z1166" s="248">
        <f t="shared" ca="1" si="131"/>
        <v>5.4128289443844659</v>
      </c>
      <c r="AA1166" s="250">
        <f t="shared" ca="1" si="132"/>
        <v>541.28289443844665</v>
      </c>
    </row>
    <row r="1167" spans="20:27" x14ac:dyDescent="0.3">
      <c r="T1167" s="254">
        <v>1155</v>
      </c>
      <c r="U1167" s="248">
        <f t="shared" si="127"/>
        <v>396.74149999999997</v>
      </c>
      <c r="V1167" s="248">
        <f t="shared" si="128"/>
        <v>24.391499999999997</v>
      </c>
      <c r="W1167" s="248">
        <f t="shared" si="129"/>
        <v>-417.26</v>
      </c>
      <c r="X1167" s="248">
        <f t="shared" si="130"/>
        <v>3.8729999999999905</v>
      </c>
      <c r="Y1167" s="248">
        <f t="shared" ca="1" si="126"/>
        <v>13.385727699892982</v>
      </c>
      <c r="Z1167" s="248">
        <f t="shared" ca="1" si="131"/>
        <v>5.4128289443844659</v>
      </c>
      <c r="AA1167" s="250">
        <f t="shared" ca="1" si="132"/>
        <v>541.28289443844665</v>
      </c>
    </row>
    <row r="1168" spans="20:27" x14ac:dyDescent="0.3">
      <c r="T1168" s="254">
        <v>1156</v>
      </c>
      <c r="U1168" s="248">
        <f t="shared" si="127"/>
        <v>397.74149999999997</v>
      </c>
      <c r="V1168" s="248">
        <f t="shared" si="128"/>
        <v>24.391499999999997</v>
      </c>
      <c r="W1168" s="248">
        <f t="shared" si="129"/>
        <v>-418.26</v>
      </c>
      <c r="X1168" s="248">
        <f t="shared" si="130"/>
        <v>3.8729999999999905</v>
      </c>
      <c r="Y1168" s="248">
        <f t="shared" ca="1" si="126"/>
        <v>13.385727699892982</v>
      </c>
      <c r="Z1168" s="248">
        <f t="shared" ca="1" si="131"/>
        <v>5.4128289443844659</v>
      </c>
      <c r="AA1168" s="250">
        <f t="shared" ca="1" si="132"/>
        <v>541.28289443844665</v>
      </c>
    </row>
    <row r="1169" spans="20:27" x14ac:dyDescent="0.3">
      <c r="T1169" s="254">
        <v>1157</v>
      </c>
      <c r="U1169" s="248">
        <f t="shared" si="127"/>
        <v>398.74149999999997</v>
      </c>
      <c r="V1169" s="248">
        <f t="shared" si="128"/>
        <v>24.391499999999997</v>
      </c>
      <c r="W1169" s="248">
        <f t="shared" si="129"/>
        <v>-419.26</v>
      </c>
      <c r="X1169" s="248">
        <f t="shared" si="130"/>
        <v>3.8729999999999905</v>
      </c>
      <c r="Y1169" s="248">
        <f t="shared" ca="1" si="126"/>
        <v>13.385727699892982</v>
      </c>
      <c r="Z1169" s="248">
        <f t="shared" ca="1" si="131"/>
        <v>5.4128289443844659</v>
      </c>
      <c r="AA1169" s="250">
        <f t="shared" ca="1" si="132"/>
        <v>541.28289443844665</v>
      </c>
    </row>
    <row r="1170" spans="20:27" x14ac:dyDescent="0.3">
      <c r="T1170" s="254">
        <v>1158</v>
      </c>
      <c r="U1170" s="248">
        <f t="shared" si="127"/>
        <v>399.74149999999997</v>
      </c>
      <c r="V1170" s="248">
        <f t="shared" si="128"/>
        <v>24.391499999999997</v>
      </c>
      <c r="W1170" s="248">
        <f t="shared" si="129"/>
        <v>-420.26</v>
      </c>
      <c r="X1170" s="248">
        <f t="shared" si="130"/>
        <v>3.8729999999999905</v>
      </c>
      <c r="Y1170" s="248">
        <f t="shared" ca="1" si="126"/>
        <v>13.385727699892982</v>
      </c>
      <c r="Z1170" s="248">
        <f t="shared" ca="1" si="131"/>
        <v>5.4128289443844659</v>
      </c>
      <c r="AA1170" s="250">
        <f t="shared" ca="1" si="132"/>
        <v>541.28289443844665</v>
      </c>
    </row>
    <row r="1171" spans="20:27" x14ac:dyDescent="0.3">
      <c r="T1171" s="254">
        <v>1159</v>
      </c>
      <c r="U1171" s="248">
        <f t="shared" si="127"/>
        <v>400.74149999999997</v>
      </c>
      <c r="V1171" s="248">
        <f t="shared" si="128"/>
        <v>24.391499999999997</v>
      </c>
      <c r="W1171" s="248">
        <f t="shared" si="129"/>
        <v>-421.26</v>
      </c>
      <c r="X1171" s="248">
        <f t="shared" si="130"/>
        <v>3.8729999999999905</v>
      </c>
      <c r="Y1171" s="248">
        <f t="shared" ca="1" si="126"/>
        <v>13.385727699892982</v>
      </c>
      <c r="Z1171" s="248">
        <f t="shared" ca="1" si="131"/>
        <v>5.4128289443844659</v>
      </c>
      <c r="AA1171" s="250">
        <f t="shared" ca="1" si="132"/>
        <v>541.28289443844665</v>
      </c>
    </row>
    <row r="1172" spans="20:27" x14ac:dyDescent="0.3">
      <c r="T1172" s="254">
        <v>1160</v>
      </c>
      <c r="U1172" s="248">
        <f t="shared" si="127"/>
        <v>401.74149999999997</v>
      </c>
      <c r="V1172" s="248">
        <f t="shared" si="128"/>
        <v>24.391499999999997</v>
      </c>
      <c r="W1172" s="248">
        <f t="shared" si="129"/>
        <v>-422.26</v>
      </c>
      <c r="X1172" s="248">
        <f t="shared" si="130"/>
        <v>3.8729999999999905</v>
      </c>
      <c r="Y1172" s="248">
        <f t="shared" ca="1" si="126"/>
        <v>13.385727699892982</v>
      </c>
      <c r="Z1172" s="248">
        <f t="shared" ca="1" si="131"/>
        <v>5.4128289443844659</v>
      </c>
      <c r="AA1172" s="250">
        <f t="shared" ca="1" si="132"/>
        <v>541.28289443844665</v>
      </c>
    </row>
    <row r="1173" spans="20:27" x14ac:dyDescent="0.3">
      <c r="T1173" s="254">
        <v>1161</v>
      </c>
      <c r="U1173" s="248">
        <f t="shared" si="127"/>
        <v>402.74149999999997</v>
      </c>
      <c r="V1173" s="248">
        <f t="shared" si="128"/>
        <v>24.391499999999997</v>
      </c>
      <c r="W1173" s="248">
        <f t="shared" si="129"/>
        <v>-423.26</v>
      </c>
      <c r="X1173" s="248">
        <f t="shared" si="130"/>
        <v>3.8729999999999905</v>
      </c>
      <c r="Y1173" s="248">
        <f t="shared" ca="1" si="126"/>
        <v>13.385727699892982</v>
      </c>
      <c r="Z1173" s="248">
        <f t="shared" ca="1" si="131"/>
        <v>5.4128289443844659</v>
      </c>
      <c r="AA1173" s="250">
        <f t="shared" ca="1" si="132"/>
        <v>541.28289443844665</v>
      </c>
    </row>
    <row r="1174" spans="20:27" x14ac:dyDescent="0.3">
      <c r="T1174" s="254">
        <v>1162</v>
      </c>
      <c r="U1174" s="248">
        <f t="shared" si="127"/>
        <v>403.74149999999997</v>
      </c>
      <c r="V1174" s="248">
        <f t="shared" si="128"/>
        <v>24.391499999999997</v>
      </c>
      <c r="W1174" s="248">
        <f t="shared" si="129"/>
        <v>-424.26</v>
      </c>
      <c r="X1174" s="248">
        <f t="shared" si="130"/>
        <v>3.8729999999999905</v>
      </c>
      <c r="Y1174" s="248">
        <f t="shared" ca="1" si="126"/>
        <v>13.385727699892982</v>
      </c>
      <c r="Z1174" s="248">
        <f t="shared" ca="1" si="131"/>
        <v>5.4128289443844659</v>
      </c>
      <c r="AA1174" s="250">
        <f t="shared" ca="1" si="132"/>
        <v>541.28289443844665</v>
      </c>
    </row>
    <row r="1175" spans="20:27" x14ac:dyDescent="0.3">
      <c r="T1175" s="254">
        <v>1163</v>
      </c>
      <c r="U1175" s="248">
        <f t="shared" si="127"/>
        <v>404.74149999999997</v>
      </c>
      <c r="V1175" s="248">
        <f t="shared" si="128"/>
        <v>24.391499999999997</v>
      </c>
      <c r="W1175" s="248">
        <f t="shared" si="129"/>
        <v>-425.26</v>
      </c>
      <c r="X1175" s="248">
        <f t="shared" si="130"/>
        <v>3.8729999999999905</v>
      </c>
      <c r="Y1175" s="248">
        <f t="shared" ca="1" si="126"/>
        <v>13.385727699892982</v>
      </c>
      <c r="Z1175" s="248">
        <f t="shared" ca="1" si="131"/>
        <v>5.4128289443844659</v>
      </c>
      <c r="AA1175" s="250">
        <f t="shared" ca="1" si="132"/>
        <v>541.28289443844665</v>
      </c>
    </row>
    <row r="1176" spans="20:27" x14ac:dyDescent="0.3">
      <c r="T1176" s="254">
        <v>1164</v>
      </c>
      <c r="U1176" s="248">
        <f t="shared" si="127"/>
        <v>405.74149999999997</v>
      </c>
      <c r="V1176" s="248">
        <f t="shared" si="128"/>
        <v>24.391499999999997</v>
      </c>
      <c r="W1176" s="248">
        <f t="shared" si="129"/>
        <v>-426.26</v>
      </c>
      <c r="X1176" s="248">
        <f t="shared" si="130"/>
        <v>3.8729999999999905</v>
      </c>
      <c r="Y1176" s="248">
        <f t="shared" ca="1" si="126"/>
        <v>13.385727699892982</v>
      </c>
      <c r="Z1176" s="248">
        <f t="shared" ca="1" si="131"/>
        <v>5.4128289443844659</v>
      </c>
      <c r="AA1176" s="250">
        <f t="shared" ca="1" si="132"/>
        <v>541.28289443844665</v>
      </c>
    </row>
    <row r="1177" spans="20:27" x14ac:dyDescent="0.3">
      <c r="T1177" s="254">
        <v>1165</v>
      </c>
      <c r="U1177" s="248">
        <f t="shared" si="127"/>
        <v>406.74149999999997</v>
      </c>
      <c r="V1177" s="248">
        <f t="shared" si="128"/>
        <v>24.391499999999997</v>
      </c>
      <c r="W1177" s="248">
        <f t="shared" si="129"/>
        <v>-427.26</v>
      </c>
      <c r="X1177" s="248">
        <f t="shared" si="130"/>
        <v>3.8729999999999905</v>
      </c>
      <c r="Y1177" s="248">
        <f t="shared" ca="1" si="126"/>
        <v>13.385727699892982</v>
      </c>
      <c r="Z1177" s="248">
        <f t="shared" ca="1" si="131"/>
        <v>5.4128289443844659</v>
      </c>
      <c r="AA1177" s="250">
        <f t="shared" ca="1" si="132"/>
        <v>541.28289443844665</v>
      </c>
    </row>
    <row r="1178" spans="20:27" x14ac:dyDescent="0.3">
      <c r="T1178" s="254">
        <v>1166</v>
      </c>
      <c r="U1178" s="248">
        <f t="shared" si="127"/>
        <v>407.74149999999997</v>
      </c>
      <c r="V1178" s="248">
        <f t="shared" si="128"/>
        <v>24.391499999999997</v>
      </c>
      <c r="W1178" s="248">
        <f t="shared" si="129"/>
        <v>-428.26</v>
      </c>
      <c r="X1178" s="248">
        <f t="shared" si="130"/>
        <v>3.8729999999999905</v>
      </c>
      <c r="Y1178" s="248">
        <f t="shared" ca="1" si="126"/>
        <v>13.385727699892982</v>
      </c>
      <c r="Z1178" s="248">
        <f t="shared" ca="1" si="131"/>
        <v>5.4128289443844659</v>
      </c>
      <c r="AA1178" s="250">
        <f t="shared" ca="1" si="132"/>
        <v>541.28289443844665</v>
      </c>
    </row>
    <row r="1179" spans="20:27" x14ac:dyDescent="0.3">
      <c r="T1179" s="254">
        <v>1167</v>
      </c>
      <c r="U1179" s="248">
        <f t="shared" si="127"/>
        <v>408.74149999999997</v>
      </c>
      <c r="V1179" s="248">
        <f t="shared" si="128"/>
        <v>24.391499999999997</v>
      </c>
      <c r="W1179" s="248">
        <f t="shared" si="129"/>
        <v>-429.26</v>
      </c>
      <c r="X1179" s="248">
        <f t="shared" si="130"/>
        <v>3.8729999999999905</v>
      </c>
      <c r="Y1179" s="248">
        <f t="shared" ca="1" si="126"/>
        <v>13.385727699892982</v>
      </c>
      <c r="Z1179" s="248">
        <f t="shared" ca="1" si="131"/>
        <v>5.4128289443844659</v>
      </c>
      <c r="AA1179" s="250">
        <f t="shared" ca="1" si="132"/>
        <v>541.28289443844665</v>
      </c>
    </row>
    <row r="1180" spans="20:27" x14ac:dyDescent="0.3">
      <c r="T1180" s="254">
        <v>1168</v>
      </c>
      <c r="U1180" s="248">
        <f t="shared" si="127"/>
        <v>409.74149999999997</v>
      </c>
      <c r="V1180" s="248">
        <f t="shared" si="128"/>
        <v>24.391499999999997</v>
      </c>
      <c r="W1180" s="248">
        <f t="shared" si="129"/>
        <v>-430.26</v>
      </c>
      <c r="X1180" s="248">
        <f t="shared" si="130"/>
        <v>3.8729999999999905</v>
      </c>
      <c r="Y1180" s="248">
        <f t="shared" ca="1" si="126"/>
        <v>13.385727699892982</v>
      </c>
      <c r="Z1180" s="248">
        <f t="shared" ca="1" si="131"/>
        <v>5.4128289443844659</v>
      </c>
      <c r="AA1180" s="250">
        <f t="shared" ca="1" si="132"/>
        <v>541.28289443844665</v>
      </c>
    </row>
    <row r="1181" spans="20:27" x14ac:dyDescent="0.3">
      <c r="T1181" s="254">
        <v>1169</v>
      </c>
      <c r="U1181" s="248">
        <f t="shared" si="127"/>
        <v>410.74149999999997</v>
      </c>
      <c r="V1181" s="248">
        <f t="shared" si="128"/>
        <v>24.391499999999997</v>
      </c>
      <c r="W1181" s="248">
        <f t="shared" si="129"/>
        <v>-431.26</v>
      </c>
      <c r="X1181" s="248">
        <f t="shared" si="130"/>
        <v>3.8729999999999905</v>
      </c>
      <c r="Y1181" s="248">
        <f t="shared" ca="1" si="126"/>
        <v>13.385727699892982</v>
      </c>
      <c r="Z1181" s="248">
        <f t="shared" ca="1" si="131"/>
        <v>5.4128289443844659</v>
      </c>
      <c r="AA1181" s="250">
        <f t="shared" ca="1" si="132"/>
        <v>541.28289443844665</v>
      </c>
    </row>
    <row r="1182" spans="20:27" x14ac:dyDescent="0.3">
      <c r="T1182" s="254">
        <v>1170</v>
      </c>
      <c r="U1182" s="248">
        <f t="shared" si="127"/>
        <v>411.74149999999997</v>
      </c>
      <c r="V1182" s="248">
        <f t="shared" si="128"/>
        <v>24.391499999999997</v>
      </c>
      <c r="W1182" s="248">
        <f t="shared" si="129"/>
        <v>-432.26</v>
      </c>
      <c r="X1182" s="248">
        <f t="shared" si="130"/>
        <v>3.8729999999999905</v>
      </c>
      <c r="Y1182" s="248">
        <f t="shared" ca="1" si="126"/>
        <v>13.385727699892982</v>
      </c>
      <c r="Z1182" s="248">
        <f t="shared" ca="1" si="131"/>
        <v>5.4128289443844659</v>
      </c>
      <c r="AA1182" s="250">
        <f t="shared" ca="1" si="132"/>
        <v>541.28289443844665</v>
      </c>
    </row>
    <row r="1183" spans="20:27" x14ac:dyDescent="0.3">
      <c r="T1183" s="254">
        <v>1171</v>
      </c>
      <c r="U1183" s="248">
        <f t="shared" si="127"/>
        <v>412.74149999999997</v>
      </c>
      <c r="V1183" s="248">
        <f t="shared" si="128"/>
        <v>24.391499999999997</v>
      </c>
      <c r="W1183" s="248">
        <f t="shared" si="129"/>
        <v>-433.26</v>
      </c>
      <c r="X1183" s="248">
        <f t="shared" si="130"/>
        <v>3.8729999999999905</v>
      </c>
      <c r="Y1183" s="248">
        <f t="shared" ca="1" si="126"/>
        <v>13.385727699892982</v>
      </c>
      <c r="Z1183" s="248">
        <f t="shared" ca="1" si="131"/>
        <v>5.4128289443844659</v>
      </c>
      <c r="AA1183" s="250">
        <f t="shared" ca="1" si="132"/>
        <v>541.28289443844665</v>
      </c>
    </row>
    <row r="1184" spans="20:27" x14ac:dyDescent="0.3">
      <c r="T1184" s="254">
        <v>1172</v>
      </c>
      <c r="U1184" s="248">
        <f t="shared" si="127"/>
        <v>413.74149999999997</v>
      </c>
      <c r="V1184" s="248">
        <f t="shared" si="128"/>
        <v>24.391499999999997</v>
      </c>
      <c r="W1184" s="248">
        <f t="shared" si="129"/>
        <v>-434.26</v>
      </c>
      <c r="X1184" s="248">
        <f t="shared" si="130"/>
        <v>3.8729999999999905</v>
      </c>
      <c r="Y1184" s="248">
        <f t="shared" ca="1" si="126"/>
        <v>13.385727699892982</v>
      </c>
      <c r="Z1184" s="248">
        <f t="shared" ca="1" si="131"/>
        <v>5.4128289443844659</v>
      </c>
      <c r="AA1184" s="250">
        <f t="shared" ca="1" si="132"/>
        <v>541.28289443844665</v>
      </c>
    </row>
    <row r="1185" spans="20:27" x14ac:dyDescent="0.3">
      <c r="T1185" s="254">
        <v>1173</v>
      </c>
      <c r="U1185" s="248">
        <f t="shared" si="127"/>
        <v>414.74149999999997</v>
      </c>
      <c r="V1185" s="248">
        <f t="shared" si="128"/>
        <v>24.391499999999997</v>
      </c>
      <c r="W1185" s="248">
        <f t="shared" si="129"/>
        <v>-435.26</v>
      </c>
      <c r="X1185" s="248">
        <f t="shared" si="130"/>
        <v>3.8729999999999905</v>
      </c>
      <c r="Y1185" s="248">
        <f t="shared" ca="1" si="126"/>
        <v>13.385727699892982</v>
      </c>
      <c r="Z1185" s="248">
        <f t="shared" ca="1" si="131"/>
        <v>5.4128289443844659</v>
      </c>
      <c r="AA1185" s="250">
        <f t="shared" ca="1" si="132"/>
        <v>541.28289443844665</v>
      </c>
    </row>
    <row r="1186" spans="20:27" x14ac:dyDescent="0.3">
      <c r="T1186" s="254">
        <v>1174</v>
      </c>
      <c r="U1186" s="248">
        <f t="shared" si="127"/>
        <v>415.74149999999997</v>
      </c>
      <c r="V1186" s="248">
        <f t="shared" si="128"/>
        <v>24.391499999999997</v>
      </c>
      <c r="W1186" s="248">
        <f t="shared" si="129"/>
        <v>-436.26</v>
      </c>
      <c r="X1186" s="248">
        <f t="shared" si="130"/>
        <v>3.8729999999999905</v>
      </c>
      <c r="Y1186" s="248">
        <f t="shared" ca="1" si="126"/>
        <v>13.385727699892982</v>
      </c>
      <c r="Z1186" s="248">
        <f t="shared" ca="1" si="131"/>
        <v>5.4128289443844659</v>
      </c>
      <c r="AA1186" s="250">
        <f t="shared" ca="1" si="132"/>
        <v>541.28289443844665</v>
      </c>
    </row>
    <row r="1187" spans="20:27" x14ac:dyDescent="0.3">
      <c r="T1187" s="254">
        <v>1175</v>
      </c>
      <c r="U1187" s="248">
        <f t="shared" si="127"/>
        <v>416.74149999999997</v>
      </c>
      <c r="V1187" s="248">
        <f t="shared" si="128"/>
        <v>24.391499999999997</v>
      </c>
      <c r="W1187" s="248">
        <f t="shared" si="129"/>
        <v>-437.26</v>
      </c>
      <c r="X1187" s="248">
        <f t="shared" si="130"/>
        <v>3.8729999999999905</v>
      </c>
      <c r="Y1187" s="248">
        <f t="shared" ca="1" si="126"/>
        <v>13.385727699892982</v>
      </c>
      <c r="Z1187" s="248">
        <f t="shared" ca="1" si="131"/>
        <v>5.4128289443844659</v>
      </c>
      <c r="AA1187" s="250">
        <f t="shared" ca="1" si="132"/>
        <v>541.28289443844665</v>
      </c>
    </row>
    <row r="1188" spans="20:27" x14ac:dyDescent="0.3">
      <c r="T1188" s="254">
        <v>1176</v>
      </c>
      <c r="U1188" s="248">
        <f t="shared" si="127"/>
        <v>417.74149999999997</v>
      </c>
      <c r="V1188" s="248">
        <f t="shared" si="128"/>
        <v>24.391499999999997</v>
      </c>
      <c r="W1188" s="248">
        <f t="shared" si="129"/>
        <v>-438.26</v>
      </c>
      <c r="X1188" s="248">
        <f t="shared" si="130"/>
        <v>3.8729999999999905</v>
      </c>
      <c r="Y1188" s="248">
        <f t="shared" ca="1" si="126"/>
        <v>13.385727699892982</v>
      </c>
      <c r="Z1188" s="248">
        <f t="shared" ca="1" si="131"/>
        <v>5.4128289443844659</v>
      </c>
      <c r="AA1188" s="250">
        <f t="shared" ca="1" si="132"/>
        <v>541.28289443844665</v>
      </c>
    </row>
    <row r="1189" spans="20:27" x14ac:dyDescent="0.3">
      <c r="T1189" s="254">
        <v>1177</v>
      </c>
      <c r="U1189" s="248">
        <f t="shared" si="127"/>
        <v>418.74149999999997</v>
      </c>
      <c r="V1189" s="248">
        <f t="shared" si="128"/>
        <v>24.391499999999997</v>
      </c>
      <c r="W1189" s="248">
        <f t="shared" si="129"/>
        <v>-439.26</v>
      </c>
      <c r="X1189" s="248">
        <f t="shared" si="130"/>
        <v>3.8729999999999905</v>
      </c>
      <c r="Y1189" s="248">
        <f t="shared" ca="1" si="126"/>
        <v>13.385727699892982</v>
      </c>
      <c r="Z1189" s="248">
        <f t="shared" ca="1" si="131"/>
        <v>5.4128289443844659</v>
      </c>
      <c r="AA1189" s="250">
        <f t="shared" ca="1" si="132"/>
        <v>541.28289443844665</v>
      </c>
    </row>
    <row r="1190" spans="20:27" x14ac:dyDescent="0.3">
      <c r="T1190" s="254">
        <v>1178</v>
      </c>
      <c r="U1190" s="248">
        <f t="shared" si="127"/>
        <v>419.74149999999997</v>
      </c>
      <c r="V1190" s="248">
        <f t="shared" si="128"/>
        <v>24.391499999999997</v>
      </c>
      <c r="W1190" s="248">
        <f t="shared" si="129"/>
        <v>-440.26</v>
      </c>
      <c r="X1190" s="248">
        <f t="shared" si="130"/>
        <v>3.8729999999999905</v>
      </c>
      <c r="Y1190" s="248">
        <f t="shared" ca="1" si="126"/>
        <v>13.385727699892982</v>
      </c>
      <c r="Z1190" s="248">
        <f t="shared" ca="1" si="131"/>
        <v>5.4128289443844659</v>
      </c>
      <c r="AA1190" s="250">
        <f t="shared" ca="1" si="132"/>
        <v>541.28289443844665</v>
      </c>
    </row>
    <row r="1191" spans="20:27" x14ac:dyDescent="0.3">
      <c r="T1191" s="254">
        <v>1179</v>
      </c>
      <c r="U1191" s="248">
        <f t="shared" si="127"/>
        <v>420.74149999999997</v>
      </c>
      <c r="V1191" s="248">
        <f t="shared" si="128"/>
        <v>24.391499999999997</v>
      </c>
      <c r="W1191" s="248">
        <f t="shared" si="129"/>
        <v>-441.26</v>
      </c>
      <c r="X1191" s="248">
        <f t="shared" si="130"/>
        <v>3.8729999999999905</v>
      </c>
      <c r="Y1191" s="248">
        <f t="shared" ca="1" si="126"/>
        <v>13.385727699892982</v>
      </c>
      <c r="Z1191" s="248">
        <f t="shared" ca="1" si="131"/>
        <v>5.4128289443844659</v>
      </c>
      <c r="AA1191" s="250">
        <f t="shared" ca="1" si="132"/>
        <v>541.28289443844665</v>
      </c>
    </row>
    <row r="1192" spans="20:27" x14ac:dyDescent="0.3">
      <c r="T1192" s="254">
        <v>1180</v>
      </c>
      <c r="U1192" s="248">
        <f t="shared" si="127"/>
        <v>421.74149999999997</v>
      </c>
      <c r="V1192" s="248">
        <f t="shared" si="128"/>
        <v>24.391499999999997</v>
      </c>
      <c r="W1192" s="248">
        <f t="shared" si="129"/>
        <v>-442.26</v>
      </c>
      <c r="X1192" s="248">
        <f t="shared" si="130"/>
        <v>3.8729999999999905</v>
      </c>
      <c r="Y1192" s="248">
        <f t="shared" ca="1" si="126"/>
        <v>13.385727699892982</v>
      </c>
      <c r="Z1192" s="248">
        <f t="shared" ca="1" si="131"/>
        <v>5.4128289443844659</v>
      </c>
      <c r="AA1192" s="250">
        <f t="shared" ca="1" si="132"/>
        <v>541.28289443844665</v>
      </c>
    </row>
    <row r="1193" spans="20:27" x14ac:dyDescent="0.3">
      <c r="T1193" s="254">
        <v>1181</v>
      </c>
      <c r="U1193" s="248">
        <f t="shared" si="127"/>
        <v>422.74149999999997</v>
      </c>
      <c r="V1193" s="248">
        <f t="shared" si="128"/>
        <v>24.391499999999997</v>
      </c>
      <c r="W1193" s="248">
        <f t="shared" si="129"/>
        <v>-443.26</v>
      </c>
      <c r="X1193" s="248">
        <f t="shared" si="130"/>
        <v>3.8729999999999905</v>
      </c>
      <c r="Y1193" s="248">
        <f t="shared" ca="1" si="126"/>
        <v>13.385727699892982</v>
      </c>
      <c r="Z1193" s="248">
        <f t="shared" ca="1" si="131"/>
        <v>5.4128289443844659</v>
      </c>
      <c r="AA1193" s="250">
        <f t="shared" ca="1" si="132"/>
        <v>541.28289443844665</v>
      </c>
    </row>
    <row r="1194" spans="20:27" x14ac:dyDescent="0.3">
      <c r="T1194" s="254">
        <v>1182</v>
      </c>
      <c r="U1194" s="248">
        <f t="shared" si="127"/>
        <v>423.74149999999997</v>
      </c>
      <c r="V1194" s="248">
        <f t="shared" si="128"/>
        <v>24.391499999999997</v>
      </c>
      <c r="W1194" s="248">
        <f t="shared" si="129"/>
        <v>-444.26</v>
      </c>
      <c r="X1194" s="248">
        <f t="shared" si="130"/>
        <v>3.8729999999999905</v>
      </c>
      <c r="Y1194" s="248">
        <f t="shared" ca="1" si="126"/>
        <v>13.385727699892982</v>
      </c>
      <c r="Z1194" s="248">
        <f t="shared" ca="1" si="131"/>
        <v>5.4128289443844659</v>
      </c>
      <c r="AA1194" s="250">
        <f t="shared" ca="1" si="132"/>
        <v>541.28289443844665</v>
      </c>
    </row>
    <row r="1195" spans="20:27" x14ac:dyDescent="0.3">
      <c r="T1195" s="254">
        <v>1183</v>
      </c>
      <c r="U1195" s="248">
        <f t="shared" si="127"/>
        <v>424.74149999999997</v>
      </c>
      <c r="V1195" s="248">
        <f t="shared" si="128"/>
        <v>24.391499999999997</v>
      </c>
      <c r="W1195" s="248">
        <f t="shared" si="129"/>
        <v>-445.26</v>
      </c>
      <c r="X1195" s="248">
        <f t="shared" si="130"/>
        <v>3.8729999999999905</v>
      </c>
      <c r="Y1195" s="248">
        <f t="shared" ca="1" si="126"/>
        <v>13.385727699892982</v>
      </c>
      <c r="Z1195" s="248">
        <f t="shared" ca="1" si="131"/>
        <v>5.4128289443844659</v>
      </c>
      <c r="AA1195" s="250">
        <f t="shared" ca="1" si="132"/>
        <v>541.28289443844665</v>
      </c>
    </row>
    <row r="1196" spans="20:27" x14ac:dyDescent="0.3">
      <c r="T1196" s="254">
        <v>1184</v>
      </c>
      <c r="U1196" s="248">
        <f t="shared" si="127"/>
        <v>425.74149999999997</v>
      </c>
      <c r="V1196" s="248">
        <f t="shared" si="128"/>
        <v>24.391499999999997</v>
      </c>
      <c r="W1196" s="248">
        <f t="shared" si="129"/>
        <v>-446.26</v>
      </c>
      <c r="X1196" s="248">
        <f t="shared" si="130"/>
        <v>3.8729999999999905</v>
      </c>
      <c r="Y1196" s="248">
        <f t="shared" ca="1" si="126"/>
        <v>13.385727699892982</v>
      </c>
      <c r="Z1196" s="248">
        <f t="shared" ca="1" si="131"/>
        <v>5.4128289443844659</v>
      </c>
      <c r="AA1196" s="250">
        <f t="shared" ca="1" si="132"/>
        <v>541.28289443844665</v>
      </c>
    </row>
    <row r="1197" spans="20:27" x14ac:dyDescent="0.3">
      <c r="T1197" s="254">
        <v>1185</v>
      </c>
      <c r="U1197" s="248">
        <f t="shared" si="127"/>
        <v>426.74149999999997</v>
      </c>
      <c r="V1197" s="248">
        <f t="shared" si="128"/>
        <v>24.391499999999997</v>
      </c>
      <c r="W1197" s="248">
        <f t="shared" si="129"/>
        <v>-447.26</v>
      </c>
      <c r="X1197" s="248">
        <f t="shared" si="130"/>
        <v>3.8729999999999905</v>
      </c>
      <c r="Y1197" s="248">
        <f t="shared" ca="1" si="126"/>
        <v>13.385727699892982</v>
      </c>
      <c r="Z1197" s="248">
        <f t="shared" ca="1" si="131"/>
        <v>5.4128289443844659</v>
      </c>
      <c r="AA1197" s="250">
        <f t="shared" ca="1" si="132"/>
        <v>541.28289443844665</v>
      </c>
    </row>
    <row r="1198" spans="20:27" x14ac:dyDescent="0.3">
      <c r="T1198" s="254">
        <v>1186</v>
      </c>
      <c r="U1198" s="248">
        <f t="shared" si="127"/>
        <v>427.74149999999997</v>
      </c>
      <c r="V1198" s="248">
        <f t="shared" si="128"/>
        <v>24.391499999999997</v>
      </c>
      <c r="W1198" s="248">
        <f t="shared" si="129"/>
        <v>-448.26</v>
      </c>
      <c r="X1198" s="248">
        <f t="shared" si="130"/>
        <v>3.8729999999999905</v>
      </c>
      <c r="Y1198" s="248">
        <f t="shared" ca="1" si="126"/>
        <v>13.385727699892982</v>
      </c>
      <c r="Z1198" s="248">
        <f t="shared" ca="1" si="131"/>
        <v>5.4128289443844659</v>
      </c>
      <c r="AA1198" s="250">
        <f t="shared" ca="1" si="132"/>
        <v>541.28289443844665</v>
      </c>
    </row>
    <row r="1199" spans="20:27" x14ac:dyDescent="0.3">
      <c r="T1199" s="254">
        <v>1187</v>
      </c>
      <c r="U1199" s="248">
        <f t="shared" si="127"/>
        <v>428.74149999999997</v>
      </c>
      <c r="V1199" s="248">
        <f t="shared" si="128"/>
        <v>24.391499999999997</v>
      </c>
      <c r="W1199" s="248">
        <f t="shared" si="129"/>
        <v>-449.26</v>
      </c>
      <c r="X1199" s="248">
        <f t="shared" si="130"/>
        <v>3.8729999999999905</v>
      </c>
      <c r="Y1199" s="248">
        <f t="shared" ca="1" si="126"/>
        <v>13.385727699892982</v>
      </c>
      <c r="Z1199" s="248">
        <f t="shared" ca="1" si="131"/>
        <v>5.4128289443844659</v>
      </c>
      <c r="AA1199" s="250">
        <f t="shared" ca="1" si="132"/>
        <v>541.28289443844665</v>
      </c>
    </row>
    <row r="1200" spans="20:27" x14ac:dyDescent="0.3">
      <c r="T1200" s="254">
        <v>1188</v>
      </c>
      <c r="U1200" s="248">
        <f t="shared" si="127"/>
        <v>429.74149999999997</v>
      </c>
      <c r="V1200" s="248">
        <f t="shared" si="128"/>
        <v>24.391499999999997</v>
      </c>
      <c r="W1200" s="248">
        <f t="shared" si="129"/>
        <v>-450.26</v>
      </c>
      <c r="X1200" s="248">
        <f t="shared" si="130"/>
        <v>3.8729999999999905</v>
      </c>
      <c r="Y1200" s="248">
        <f t="shared" ca="1" si="126"/>
        <v>13.385727699892982</v>
      </c>
      <c r="Z1200" s="248">
        <f t="shared" ca="1" si="131"/>
        <v>5.4128289443844659</v>
      </c>
      <c r="AA1200" s="250">
        <f t="shared" ca="1" si="132"/>
        <v>541.28289443844665</v>
      </c>
    </row>
    <row r="1201" spans="20:27" x14ac:dyDescent="0.3">
      <c r="T1201" s="254">
        <v>1189</v>
      </c>
      <c r="U1201" s="248">
        <f t="shared" si="127"/>
        <v>430.74149999999997</v>
      </c>
      <c r="V1201" s="248">
        <f t="shared" si="128"/>
        <v>24.391499999999997</v>
      </c>
      <c r="W1201" s="248">
        <f t="shared" si="129"/>
        <v>-451.26</v>
      </c>
      <c r="X1201" s="248">
        <f t="shared" si="130"/>
        <v>3.8729999999999905</v>
      </c>
      <c r="Y1201" s="248">
        <f t="shared" ca="1" si="126"/>
        <v>13.385727699892982</v>
      </c>
      <c r="Z1201" s="248">
        <f t="shared" ca="1" si="131"/>
        <v>5.4128289443844659</v>
      </c>
      <c r="AA1201" s="250">
        <f t="shared" ca="1" si="132"/>
        <v>541.28289443844665</v>
      </c>
    </row>
    <row r="1202" spans="20:27" x14ac:dyDescent="0.3">
      <c r="T1202" s="254">
        <v>1190</v>
      </c>
      <c r="U1202" s="248">
        <f t="shared" si="127"/>
        <v>431.74149999999997</v>
      </c>
      <c r="V1202" s="248">
        <f t="shared" si="128"/>
        <v>24.391499999999997</v>
      </c>
      <c r="W1202" s="248">
        <f t="shared" si="129"/>
        <v>-452.26</v>
      </c>
      <c r="X1202" s="248">
        <f t="shared" si="130"/>
        <v>3.8729999999999905</v>
      </c>
      <c r="Y1202" s="248">
        <f t="shared" ca="1" si="126"/>
        <v>13.385727699892982</v>
      </c>
      <c r="Z1202" s="248">
        <f t="shared" ca="1" si="131"/>
        <v>5.4128289443844659</v>
      </c>
      <c r="AA1202" s="250">
        <f t="shared" ca="1" si="132"/>
        <v>541.28289443844665</v>
      </c>
    </row>
    <row r="1203" spans="20:27" x14ac:dyDescent="0.3">
      <c r="T1203" s="254">
        <v>1191</v>
      </c>
      <c r="U1203" s="248">
        <f t="shared" si="127"/>
        <v>432.74149999999997</v>
      </c>
      <c r="V1203" s="248">
        <f t="shared" si="128"/>
        <v>24.391499999999997</v>
      </c>
      <c r="W1203" s="248">
        <f t="shared" si="129"/>
        <v>-453.26</v>
      </c>
      <c r="X1203" s="248">
        <f t="shared" si="130"/>
        <v>3.8729999999999905</v>
      </c>
      <c r="Y1203" s="248">
        <f t="shared" ca="1" si="126"/>
        <v>13.385727699892982</v>
      </c>
      <c r="Z1203" s="248">
        <f t="shared" ca="1" si="131"/>
        <v>5.4128289443844659</v>
      </c>
      <c r="AA1203" s="250">
        <f t="shared" ca="1" si="132"/>
        <v>541.28289443844665</v>
      </c>
    </row>
    <row r="1204" spans="20:27" x14ac:dyDescent="0.3">
      <c r="T1204" s="254">
        <v>1192</v>
      </c>
      <c r="U1204" s="248">
        <f t="shared" si="127"/>
        <v>433.74149999999997</v>
      </c>
      <c r="V1204" s="248">
        <f t="shared" si="128"/>
        <v>24.391499999999997</v>
      </c>
      <c r="W1204" s="248">
        <f t="shared" si="129"/>
        <v>-454.26</v>
      </c>
      <c r="X1204" s="248">
        <f t="shared" si="130"/>
        <v>3.8729999999999905</v>
      </c>
      <c r="Y1204" s="248">
        <f t="shared" ca="1" si="126"/>
        <v>13.385727699892982</v>
      </c>
      <c r="Z1204" s="248">
        <f t="shared" ca="1" si="131"/>
        <v>5.4128289443844659</v>
      </c>
      <c r="AA1204" s="250">
        <f t="shared" ca="1" si="132"/>
        <v>541.28289443844665</v>
      </c>
    </row>
    <row r="1205" spans="20:27" x14ac:dyDescent="0.3">
      <c r="T1205" s="254">
        <v>1193</v>
      </c>
      <c r="U1205" s="248">
        <f t="shared" si="127"/>
        <v>434.74149999999997</v>
      </c>
      <c r="V1205" s="248">
        <f t="shared" si="128"/>
        <v>24.391499999999997</v>
      </c>
      <c r="W1205" s="248">
        <f t="shared" si="129"/>
        <v>-455.26</v>
      </c>
      <c r="X1205" s="248">
        <f t="shared" si="130"/>
        <v>3.8729999999999905</v>
      </c>
      <c r="Y1205" s="248">
        <f t="shared" ca="1" si="126"/>
        <v>13.385727699892982</v>
      </c>
      <c r="Z1205" s="248">
        <f t="shared" ca="1" si="131"/>
        <v>5.4128289443844659</v>
      </c>
      <c r="AA1205" s="250">
        <f t="shared" ca="1" si="132"/>
        <v>541.28289443844665</v>
      </c>
    </row>
    <row r="1206" spans="20:27" x14ac:dyDescent="0.3">
      <c r="T1206" s="254">
        <v>1194</v>
      </c>
      <c r="U1206" s="248">
        <f t="shared" si="127"/>
        <v>435.74149999999997</v>
      </c>
      <c r="V1206" s="248">
        <f t="shared" si="128"/>
        <v>24.391499999999997</v>
      </c>
      <c r="W1206" s="248">
        <f t="shared" si="129"/>
        <v>-456.26</v>
      </c>
      <c r="X1206" s="248">
        <f t="shared" si="130"/>
        <v>3.8729999999999905</v>
      </c>
      <c r="Y1206" s="248">
        <f t="shared" ca="1" si="126"/>
        <v>13.385727699892982</v>
      </c>
      <c r="Z1206" s="248">
        <f t="shared" ca="1" si="131"/>
        <v>5.4128289443844659</v>
      </c>
      <c r="AA1206" s="250">
        <f t="shared" ca="1" si="132"/>
        <v>541.28289443844665</v>
      </c>
    </row>
    <row r="1207" spans="20:27" x14ac:dyDescent="0.3">
      <c r="T1207" s="254">
        <v>1195</v>
      </c>
      <c r="U1207" s="248">
        <f t="shared" si="127"/>
        <v>436.74149999999997</v>
      </c>
      <c r="V1207" s="248">
        <f t="shared" si="128"/>
        <v>24.391499999999997</v>
      </c>
      <c r="W1207" s="248">
        <f t="shared" si="129"/>
        <v>-457.26</v>
      </c>
      <c r="X1207" s="248">
        <f t="shared" si="130"/>
        <v>3.8729999999999905</v>
      </c>
      <c r="Y1207" s="248">
        <f t="shared" ca="1" si="126"/>
        <v>13.385727699892982</v>
      </c>
      <c r="Z1207" s="248">
        <f t="shared" ca="1" si="131"/>
        <v>5.4128289443844659</v>
      </c>
      <c r="AA1207" s="250">
        <f t="shared" ca="1" si="132"/>
        <v>541.28289443844665</v>
      </c>
    </row>
    <row r="1208" spans="20:27" x14ac:dyDescent="0.3">
      <c r="T1208" s="254">
        <v>1196</v>
      </c>
      <c r="U1208" s="248">
        <f t="shared" si="127"/>
        <v>437.74149999999997</v>
      </c>
      <c r="V1208" s="248">
        <f t="shared" si="128"/>
        <v>24.391499999999997</v>
      </c>
      <c r="W1208" s="248">
        <f t="shared" si="129"/>
        <v>-458.26</v>
      </c>
      <c r="X1208" s="248">
        <f t="shared" si="130"/>
        <v>3.8729999999999905</v>
      </c>
      <c r="Y1208" s="248">
        <f t="shared" ca="1" si="126"/>
        <v>13.385727699892982</v>
      </c>
      <c r="Z1208" s="248">
        <f t="shared" ca="1" si="131"/>
        <v>5.4128289443844659</v>
      </c>
      <c r="AA1208" s="250">
        <f t="shared" ca="1" si="132"/>
        <v>541.28289443844665</v>
      </c>
    </row>
    <row r="1209" spans="20:27" x14ac:dyDescent="0.3">
      <c r="T1209" s="254">
        <v>1197</v>
      </c>
      <c r="U1209" s="248">
        <f t="shared" si="127"/>
        <v>438.74149999999997</v>
      </c>
      <c r="V1209" s="248">
        <f t="shared" si="128"/>
        <v>24.391499999999997</v>
      </c>
      <c r="W1209" s="248">
        <f t="shared" si="129"/>
        <v>-459.26</v>
      </c>
      <c r="X1209" s="248">
        <f t="shared" si="130"/>
        <v>3.8729999999999905</v>
      </c>
      <c r="Y1209" s="248">
        <f t="shared" ca="1" si="126"/>
        <v>13.385727699892982</v>
      </c>
      <c r="Z1209" s="248">
        <f t="shared" ca="1" si="131"/>
        <v>5.4128289443844659</v>
      </c>
      <c r="AA1209" s="250">
        <f t="shared" ca="1" si="132"/>
        <v>541.28289443844665</v>
      </c>
    </row>
    <row r="1210" spans="20:27" x14ac:dyDescent="0.3">
      <c r="T1210" s="254">
        <v>1198</v>
      </c>
      <c r="U1210" s="248">
        <f t="shared" si="127"/>
        <v>439.74149999999997</v>
      </c>
      <c r="V1210" s="248">
        <f t="shared" si="128"/>
        <v>24.391499999999997</v>
      </c>
      <c r="W1210" s="248">
        <f t="shared" si="129"/>
        <v>-460.26</v>
      </c>
      <c r="X1210" s="248">
        <f t="shared" si="130"/>
        <v>3.8729999999999905</v>
      </c>
      <c r="Y1210" s="248">
        <f t="shared" ca="1" si="126"/>
        <v>13.385727699892982</v>
      </c>
      <c r="Z1210" s="248">
        <f t="shared" ca="1" si="131"/>
        <v>5.4128289443844659</v>
      </c>
      <c r="AA1210" s="250">
        <f t="shared" ca="1" si="132"/>
        <v>541.28289443844665</v>
      </c>
    </row>
    <row r="1211" spans="20:27" x14ac:dyDescent="0.3">
      <c r="T1211" s="254">
        <v>1199</v>
      </c>
      <c r="U1211" s="248">
        <f t="shared" si="127"/>
        <v>440.74149999999997</v>
      </c>
      <c r="V1211" s="248">
        <f t="shared" si="128"/>
        <v>24.391499999999997</v>
      </c>
      <c r="W1211" s="248">
        <f t="shared" si="129"/>
        <v>-461.26</v>
      </c>
      <c r="X1211" s="248">
        <f t="shared" si="130"/>
        <v>3.8729999999999905</v>
      </c>
      <c r="Y1211" s="248">
        <f t="shared" ca="1" si="126"/>
        <v>13.385727699892982</v>
      </c>
      <c r="Z1211" s="248">
        <f t="shared" ca="1" si="131"/>
        <v>5.4128289443844659</v>
      </c>
      <c r="AA1211" s="250">
        <f t="shared" ca="1" si="132"/>
        <v>541.28289443844665</v>
      </c>
    </row>
    <row r="1212" spans="20:27" x14ac:dyDescent="0.3">
      <c r="T1212" s="254">
        <v>1200</v>
      </c>
      <c r="U1212" s="248">
        <f t="shared" si="127"/>
        <v>441.74149999999997</v>
      </c>
      <c r="V1212" s="248">
        <f t="shared" si="128"/>
        <v>24.391499999999997</v>
      </c>
      <c r="W1212" s="248">
        <f t="shared" si="129"/>
        <v>-462.26</v>
      </c>
      <c r="X1212" s="248">
        <f t="shared" si="130"/>
        <v>3.8729999999999905</v>
      </c>
      <c r="Y1212" s="248">
        <f t="shared" ca="1" si="126"/>
        <v>13.385727699892982</v>
      </c>
      <c r="Z1212" s="248">
        <f t="shared" ca="1" si="131"/>
        <v>5.4128289443844659</v>
      </c>
      <c r="AA1212" s="250">
        <f t="shared" ca="1" si="132"/>
        <v>541.28289443844665</v>
      </c>
    </row>
    <row r="1213" spans="20:27" x14ac:dyDescent="0.3">
      <c r="T1213" s="254">
        <v>1201</v>
      </c>
      <c r="U1213" s="248">
        <f t="shared" si="127"/>
        <v>442.74149999999997</v>
      </c>
      <c r="V1213" s="248">
        <f t="shared" si="128"/>
        <v>24.391499999999997</v>
      </c>
      <c r="W1213" s="248">
        <f t="shared" si="129"/>
        <v>-463.26</v>
      </c>
      <c r="X1213" s="248">
        <f t="shared" si="130"/>
        <v>3.8729999999999905</v>
      </c>
      <c r="Y1213" s="248">
        <f t="shared" ca="1" si="126"/>
        <v>13.385727699892982</v>
      </c>
      <c r="Z1213" s="248">
        <f t="shared" ca="1" si="131"/>
        <v>5.4128289443844659</v>
      </c>
      <c r="AA1213" s="250">
        <f t="shared" ca="1" si="132"/>
        <v>541.28289443844665</v>
      </c>
    </row>
    <row r="1214" spans="20:27" x14ac:dyDescent="0.3">
      <c r="T1214" s="254">
        <v>1202</v>
      </c>
      <c r="U1214" s="248">
        <f t="shared" si="127"/>
        <v>443.74149999999997</v>
      </c>
      <c r="V1214" s="248">
        <f t="shared" si="128"/>
        <v>24.391499999999997</v>
      </c>
      <c r="W1214" s="248">
        <f t="shared" si="129"/>
        <v>-464.26</v>
      </c>
      <c r="X1214" s="248">
        <f t="shared" si="130"/>
        <v>3.8729999999999905</v>
      </c>
      <c r="Y1214" s="248">
        <f t="shared" ca="1" si="126"/>
        <v>13.385727699892982</v>
      </c>
      <c r="Z1214" s="248">
        <f t="shared" ca="1" si="131"/>
        <v>5.4128289443844659</v>
      </c>
      <c r="AA1214" s="250">
        <f t="shared" ca="1" si="132"/>
        <v>541.28289443844665</v>
      </c>
    </row>
    <row r="1215" spans="20:27" x14ac:dyDescent="0.3">
      <c r="T1215" s="254">
        <v>1203</v>
      </c>
      <c r="U1215" s="248">
        <f t="shared" si="127"/>
        <v>444.74149999999997</v>
      </c>
      <c r="V1215" s="248">
        <f t="shared" si="128"/>
        <v>24.391499999999997</v>
      </c>
      <c r="W1215" s="248">
        <f t="shared" si="129"/>
        <v>-465.26</v>
      </c>
      <c r="X1215" s="248">
        <f t="shared" si="130"/>
        <v>3.8729999999999905</v>
      </c>
      <c r="Y1215" s="248">
        <f t="shared" ca="1" si="126"/>
        <v>13.385727699892982</v>
      </c>
      <c r="Z1215" s="248">
        <f t="shared" ca="1" si="131"/>
        <v>5.4128289443844659</v>
      </c>
      <c r="AA1215" s="250">
        <f t="shared" ca="1" si="132"/>
        <v>541.28289443844665</v>
      </c>
    </row>
    <row r="1216" spans="20:27" x14ac:dyDescent="0.3">
      <c r="T1216" s="254">
        <v>1204</v>
      </c>
      <c r="U1216" s="248">
        <f t="shared" si="127"/>
        <v>445.74149999999997</v>
      </c>
      <c r="V1216" s="248">
        <f t="shared" si="128"/>
        <v>24.391499999999997</v>
      </c>
      <c r="W1216" s="248">
        <f t="shared" si="129"/>
        <v>-466.26</v>
      </c>
      <c r="X1216" s="248">
        <f t="shared" si="130"/>
        <v>3.8729999999999905</v>
      </c>
      <c r="Y1216" s="248">
        <f t="shared" ca="1" si="126"/>
        <v>13.385727699892982</v>
      </c>
      <c r="Z1216" s="248">
        <f t="shared" ca="1" si="131"/>
        <v>5.4128289443844659</v>
      </c>
      <c r="AA1216" s="250">
        <f t="shared" ca="1" si="132"/>
        <v>541.28289443844665</v>
      </c>
    </row>
    <row r="1217" spans="20:27" x14ac:dyDescent="0.3">
      <c r="T1217" s="254">
        <v>1205</v>
      </c>
      <c r="U1217" s="248">
        <f t="shared" si="127"/>
        <v>446.74149999999997</v>
      </c>
      <c r="V1217" s="248">
        <f t="shared" si="128"/>
        <v>24.391499999999997</v>
      </c>
      <c r="W1217" s="248">
        <f t="shared" si="129"/>
        <v>-467.26</v>
      </c>
      <c r="X1217" s="248">
        <f t="shared" si="130"/>
        <v>3.8729999999999905</v>
      </c>
      <c r="Y1217" s="248">
        <f t="shared" ca="1" si="126"/>
        <v>13.385727699892982</v>
      </c>
      <c r="Z1217" s="248">
        <f t="shared" ca="1" si="131"/>
        <v>5.4128289443844659</v>
      </c>
      <c r="AA1217" s="250">
        <f t="shared" ca="1" si="132"/>
        <v>541.28289443844665</v>
      </c>
    </row>
    <row r="1218" spans="20:27" x14ac:dyDescent="0.3">
      <c r="T1218" s="254">
        <v>1206</v>
      </c>
      <c r="U1218" s="248">
        <f t="shared" si="127"/>
        <v>447.74149999999997</v>
      </c>
      <c r="V1218" s="248">
        <f t="shared" si="128"/>
        <v>24.391499999999997</v>
      </c>
      <c r="W1218" s="248">
        <f t="shared" si="129"/>
        <v>-468.26</v>
      </c>
      <c r="X1218" s="248">
        <f t="shared" si="130"/>
        <v>3.8729999999999905</v>
      </c>
      <c r="Y1218" s="248">
        <f t="shared" ca="1" si="126"/>
        <v>13.385727699892982</v>
      </c>
      <c r="Z1218" s="248">
        <f t="shared" ca="1" si="131"/>
        <v>5.4128289443844659</v>
      </c>
      <c r="AA1218" s="250">
        <f t="shared" ca="1" si="132"/>
        <v>541.28289443844665</v>
      </c>
    </row>
    <row r="1219" spans="20:27" x14ac:dyDescent="0.3">
      <c r="T1219" s="254">
        <v>1207</v>
      </c>
      <c r="U1219" s="248">
        <f t="shared" si="127"/>
        <v>448.74149999999997</v>
      </c>
      <c r="V1219" s="248">
        <f t="shared" si="128"/>
        <v>24.391499999999997</v>
      </c>
      <c r="W1219" s="248">
        <f t="shared" si="129"/>
        <v>-469.26</v>
      </c>
      <c r="X1219" s="248">
        <f t="shared" si="130"/>
        <v>3.8729999999999905</v>
      </c>
      <c r="Y1219" s="248">
        <f t="shared" ca="1" si="126"/>
        <v>13.385727699892982</v>
      </c>
      <c r="Z1219" s="248">
        <f t="shared" ca="1" si="131"/>
        <v>5.4128289443844659</v>
      </c>
      <c r="AA1219" s="250">
        <f t="shared" ca="1" si="132"/>
        <v>541.28289443844665</v>
      </c>
    </row>
    <row r="1220" spans="20:27" x14ac:dyDescent="0.3">
      <c r="T1220" s="254">
        <v>1208</v>
      </c>
      <c r="U1220" s="248">
        <f t="shared" si="127"/>
        <v>449.74149999999997</v>
      </c>
      <c r="V1220" s="248">
        <f t="shared" si="128"/>
        <v>24.391499999999997</v>
      </c>
      <c r="W1220" s="248">
        <f t="shared" si="129"/>
        <v>-470.26</v>
      </c>
      <c r="X1220" s="248">
        <f t="shared" si="130"/>
        <v>3.8729999999999905</v>
      </c>
      <c r="Y1220" s="248">
        <f t="shared" ca="1" si="126"/>
        <v>13.385727699892982</v>
      </c>
      <c r="Z1220" s="248">
        <f t="shared" ca="1" si="131"/>
        <v>5.4128289443844659</v>
      </c>
      <c r="AA1220" s="250">
        <f t="shared" ca="1" si="132"/>
        <v>541.28289443844665</v>
      </c>
    </row>
    <row r="1221" spans="20:27" x14ac:dyDescent="0.3">
      <c r="T1221" s="254">
        <v>1209</v>
      </c>
      <c r="U1221" s="248">
        <f t="shared" si="127"/>
        <v>450.74149999999997</v>
      </c>
      <c r="V1221" s="248">
        <f t="shared" si="128"/>
        <v>24.391499999999997</v>
      </c>
      <c r="W1221" s="248">
        <f t="shared" si="129"/>
        <v>-471.26</v>
      </c>
      <c r="X1221" s="248">
        <f t="shared" si="130"/>
        <v>3.8729999999999905</v>
      </c>
      <c r="Y1221" s="248">
        <f t="shared" ca="1" si="126"/>
        <v>13.385727699892982</v>
      </c>
      <c r="Z1221" s="248">
        <f t="shared" ca="1" si="131"/>
        <v>5.4128289443844659</v>
      </c>
      <c r="AA1221" s="250">
        <f t="shared" ca="1" si="132"/>
        <v>541.28289443844665</v>
      </c>
    </row>
    <row r="1222" spans="20:27" x14ac:dyDescent="0.3">
      <c r="T1222" s="254">
        <v>1210</v>
      </c>
      <c r="U1222" s="248">
        <f t="shared" si="127"/>
        <v>451.74149999999997</v>
      </c>
      <c r="V1222" s="248">
        <f t="shared" si="128"/>
        <v>24.391499999999997</v>
      </c>
      <c r="W1222" s="248">
        <f t="shared" si="129"/>
        <v>-472.26</v>
      </c>
      <c r="X1222" s="248">
        <f t="shared" si="130"/>
        <v>3.8729999999999905</v>
      </c>
      <c r="Y1222" s="248">
        <f t="shared" ca="1" si="126"/>
        <v>13.385727699892982</v>
      </c>
      <c r="Z1222" s="248">
        <f t="shared" ca="1" si="131"/>
        <v>5.4128289443844659</v>
      </c>
      <c r="AA1222" s="250">
        <f t="shared" ca="1" si="132"/>
        <v>541.28289443844665</v>
      </c>
    </row>
    <row r="1223" spans="20:27" x14ac:dyDescent="0.3">
      <c r="T1223" s="254">
        <v>1211</v>
      </c>
      <c r="U1223" s="248">
        <f t="shared" si="127"/>
        <v>452.74149999999997</v>
      </c>
      <c r="V1223" s="248">
        <f t="shared" si="128"/>
        <v>24.391499999999997</v>
      </c>
      <c r="W1223" s="248">
        <f t="shared" si="129"/>
        <v>-473.26</v>
      </c>
      <c r="X1223" s="248">
        <f t="shared" si="130"/>
        <v>3.8729999999999905</v>
      </c>
      <c r="Y1223" s="248">
        <f t="shared" ca="1" si="126"/>
        <v>13.385727699892982</v>
      </c>
      <c r="Z1223" s="248">
        <f t="shared" ca="1" si="131"/>
        <v>5.4128289443844659</v>
      </c>
      <c r="AA1223" s="250">
        <f t="shared" ca="1" si="132"/>
        <v>541.28289443844665</v>
      </c>
    </row>
    <row r="1224" spans="20:27" x14ac:dyDescent="0.3">
      <c r="T1224" s="254">
        <v>1212</v>
      </c>
      <c r="U1224" s="248">
        <f t="shared" si="127"/>
        <v>453.74149999999997</v>
      </c>
      <c r="V1224" s="248">
        <f t="shared" si="128"/>
        <v>24.391499999999997</v>
      </c>
      <c r="W1224" s="248">
        <f t="shared" si="129"/>
        <v>-474.26</v>
      </c>
      <c r="X1224" s="248">
        <f t="shared" si="130"/>
        <v>3.8729999999999905</v>
      </c>
      <c r="Y1224" s="248">
        <f t="shared" ca="1" si="126"/>
        <v>13.385727699892982</v>
      </c>
      <c r="Z1224" s="248">
        <f t="shared" ca="1" si="131"/>
        <v>5.4128289443844659</v>
      </c>
      <c r="AA1224" s="250">
        <f t="shared" ca="1" si="132"/>
        <v>541.28289443844665</v>
      </c>
    </row>
    <row r="1225" spans="20:27" x14ac:dyDescent="0.3">
      <c r="T1225" s="254">
        <v>1213</v>
      </c>
      <c r="U1225" s="248">
        <f t="shared" si="127"/>
        <v>454.74149999999997</v>
      </c>
      <c r="V1225" s="248">
        <f t="shared" si="128"/>
        <v>24.391499999999997</v>
      </c>
      <c r="W1225" s="248">
        <f t="shared" si="129"/>
        <v>-475.26</v>
      </c>
      <c r="X1225" s="248">
        <f t="shared" si="130"/>
        <v>3.8729999999999905</v>
      </c>
      <c r="Y1225" s="248">
        <f t="shared" ca="1" si="126"/>
        <v>13.385727699892982</v>
      </c>
      <c r="Z1225" s="248">
        <f t="shared" ca="1" si="131"/>
        <v>5.4128289443844659</v>
      </c>
      <c r="AA1225" s="250">
        <f t="shared" ca="1" si="132"/>
        <v>541.28289443844665</v>
      </c>
    </row>
    <row r="1226" spans="20:27" x14ac:dyDescent="0.3">
      <c r="T1226" s="254">
        <v>1214</v>
      </c>
      <c r="U1226" s="248">
        <f t="shared" si="127"/>
        <v>455.74149999999997</v>
      </c>
      <c r="V1226" s="248">
        <f t="shared" si="128"/>
        <v>24.391499999999997</v>
      </c>
      <c r="W1226" s="248">
        <f t="shared" si="129"/>
        <v>-476.26</v>
      </c>
      <c r="X1226" s="248">
        <f t="shared" si="130"/>
        <v>3.8729999999999905</v>
      </c>
      <c r="Y1226" s="248">
        <f t="shared" ca="1" si="126"/>
        <v>13.385727699892982</v>
      </c>
      <c r="Z1226" s="248">
        <f t="shared" ca="1" si="131"/>
        <v>5.4128289443844659</v>
      </c>
      <c r="AA1226" s="250">
        <f t="shared" ca="1" si="132"/>
        <v>541.28289443844665</v>
      </c>
    </row>
    <row r="1227" spans="20:27" x14ac:dyDescent="0.3">
      <c r="T1227" s="254">
        <v>1215</v>
      </c>
      <c r="U1227" s="248">
        <f t="shared" si="127"/>
        <v>456.74149999999997</v>
      </c>
      <c r="V1227" s="248">
        <f t="shared" si="128"/>
        <v>24.391499999999997</v>
      </c>
      <c r="W1227" s="248">
        <f t="shared" si="129"/>
        <v>-477.26</v>
      </c>
      <c r="X1227" s="248">
        <f t="shared" si="130"/>
        <v>3.8729999999999905</v>
      </c>
      <c r="Y1227" s="248">
        <f t="shared" ca="1" si="126"/>
        <v>13.385727699892982</v>
      </c>
      <c r="Z1227" s="248">
        <f t="shared" ca="1" si="131"/>
        <v>5.4128289443844659</v>
      </c>
      <c r="AA1227" s="250">
        <f t="shared" ca="1" si="132"/>
        <v>541.28289443844665</v>
      </c>
    </row>
    <row r="1228" spans="20:27" x14ac:dyDescent="0.3">
      <c r="T1228" s="254">
        <v>1216</v>
      </c>
      <c r="U1228" s="248">
        <f t="shared" si="127"/>
        <v>457.74149999999997</v>
      </c>
      <c r="V1228" s="248">
        <f t="shared" si="128"/>
        <v>24.391499999999997</v>
      </c>
      <c r="W1228" s="248">
        <f t="shared" si="129"/>
        <v>-478.26</v>
      </c>
      <c r="X1228" s="248">
        <f t="shared" si="130"/>
        <v>3.8729999999999905</v>
      </c>
      <c r="Y1228" s="248">
        <f t="shared" ref="Y1228:Y1291" ca="1" si="133">$Y$10*EXP($Y$7*$C$6)-$Y$10</f>
        <v>13.385727699892982</v>
      </c>
      <c r="Z1228" s="248">
        <f t="shared" ca="1" si="131"/>
        <v>5.4128289443844659</v>
      </c>
      <c r="AA1228" s="250">
        <f t="shared" ca="1" si="132"/>
        <v>541.28289443844665</v>
      </c>
    </row>
    <row r="1229" spans="20:27" x14ac:dyDescent="0.3">
      <c r="T1229" s="254">
        <v>1217</v>
      </c>
      <c r="U1229" s="248">
        <f t="shared" ref="U1229:U1292" si="134">MAX(0,T1229-$U$9)-$U$10-$U$11/100</f>
        <v>458.74149999999997</v>
      </c>
      <c r="V1229" s="248">
        <f t="shared" ref="V1229:V1292" si="135">$V$10-MAX(0,$V$9-T1229)-$V$11/100</f>
        <v>24.391499999999997</v>
      </c>
      <c r="W1229" s="248">
        <f t="shared" ref="W1229:W1292" si="136">$W$10-T1229</f>
        <v>-479.26</v>
      </c>
      <c r="X1229" s="248">
        <f t="shared" ref="X1229:X1292" si="137">SUM(U1229:W1229)</f>
        <v>3.8729999999999905</v>
      </c>
      <c r="Y1229" s="248">
        <f t="shared" ca="1" si="133"/>
        <v>13.385727699892982</v>
      </c>
      <c r="Z1229" s="248">
        <f t="shared" ref="Z1229:Z1292" ca="1" si="138">EXP(-$E$3*$C$6)*SUM(X1229:Y1229)</f>
        <v>5.4128289443844659</v>
      </c>
      <c r="AA1229" s="250">
        <f t="shared" ref="AA1229:AA1292" ca="1" si="139">Z1229*100</f>
        <v>541.28289443844665</v>
      </c>
    </row>
    <row r="1230" spans="20:27" x14ac:dyDescent="0.3">
      <c r="T1230" s="254">
        <v>1218</v>
      </c>
      <c r="U1230" s="248">
        <f t="shared" si="134"/>
        <v>459.74149999999997</v>
      </c>
      <c r="V1230" s="248">
        <f t="shared" si="135"/>
        <v>24.391499999999997</v>
      </c>
      <c r="W1230" s="248">
        <f t="shared" si="136"/>
        <v>-480.26</v>
      </c>
      <c r="X1230" s="248">
        <f t="shared" si="137"/>
        <v>3.8729999999999905</v>
      </c>
      <c r="Y1230" s="248">
        <f t="shared" ca="1" si="133"/>
        <v>13.385727699892982</v>
      </c>
      <c r="Z1230" s="248">
        <f t="shared" ca="1" si="138"/>
        <v>5.4128289443844659</v>
      </c>
      <c r="AA1230" s="250">
        <f t="shared" ca="1" si="139"/>
        <v>541.28289443844665</v>
      </c>
    </row>
    <row r="1231" spans="20:27" x14ac:dyDescent="0.3">
      <c r="T1231" s="254">
        <v>1219</v>
      </c>
      <c r="U1231" s="248">
        <f t="shared" si="134"/>
        <v>460.74149999999997</v>
      </c>
      <c r="V1231" s="248">
        <f t="shared" si="135"/>
        <v>24.391499999999997</v>
      </c>
      <c r="W1231" s="248">
        <f t="shared" si="136"/>
        <v>-481.26</v>
      </c>
      <c r="X1231" s="248">
        <f t="shared" si="137"/>
        <v>3.8729999999999905</v>
      </c>
      <c r="Y1231" s="248">
        <f t="shared" ca="1" si="133"/>
        <v>13.385727699892982</v>
      </c>
      <c r="Z1231" s="248">
        <f t="shared" ca="1" si="138"/>
        <v>5.4128289443844659</v>
      </c>
      <c r="AA1231" s="250">
        <f t="shared" ca="1" si="139"/>
        <v>541.28289443844665</v>
      </c>
    </row>
    <row r="1232" spans="20:27" x14ac:dyDescent="0.3">
      <c r="T1232" s="254">
        <v>1220</v>
      </c>
      <c r="U1232" s="248">
        <f t="shared" si="134"/>
        <v>461.74149999999997</v>
      </c>
      <c r="V1232" s="248">
        <f t="shared" si="135"/>
        <v>24.391499999999997</v>
      </c>
      <c r="W1232" s="248">
        <f t="shared" si="136"/>
        <v>-482.26</v>
      </c>
      <c r="X1232" s="248">
        <f t="shared" si="137"/>
        <v>3.8729999999999905</v>
      </c>
      <c r="Y1232" s="248">
        <f t="shared" ca="1" si="133"/>
        <v>13.385727699892982</v>
      </c>
      <c r="Z1232" s="248">
        <f t="shared" ca="1" si="138"/>
        <v>5.4128289443844659</v>
      </c>
      <c r="AA1232" s="250">
        <f t="shared" ca="1" si="139"/>
        <v>541.28289443844665</v>
      </c>
    </row>
    <row r="1233" spans="20:27" x14ac:dyDescent="0.3">
      <c r="T1233" s="254">
        <v>1221</v>
      </c>
      <c r="U1233" s="248">
        <f t="shared" si="134"/>
        <v>462.74149999999997</v>
      </c>
      <c r="V1233" s="248">
        <f t="shared" si="135"/>
        <v>24.391499999999997</v>
      </c>
      <c r="W1233" s="248">
        <f t="shared" si="136"/>
        <v>-483.26</v>
      </c>
      <c r="X1233" s="248">
        <f t="shared" si="137"/>
        <v>3.8729999999999905</v>
      </c>
      <c r="Y1233" s="248">
        <f t="shared" ca="1" si="133"/>
        <v>13.385727699892982</v>
      </c>
      <c r="Z1233" s="248">
        <f t="shared" ca="1" si="138"/>
        <v>5.4128289443844659</v>
      </c>
      <c r="AA1233" s="250">
        <f t="shared" ca="1" si="139"/>
        <v>541.28289443844665</v>
      </c>
    </row>
    <row r="1234" spans="20:27" x14ac:dyDescent="0.3">
      <c r="T1234" s="254">
        <v>1222</v>
      </c>
      <c r="U1234" s="248">
        <f t="shared" si="134"/>
        <v>463.74149999999997</v>
      </c>
      <c r="V1234" s="248">
        <f t="shared" si="135"/>
        <v>24.391499999999997</v>
      </c>
      <c r="W1234" s="248">
        <f t="shared" si="136"/>
        <v>-484.26</v>
      </c>
      <c r="X1234" s="248">
        <f t="shared" si="137"/>
        <v>3.8729999999999905</v>
      </c>
      <c r="Y1234" s="248">
        <f t="shared" ca="1" si="133"/>
        <v>13.385727699892982</v>
      </c>
      <c r="Z1234" s="248">
        <f t="shared" ca="1" si="138"/>
        <v>5.4128289443844659</v>
      </c>
      <c r="AA1234" s="250">
        <f t="shared" ca="1" si="139"/>
        <v>541.28289443844665</v>
      </c>
    </row>
    <row r="1235" spans="20:27" x14ac:dyDescent="0.3">
      <c r="T1235" s="254">
        <v>1223</v>
      </c>
      <c r="U1235" s="248">
        <f t="shared" si="134"/>
        <v>464.74149999999997</v>
      </c>
      <c r="V1235" s="248">
        <f t="shared" si="135"/>
        <v>24.391499999999997</v>
      </c>
      <c r="W1235" s="248">
        <f t="shared" si="136"/>
        <v>-485.26</v>
      </c>
      <c r="X1235" s="248">
        <f t="shared" si="137"/>
        <v>3.8729999999999905</v>
      </c>
      <c r="Y1235" s="248">
        <f t="shared" ca="1" si="133"/>
        <v>13.385727699892982</v>
      </c>
      <c r="Z1235" s="248">
        <f t="shared" ca="1" si="138"/>
        <v>5.4128289443844659</v>
      </c>
      <c r="AA1235" s="250">
        <f t="shared" ca="1" si="139"/>
        <v>541.28289443844665</v>
      </c>
    </row>
    <row r="1236" spans="20:27" x14ac:dyDescent="0.3">
      <c r="T1236" s="254">
        <v>1224</v>
      </c>
      <c r="U1236" s="248">
        <f t="shared" si="134"/>
        <v>465.74149999999997</v>
      </c>
      <c r="V1236" s="248">
        <f t="shared" si="135"/>
        <v>24.391499999999997</v>
      </c>
      <c r="W1236" s="248">
        <f t="shared" si="136"/>
        <v>-486.26</v>
      </c>
      <c r="X1236" s="248">
        <f t="shared" si="137"/>
        <v>3.8729999999999905</v>
      </c>
      <c r="Y1236" s="248">
        <f t="shared" ca="1" si="133"/>
        <v>13.385727699892982</v>
      </c>
      <c r="Z1236" s="248">
        <f t="shared" ca="1" si="138"/>
        <v>5.4128289443844659</v>
      </c>
      <c r="AA1236" s="250">
        <f t="shared" ca="1" si="139"/>
        <v>541.28289443844665</v>
      </c>
    </row>
    <row r="1237" spans="20:27" x14ac:dyDescent="0.3">
      <c r="T1237" s="254">
        <v>1225</v>
      </c>
      <c r="U1237" s="248">
        <f t="shared" si="134"/>
        <v>466.74149999999997</v>
      </c>
      <c r="V1237" s="248">
        <f t="shared" si="135"/>
        <v>24.391499999999997</v>
      </c>
      <c r="W1237" s="248">
        <f t="shared" si="136"/>
        <v>-487.26</v>
      </c>
      <c r="X1237" s="248">
        <f t="shared" si="137"/>
        <v>3.8729999999999905</v>
      </c>
      <c r="Y1237" s="248">
        <f t="shared" ca="1" si="133"/>
        <v>13.385727699892982</v>
      </c>
      <c r="Z1237" s="248">
        <f t="shared" ca="1" si="138"/>
        <v>5.4128289443844659</v>
      </c>
      <c r="AA1237" s="250">
        <f t="shared" ca="1" si="139"/>
        <v>541.28289443844665</v>
      </c>
    </row>
    <row r="1238" spans="20:27" x14ac:dyDescent="0.3">
      <c r="T1238" s="254">
        <v>1226</v>
      </c>
      <c r="U1238" s="248">
        <f t="shared" si="134"/>
        <v>467.74149999999997</v>
      </c>
      <c r="V1238" s="248">
        <f t="shared" si="135"/>
        <v>24.391499999999997</v>
      </c>
      <c r="W1238" s="248">
        <f t="shared" si="136"/>
        <v>-488.26</v>
      </c>
      <c r="X1238" s="248">
        <f t="shared" si="137"/>
        <v>3.8729999999999905</v>
      </c>
      <c r="Y1238" s="248">
        <f t="shared" ca="1" si="133"/>
        <v>13.385727699892982</v>
      </c>
      <c r="Z1238" s="248">
        <f t="shared" ca="1" si="138"/>
        <v>5.4128289443844659</v>
      </c>
      <c r="AA1238" s="250">
        <f t="shared" ca="1" si="139"/>
        <v>541.28289443844665</v>
      </c>
    </row>
    <row r="1239" spans="20:27" x14ac:dyDescent="0.3">
      <c r="T1239" s="254">
        <v>1227</v>
      </c>
      <c r="U1239" s="248">
        <f t="shared" si="134"/>
        <v>468.74149999999997</v>
      </c>
      <c r="V1239" s="248">
        <f t="shared" si="135"/>
        <v>24.391499999999997</v>
      </c>
      <c r="W1239" s="248">
        <f t="shared" si="136"/>
        <v>-489.26</v>
      </c>
      <c r="X1239" s="248">
        <f t="shared" si="137"/>
        <v>3.8729999999999905</v>
      </c>
      <c r="Y1239" s="248">
        <f t="shared" ca="1" si="133"/>
        <v>13.385727699892982</v>
      </c>
      <c r="Z1239" s="248">
        <f t="shared" ca="1" si="138"/>
        <v>5.4128289443844659</v>
      </c>
      <c r="AA1239" s="250">
        <f t="shared" ca="1" si="139"/>
        <v>541.28289443844665</v>
      </c>
    </row>
    <row r="1240" spans="20:27" x14ac:dyDescent="0.3">
      <c r="T1240" s="254">
        <v>1228</v>
      </c>
      <c r="U1240" s="248">
        <f t="shared" si="134"/>
        <v>469.74149999999997</v>
      </c>
      <c r="V1240" s="248">
        <f t="shared" si="135"/>
        <v>24.391499999999997</v>
      </c>
      <c r="W1240" s="248">
        <f t="shared" si="136"/>
        <v>-490.26</v>
      </c>
      <c r="X1240" s="248">
        <f t="shared" si="137"/>
        <v>3.8729999999999905</v>
      </c>
      <c r="Y1240" s="248">
        <f t="shared" ca="1" si="133"/>
        <v>13.385727699892982</v>
      </c>
      <c r="Z1240" s="248">
        <f t="shared" ca="1" si="138"/>
        <v>5.4128289443844659</v>
      </c>
      <c r="AA1240" s="250">
        <f t="shared" ca="1" si="139"/>
        <v>541.28289443844665</v>
      </c>
    </row>
    <row r="1241" spans="20:27" x14ac:dyDescent="0.3">
      <c r="T1241" s="254">
        <v>1229</v>
      </c>
      <c r="U1241" s="248">
        <f t="shared" si="134"/>
        <v>470.74149999999997</v>
      </c>
      <c r="V1241" s="248">
        <f t="shared" si="135"/>
        <v>24.391499999999997</v>
      </c>
      <c r="W1241" s="248">
        <f t="shared" si="136"/>
        <v>-491.26</v>
      </c>
      <c r="X1241" s="248">
        <f t="shared" si="137"/>
        <v>3.8729999999999905</v>
      </c>
      <c r="Y1241" s="248">
        <f t="shared" ca="1" si="133"/>
        <v>13.385727699892982</v>
      </c>
      <c r="Z1241" s="248">
        <f t="shared" ca="1" si="138"/>
        <v>5.4128289443844659</v>
      </c>
      <c r="AA1241" s="250">
        <f t="shared" ca="1" si="139"/>
        <v>541.28289443844665</v>
      </c>
    </row>
    <row r="1242" spans="20:27" x14ac:dyDescent="0.3">
      <c r="T1242" s="254">
        <v>1230</v>
      </c>
      <c r="U1242" s="248">
        <f t="shared" si="134"/>
        <v>471.74149999999997</v>
      </c>
      <c r="V1242" s="248">
        <f t="shared" si="135"/>
        <v>24.391499999999997</v>
      </c>
      <c r="W1242" s="248">
        <f t="shared" si="136"/>
        <v>-492.26</v>
      </c>
      <c r="X1242" s="248">
        <f t="shared" si="137"/>
        <v>3.8729999999999905</v>
      </c>
      <c r="Y1242" s="248">
        <f t="shared" ca="1" si="133"/>
        <v>13.385727699892982</v>
      </c>
      <c r="Z1242" s="248">
        <f t="shared" ca="1" si="138"/>
        <v>5.4128289443844659</v>
      </c>
      <c r="AA1242" s="250">
        <f t="shared" ca="1" si="139"/>
        <v>541.28289443844665</v>
      </c>
    </row>
    <row r="1243" spans="20:27" x14ac:dyDescent="0.3">
      <c r="T1243" s="254">
        <v>1231</v>
      </c>
      <c r="U1243" s="248">
        <f t="shared" si="134"/>
        <v>472.74149999999997</v>
      </c>
      <c r="V1243" s="248">
        <f t="shared" si="135"/>
        <v>24.391499999999997</v>
      </c>
      <c r="W1243" s="248">
        <f t="shared" si="136"/>
        <v>-493.26</v>
      </c>
      <c r="X1243" s="248">
        <f t="shared" si="137"/>
        <v>3.8729999999999905</v>
      </c>
      <c r="Y1243" s="248">
        <f t="shared" ca="1" si="133"/>
        <v>13.385727699892982</v>
      </c>
      <c r="Z1243" s="248">
        <f t="shared" ca="1" si="138"/>
        <v>5.4128289443844659</v>
      </c>
      <c r="AA1243" s="250">
        <f t="shared" ca="1" si="139"/>
        <v>541.28289443844665</v>
      </c>
    </row>
    <row r="1244" spans="20:27" x14ac:dyDescent="0.3">
      <c r="T1244" s="254">
        <v>1232</v>
      </c>
      <c r="U1244" s="248">
        <f t="shared" si="134"/>
        <v>473.74149999999997</v>
      </c>
      <c r="V1244" s="248">
        <f t="shared" si="135"/>
        <v>24.391499999999997</v>
      </c>
      <c r="W1244" s="248">
        <f t="shared" si="136"/>
        <v>-494.26</v>
      </c>
      <c r="X1244" s="248">
        <f t="shared" si="137"/>
        <v>3.8729999999999905</v>
      </c>
      <c r="Y1244" s="248">
        <f t="shared" ca="1" si="133"/>
        <v>13.385727699892982</v>
      </c>
      <c r="Z1244" s="248">
        <f t="shared" ca="1" si="138"/>
        <v>5.4128289443844659</v>
      </c>
      <c r="AA1244" s="250">
        <f t="shared" ca="1" si="139"/>
        <v>541.28289443844665</v>
      </c>
    </row>
    <row r="1245" spans="20:27" x14ac:dyDescent="0.3">
      <c r="T1245" s="254">
        <v>1233</v>
      </c>
      <c r="U1245" s="248">
        <f t="shared" si="134"/>
        <v>474.74149999999997</v>
      </c>
      <c r="V1245" s="248">
        <f t="shared" si="135"/>
        <v>24.391499999999997</v>
      </c>
      <c r="W1245" s="248">
        <f t="shared" si="136"/>
        <v>-495.26</v>
      </c>
      <c r="X1245" s="248">
        <f t="shared" si="137"/>
        <v>3.8729999999999905</v>
      </c>
      <c r="Y1245" s="248">
        <f t="shared" ca="1" si="133"/>
        <v>13.385727699892982</v>
      </c>
      <c r="Z1245" s="248">
        <f t="shared" ca="1" si="138"/>
        <v>5.4128289443844659</v>
      </c>
      <c r="AA1245" s="250">
        <f t="shared" ca="1" si="139"/>
        <v>541.28289443844665</v>
      </c>
    </row>
    <row r="1246" spans="20:27" x14ac:dyDescent="0.3">
      <c r="T1246" s="254">
        <v>1234</v>
      </c>
      <c r="U1246" s="248">
        <f t="shared" si="134"/>
        <v>475.74149999999997</v>
      </c>
      <c r="V1246" s="248">
        <f t="shared" si="135"/>
        <v>24.391499999999997</v>
      </c>
      <c r="W1246" s="248">
        <f t="shared" si="136"/>
        <v>-496.26</v>
      </c>
      <c r="X1246" s="248">
        <f t="shared" si="137"/>
        <v>3.8729999999999905</v>
      </c>
      <c r="Y1246" s="248">
        <f t="shared" ca="1" si="133"/>
        <v>13.385727699892982</v>
      </c>
      <c r="Z1246" s="248">
        <f t="shared" ca="1" si="138"/>
        <v>5.4128289443844659</v>
      </c>
      <c r="AA1246" s="250">
        <f t="shared" ca="1" si="139"/>
        <v>541.28289443844665</v>
      </c>
    </row>
    <row r="1247" spans="20:27" x14ac:dyDescent="0.3">
      <c r="T1247" s="254">
        <v>1235</v>
      </c>
      <c r="U1247" s="248">
        <f t="shared" si="134"/>
        <v>476.74149999999997</v>
      </c>
      <c r="V1247" s="248">
        <f t="shared" si="135"/>
        <v>24.391499999999997</v>
      </c>
      <c r="W1247" s="248">
        <f t="shared" si="136"/>
        <v>-497.26</v>
      </c>
      <c r="X1247" s="248">
        <f t="shared" si="137"/>
        <v>3.8729999999999905</v>
      </c>
      <c r="Y1247" s="248">
        <f t="shared" ca="1" si="133"/>
        <v>13.385727699892982</v>
      </c>
      <c r="Z1247" s="248">
        <f t="shared" ca="1" si="138"/>
        <v>5.4128289443844659</v>
      </c>
      <c r="AA1247" s="250">
        <f t="shared" ca="1" si="139"/>
        <v>541.28289443844665</v>
      </c>
    </row>
    <row r="1248" spans="20:27" x14ac:dyDescent="0.3">
      <c r="T1248" s="254">
        <v>1236</v>
      </c>
      <c r="U1248" s="248">
        <f t="shared" si="134"/>
        <v>477.74149999999997</v>
      </c>
      <c r="V1248" s="248">
        <f t="shared" si="135"/>
        <v>24.391499999999997</v>
      </c>
      <c r="W1248" s="248">
        <f t="shared" si="136"/>
        <v>-498.26</v>
      </c>
      <c r="X1248" s="248">
        <f t="shared" si="137"/>
        <v>3.8729999999999905</v>
      </c>
      <c r="Y1248" s="248">
        <f t="shared" ca="1" si="133"/>
        <v>13.385727699892982</v>
      </c>
      <c r="Z1248" s="248">
        <f t="shared" ca="1" si="138"/>
        <v>5.4128289443844659</v>
      </c>
      <c r="AA1248" s="250">
        <f t="shared" ca="1" si="139"/>
        <v>541.28289443844665</v>
      </c>
    </row>
    <row r="1249" spans="20:27" x14ac:dyDescent="0.3">
      <c r="T1249" s="254">
        <v>1237</v>
      </c>
      <c r="U1249" s="248">
        <f t="shared" si="134"/>
        <v>478.74149999999997</v>
      </c>
      <c r="V1249" s="248">
        <f t="shared" si="135"/>
        <v>24.391499999999997</v>
      </c>
      <c r="W1249" s="248">
        <f t="shared" si="136"/>
        <v>-499.26</v>
      </c>
      <c r="X1249" s="248">
        <f t="shared" si="137"/>
        <v>3.8729999999999905</v>
      </c>
      <c r="Y1249" s="248">
        <f t="shared" ca="1" si="133"/>
        <v>13.385727699892982</v>
      </c>
      <c r="Z1249" s="248">
        <f t="shared" ca="1" si="138"/>
        <v>5.4128289443844659</v>
      </c>
      <c r="AA1249" s="250">
        <f t="shared" ca="1" si="139"/>
        <v>541.28289443844665</v>
      </c>
    </row>
    <row r="1250" spans="20:27" x14ac:dyDescent="0.3">
      <c r="T1250" s="254">
        <v>1238</v>
      </c>
      <c r="U1250" s="248">
        <f t="shared" si="134"/>
        <v>479.74149999999997</v>
      </c>
      <c r="V1250" s="248">
        <f t="shared" si="135"/>
        <v>24.391499999999997</v>
      </c>
      <c r="W1250" s="248">
        <f t="shared" si="136"/>
        <v>-500.26</v>
      </c>
      <c r="X1250" s="248">
        <f t="shared" si="137"/>
        <v>3.8729999999999905</v>
      </c>
      <c r="Y1250" s="248">
        <f t="shared" ca="1" si="133"/>
        <v>13.385727699892982</v>
      </c>
      <c r="Z1250" s="248">
        <f t="shared" ca="1" si="138"/>
        <v>5.4128289443844659</v>
      </c>
      <c r="AA1250" s="250">
        <f t="shared" ca="1" si="139"/>
        <v>541.28289443844665</v>
      </c>
    </row>
    <row r="1251" spans="20:27" x14ac:dyDescent="0.3">
      <c r="T1251" s="254">
        <v>1239</v>
      </c>
      <c r="U1251" s="248">
        <f t="shared" si="134"/>
        <v>480.74149999999997</v>
      </c>
      <c r="V1251" s="248">
        <f t="shared" si="135"/>
        <v>24.391499999999997</v>
      </c>
      <c r="W1251" s="248">
        <f t="shared" si="136"/>
        <v>-501.26</v>
      </c>
      <c r="X1251" s="248">
        <f t="shared" si="137"/>
        <v>3.8729999999999905</v>
      </c>
      <c r="Y1251" s="248">
        <f t="shared" ca="1" si="133"/>
        <v>13.385727699892982</v>
      </c>
      <c r="Z1251" s="248">
        <f t="shared" ca="1" si="138"/>
        <v>5.4128289443844659</v>
      </c>
      <c r="AA1251" s="250">
        <f t="shared" ca="1" si="139"/>
        <v>541.28289443844665</v>
      </c>
    </row>
    <row r="1252" spans="20:27" x14ac:dyDescent="0.3">
      <c r="T1252" s="254">
        <v>1240</v>
      </c>
      <c r="U1252" s="248">
        <f t="shared" si="134"/>
        <v>481.74149999999997</v>
      </c>
      <c r="V1252" s="248">
        <f t="shared" si="135"/>
        <v>24.391499999999997</v>
      </c>
      <c r="W1252" s="248">
        <f t="shared" si="136"/>
        <v>-502.26</v>
      </c>
      <c r="X1252" s="248">
        <f t="shared" si="137"/>
        <v>3.8729999999999905</v>
      </c>
      <c r="Y1252" s="248">
        <f t="shared" ca="1" si="133"/>
        <v>13.385727699892982</v>
      </c>
      <c r="Z1252" s="248">
        <f t="shared" ca="1" si="138"/>
        <v>5.4128289443844659</v>
      </c>
      <c r="AA1252" s="250">
        <f t="shared" ca="1" si="139"/>
        <v>541.28289443844665</v>
      </c>
    </row>
    <row r="1253" spans="20:27" x14ac:dyDescent="0.3">
      <c r="T1253" s="254">
        <v>1241</v>
      </c>
      <c r="U1253" s="248">
        <f t="shared" si="134"/>
        <v>482.74149999999997</v>
      </c>
      <c r="V1253" s="248">
        <f t="shared" si="135"/>
        <v>24.391499999999997</v>
      </c>
      <c r="W1253" s="248">
        <f t="shared" si="136"/>
        <v>-503.26</v>
      </c>
      <c r="X1253" s="248">
        <f t="shared" si="137"/>
        <v>3.8729999999999905</v>
      </c>
      <c r="Y1253" s="248">
        <f t="shared" ca="1" si="133"/>
        <v>13.385727699892982</v>
      </c>
      <c r="Z1253" s="248">
        <f t="shared" ca="1" si="138"/>
        <v>5.4128289443844659</v>
      </c>
      <c r="AA1253" s="250">
        <f t="shared" ca="1" si="139"/>
        <v>541.28289443844665</v>
      </c>
    </row>
    <row r="1254" spans="20:27" x14ac:dyDescent="0.3">
      <c r="T1254" s="254">
        <v>1242</v>
      </c>
      <c r="U1254" s="248">
        <f t="shared" si="134"/>
        <v>483.74149999999997</v>
      </c>
      <c r="V1254" s="248">
        <f t="shared" si="135"/>
        <v>24.391499999999997</v>
      </c>
      <c r="W1254" s="248">
        <f t="shared" si="136"/>
        <v>-504.26</v>
      </c>
      <c r="X1254" s="248">
        <f t="shared" si="137"/>
        <v>3.8729999999999905</v>
      </c>
      <c r="Y1254" s="248">
        <f t="shared" ca="1" si="133"/>
        <v>13.385727699892982</v>
      </c>
      <c r="Z1254" s="248">
        <f t="shared" ca="1" si="138"/>
        <v>5.4128289443844659</v>
      </c>
      <c r="AA1254" s="250">
        <f t="shared" ca="1" si="139"/>
        <v>541.28289443844665</v>
      </c>
    </row>
    <row r="1255" spans="20:27" x14ac:dyDescent="0.3">
      <c r="T1255" s="254">
        <v>1243</v>
      </c>
      <c r="U1255" s="248">
        <f t="shared" si="134"/>
        <v>484.74149999999997</v>
      </c>
      <c r="V1255" s="248">
        <f t="shared" si="135"/>
        <v>24.391499999999997</v>
      </c>
      <c r="W1255" s="248">
        <f t="shared" si="136"/>
        <v>-505.26</v>
      </c>
      <c r="X1255" s="248">
        <f t="shared" si="137"/>
        <v>3.8729999999999905</v>
      </c>
      <c r="Y1255" s="248">
        <f t="shared" ca="1" si="133"/>
        <v>13.385727699892982</v>
      </c>
      <c r="Z1255" s="248">
        <f t="shared" ca="1" si="138"/>
        <v>5.4128289443844659</v>
      </c>
      <c r="AA1255" s="250">
        <f t="shared" ca="1" si="139"/>
        <v>541.28289443844665</v>
      </c>
    </row>
    <row r="1256" spans="20:27" x14ac:dyDescent="0.3">
      <c r="T1256" s="254">
        <v>1244</v>
      </c>
      <c r="U1256" s="248">
        <f t="shared" si="134"/>
        <v>485.74149999999997</v>
      </c>
      <c r="V1256" s="248">
        <f t="shared" si="135"/>
        <v>24.391499999999997</v>
      </c>
      <c r="W1256" s="248">
        <f t="shared" si="136"/>
        <v>-506.26</v>
      </c>
      <c r="X1256" s="248">
        <f t="shared" si="137"/>
        <v>3.8729999999999905</v>
      </c>
      <c r="Y1256" s="248">
        <f t="shared" ca="1" si="133"/>
        <v>13.385727699892982</v>
      </c>
      <c r="Z1256" s="248">
        <f t="shared" ca="1" si="138"/>
        <v>5.4128289443844659</v>
      </c>
      <c r="AA1256" s="250">
        <f t="shared" ca="1" si="139"/>
        <v>541.28289443844665</v>
      </c>
    </row>
    <row r="1257" spans="20:27" x14ac:dyDescent="0.3">
      <c r="T1257" s="254">
        <v>1245</v>
      </c>
      <c r="U1257" s="248">
        <f t="shared" si="134"/>
        <v>486.74149999999997</v>
      </c>
      <c r="V1257" s="248">
        <f t="shared" si="135"/>
        <v>24.391499999999997</v>
      </c>
      <c r="W1257" s="248">
        <f t="shared" si="136"/>
        <v>-507.26</v>
      </c>
      <c r="X1257" s="248">
        <f t="shared" si="137"/>
        <v>3.8729999999999905</v>
      </c>
      <c r="Y1257" s="248">
        <f t="shared" ca="1" si="133"/>
        <v>13.385727699892982</v>
      </c>
      <c r="Z1257" s="248">
        <f t="shared" ca="1" si="138"/>
        <v>5.4128289443844659</v>
      </c>
      <c r="AA1257" s="250">
        <f t="shared" ca="1" si="139"/>
        <v>541.28289443844665</v>
      </c>
    </row>
    <row r="1258" spans="20:27" x14ac:dyDescent="0.3">
      <c r="T1258" s="254">
        <v>1246</v>
      </c>
      <c r="U1258" s="248">
        <f t="shared" si="134"/>
        <v>487.74149999999997</v>
      </c>
      <c r="V1258" s="248">
        <f t="shared" si="135"/>
        <v>24.391499999999997</v>
      </c>
      <c r="W1258" s="248">
        <f t="shared" si="136"/>
        <v>-508.26</v>
      </c>
      <c r="X1258" s="248">
        <f t="shared" si="137"/>
        <v>3.8729999999999336</v>
      </c>
      <c r="Y1258" s="248">
        <f t="shared" ca="1" si="133"/>
        <v>13.385727699892982</v>
      </c>
      <c r="Z1258" s="248">
        <f t="shared" ca="1" si="138"/>
        <v>5.4128289443844091</v>
      </c>
      <c r="AA1258" s="250">
        <f t="shared" ca="1" si="139"/>
        <v>541.28289443844096</v>
      </c>
    </row>
    <row r="1259" spans="20:27" x14ac:dyDescent="0.3">
      <c r="T1259" s="254">
        <v>1247</v>
      </c>
      <c r="U1259" s="248">
        <f t="shared" si="134"/>
        <v>488.74149999999997</v>
      </c>
      <c r="V1259" s="248">
        <f t="shared" si="135"/>
        <v>24.391499999999997</v>
      </c>
      <c r="W1259" s="248">
        <f t="shared" si="136"/>
        <v>-509.26</v>
      </c>
      <c r="X1259" s="248">
        <f t="shared" si="137"/>
        <v>3.8729999999999336</v>
      </c>
      <c r="Y1259" s="248">
        <f t="shared" ca="1" si="133"/>
        <v>13.385727699892982</v>
      </c>
      <c r="Z1259" s="248">
        <f t="shared" ca="1" si="138"/>
        <v>5.4128289443844091</v>
      </c>
      <c r="AA1259" s="250">
        <f t="shared" ca="1" si="139"/>
        <v>541.28289443844096</v>
      </c>
    </row>
    <row r="1260" spans="20:27" x14ac:dyDescent="0.3">
      <c r="T1260" s="254">
        <v>1248</v>
      </c>
      <c r="U1260" s="248">
        <f t="shared" si="134"/>
        <v>489.74149999999997</v>
      </c>
      <c r="V1260" s="248">
        <f t="shared" si="135"/>
        <v>24.391499999999997</v>
      </c>
      <c r="W1260" s="248">
        <f t="shared" si="136"/>
        <v>-510.26</v>
      </c>
      <c r="X1260" s="248">
        <f t="shared" si="137"/>
        <v>3.8729999999999336</v>
      </c>
      <c r="Y1260" s="248">
        <f t="shared" ca="1" si="133"/>
        <v>13.385727699892982</v>
      </c>
      <c r="Z1260" s="248">
        <f t="shared" ca="1" si="138"/>
        <v>5.4128289443844091</v>
      </c>
      <c r="AA1260" s="250">
        <f t="shared" ca="1" si="139"/>
        <v>541.28289443844096</v>
      </c>
    </row>
    <row r="1261" spans="20:27" x14ac:dyDescent="0.3">
      <c r="T1261" s="254">
        <v>1249</v>
      </c>
      <c r="U1261" s="248">
        <f t="shared" si="134"/>
        <v>490.74149999999997</v>
      </c>
      <c r="V1261" s="248">
        <f t="shared" si="135"/>
        <v>24.391499999999997</v>
      </c>
      <c r="W1261" s="248">
        <f t="shared" si="136"/>
        <v>-511.26</v>
      </c>
      <c r="X1261" s="248">
        <f t="shared" si="137"/>
        <v>3.8729999999999336</v>
      </c>
      <c r="Y1261" s="248">
        <f t="shared" ca="1" si="133"/>
        <v>13.385727699892982</v>
      </c>
      <c r="Z1261" s="248">
        <f t="shared" ca="1" si="138"/>
        <v>5.4128289443844091</v>
      </c>
      <c r="AA1261" s="250">
        <f t="shared" ca="1" si="139"/>
        <v>541.28289443844096</v>
      </c>
    </row>
    <row r="1262" spans="20:27" x14ac:dyDescent="0.3">
      <c r="T1262" s="254">
        <v>1250</v>
      </c>
      <c r="U1262" s="248">
        <f t="shared" si="134"/>
        <v>491.74149999999997</v>
      </c>
      <c r="V1262" s="248">
        <f t="shared" si="135"/>
        <v>24.391499999999997</v>
      </c>
      <c r="W1262" s="248">
        <f t="shared" si="136"/>
        <v>-512.26</v>
      </c>
      <c r="X1262" s="248">
        <f t="shared" si="137"/>
        <v>3.8729999999999336</v>
      </c>
      <c r="Y1262" s="248">
        <f t="shared" ca="1" si="133"/>
        <v>13.385727699892982</v>
      </c>
      <c r="Z1262" s="248">
        <f t="shared" ca="1" si="138"/>
        <v>5.4128289443844091</v>
      </c>
      <c r="AA1262" s="250">
        <f t="shared" ca="1" si="139"/>
        <v>541.28289443844096</v>
      </c>
    </row>
    <row r="1263" spans="20:27" x14ac:dyDescent="0.3">
      <c r="T1263" s="254">
        <v>1251</v>
      </c>
      <c r="U1263" s="248">
        <f t="shared" si="134"/>
        <v>492.74149999999997</v>
      </c>
      <c r="V1263" s="248">
        <f t="shared" si="135"/>
        <v>24.391499999999997</v>
      </c>
      <c r="W1263" s="248">
        <f t="shared" si="136"/>
        <v>-513.26</v>
      </c>
      <c r="X1263" s="248">
        <f t="shared" si="137"/>
        <v>3.8729999999999336</v>
      </c>
      <c r="Y1263" s="248">
        <f t="shared" ca="1" si="133"/>
        <v>13.385727699892982</v>
      </c>
      <c r="Z1263" s="248">
        <f t="shared" ca="1" si="138"/>
        <v>5.4128289443844091</v>
      </c>
      <c r="AA1263" s="250">
        <f t="shared" ca="1" si="139"/>
        <v>541.28289443844096</v>
      </c>
    </row>
    <row r="1264" spans="20:27" x14ac:dyDescent="0.3">
      <c r="T1264" s="254">
        <v>1252</v>
      </c>
      <c r="U1264" s="248">
        <f t="shared" si="134"/>
        <v>493.74149999999997</v>
      </c>
      <c r="V1264" s="248">
        <f t="shared" si="135"/>
        <v>24.391499999999997</v>
      </c>
      <c r="W1264" s="248">
        <f t="shared" si="136"/>
        <v>-514.26</v>
      </c>
      <c r="X1264" s="248">
        <f t="shared" si="137"/>
        <v>3.8729999999999336</v>
      </c>
      <c r="Y1264" s="248">
        <f t="shared" ca="1" si="133"/>
        <v>13.385727699892982</v>
      </c>
      <c r="Z1264" s="248">
        <f t="shared" ca="1" si="138"/>
        <v>5.4128289443844091</v>
      </c>
      <c r="AA1264" s="250">
        <f t="shared" ca="1" si="139"/>
        <v>541.28289443844096</v>
      </c>
    </row>
    <row r="1265" spans="20:27" x14ac:dyDescent="0.3">
      <c r="T1265" s="254">
        <v>1253</v>
      </c>
      <c r="U1265" s="248">
        <f t="shared" si="134"/>
        <v>494.74149999999997</v>
      </c>
      <c r="V1265" s="248">
        <f t="shared" si="135"/>
        <v>24.391499999999997</v>
      </c>
      <c r="W1265" s="248">
        <f t="shared" si="136"/>
        <v>-515.26</v>
      </c>
      <c r="X1265" s="248">
        <f t="shared" si="137"/>
        <v>3.8729999999999336</v>
      </c>
      <c r="Y1265" s="248">
        <f t="shared" ca="1" si="133"/>
        <v>13.385727699892982</v>
      </c>
      <c r="Z1265" s="248">
        <f t="shared" ca="1" si="138"/>
        <v>5.4128289443844091</v>
      </c>
      <c r="AA1265" s="250">
        <f t="shared" ca="1" si="139"/>
        <v>541.28289443844096</v>
      </c>
    </row>
    <row r="1266" spans="20:27" x14ac:dyDescent="0.3">
      <c r="T1266" s="254">
        <v>1254</v>
      </c>
      <c r="U1266" s="248">
        <f t="shared" si="134"/>
        <v>495.74149999999997</v>
      </c>
      <c r="V1266" s="248">
        <f t="shared" si="135"/>
        <v>24.391499999999997</v>
      </c>
      <c r="W1266" s="248">
        <f t="shared" si="136"/>
        <v>-516.26</v>
      </c>
      <c r="X1266" s="248">
        <f t="shared" si="137"/>
        <v>3.8729999999999336</v>
      </c>
      <c r="Y1266" s="248">
        <f t="shared" ca="1" si="133"/>
        <v>13.385727699892982</v>
      </c>
      <c r="Z1266" s="248">
        <f t="shared" ca="1" si="138"/>
        <v>5.4128289443844091</v>
      </c>
      <c r="AA1266" s="250">
        <f t="shared" ca="1" si="139"/>
        <v>541.28289443844096</v>
      </c>
    </row>
    <row r="1267" spans="20:27" x14ac:dyDescent="0.3">
      <c r="T1267" s="254">
        <v>1255</v>
      </c>
      <c r="U1267" s="248">
        <f t="shared" si="134"/>
        <v>496.74149999999997</v>
      </c>
      <c r="V1267" s="248">
        <f t="shared" si="135"/>
        <v>24.391499999999997</v>
      </c>
      <c r="W1267" s="248">
        <f t="shared" si="136"/>
        <v>-517.26</v>
      </c>
      <c r="X1267" s="248">
        <f t="shared" si="137"/>
        <v>3.8729999999999336</v>
      </c>
      <c r="Y1267" s="248">
        <f t="shared" ca="1" si="133"/>
        <v>13.385727699892982</v>
      </c>
      <c r="Z1267" s="248">
        <f t="shared" ca="1" si="138"/>
        <v>5.4128289443844091</v>
      </c>
      <c r="AA1267" s="250">
        <f t="shared" ca="1" si="139"/>
        <v>541.28289443844096</v>
      </c>
    </row>
    <row r="1268" spans="20:27" x14ac:dyDescent="0.3">
      <c r="T1268" s="254">
        <v>1256</v>
      </c>
      <c r="U1268" s="248">
        <f t="shared" si="134"/>
        <v>497.74149999999997</v>
      </c>
      <c r="V1268" s="248">
        <f t="shared" si="135"/>
        <v>24.391499999999997</v>
      </c>
      <c r="W1268" s="248">
        <f t="shared" si="136"/>
        <v>-518.26</v>
      </c>
      <c r="X1268" s="248">
        <f t="shared" si="137"/>
        <v>3.8729999999999336</v>
      </c>
      <c r="Y1268" s="248">
        <f t="shared" ca="1" si="133"/>
        <v>13.385727699892982</v>
      </c>
      <c r="Z1268" s="248">
        <f t="shared" ca="1" si="138"/>
        <v>5.4128289443844091</v>
      </c>
      <c r="AA1268" s="250">
        <f t="shared" ca="1" si="139"/>
        <v>541.28289443844096</v>
      </c>
    </row>
    <row r="1269" spans="20:27" x14ac:dyDescent="0.3">
      <c r="T1269" s="254">
        <v>1257</v>
      </c>
      <c r="U1269" s="248">
        <f t="shared" si="134"/>
        <v>498.74149999999997</v>
      </c>
      <c r="V1269" s="248">
        <f t="shared" si="135"/>
        <v>24.391499999999997</v>
      </c>
      <c r="W1269" s="248">
        <f t="shared" si="136"/>
        <v>-519.26</v>
      </c>
      <c r="X1269" s="248">
        <f t="shared" si="137"/>
        <v>3.8729999999999336</v>
      </c>
      <c r="Y1269" s="248">
        <f t="shared" ca="1" si="133"/>
        <v>13.385727699892982</v>
      </c>
      <c r="Z1269" s="248">
        <f t="shared" ca="1" si="138"/>
        <v>5.4128289443844091</v>
      </c>
      <c r="AA1269" s="250">
        <f t="shared" ca="1" si="139"/>
        <v>541.28289443844096</v>
      </c>
    </row>
    <row r="1270" spans="20:27" x14ac:dyDescent="0.3">
      <c r="T1270" s="254">
        <v>1258</v>
      </c>
      <c r="U1270" s="248">
        <f t="shared" si="134"/>
        <v>499.74149999999997</v>
      </c>
      <c r="V1270" s="248">
        <f t="shared" si="135"/>
        <v>24.391499999999997</v>
      </c>
      <c r="W1270" s="248">
        <f t="shared" si="136"/>
        <v>-520.26</v>
      </c>
      <c r="X1270" s="248">
        <f t="shared" si="137"/>
        <v>3.8729999999999336</v>
      </c>
      <c r="Y1270" s="248">
        <f t="shared" ca="1" si="133"/>
        <v>13.385727699892982</v>
      </c>
      <c r="Z1270" s="248">
        <f t="shared" ca="1" si="138"/>
        <v>5.4128289443844091</v>
      </c>
      <c r="AA1270" s="250">
        <f t="shared" ca="1" si="139"/>
        <v>541.28289443844096</v>
      </c>
    </row>
    <row r="1271" spans="20:27" x14ac:dyDescent="0.3">
      <c r="T1271" s="254">
        <v>1259</v>
      </c>
      <c r="U1271" s="248">
        <f t="shared" si="134"/>
        <v>500.74149999999997</v>
      </c>
      <c r="V1271" s="248">
        <f t="shared" si="135"/>
        <v>24.391499999999997</v>
      </c>
      <c r="W1271" s="248">
        <f t="shared" si="136"/>
        <v>-521.26</v>
      </c>
      <c r="X1271" s="248">
        <f t="shared" si="137"/>
        <v>3.8729999999999336</v>
      </c>
      <c r="Y1271" s="248">
        <f t="shared" ca="1" si="133"/>
        <v>13.385727699892982</v>
      </c>
      <c r="Z1271" s="248">
        <f t="shared" ca="1" si="138"/>
        <v>5.4128289443844091</v>
      </c>
      <c r="AA1271" s="250">
        <f t="shared" ca="1" si="139"/>
        <v>541.28289443844096</v>
      </c>
    </row>
    <row r="1272" spans="20:27" x14ac:dyDescent="0.3">
      <c r="T1272" s="254">
        <v>1260</v>
      </c>
      <c r="U1272" s="248">
        <f t="shared" si="134"/>
        <v>501.74149999999997</v>
      </c>
      <c r="V1272" s="248">
        <f t="shared" si="135"/>
        <v>24.391499999999997</v>
      </c>
      <c r="W1272" s="248">
        <f t="shared" si="136"/>
        <v>-522.26</v>
      </c>
      <c r="X1272" s="248">
        <f t="shared" si="137"/>
        <v>3.8729999999999336</v>
      </c>
      <c r="Y1272" s="248">
        <f t="shared" ca="1" si="133"/>
        <v>13.385727699892982</v>
      </c>
      <c r="Z1272" s="248">
        <f t="shared" ca="1" si="138"/>
        <v>5.4128289443844091</v>
      </c>
      <c r="AA1272" s="250">
        <f t="shared" ca="1" si="139"/>
        <v>541.28289443844096</v>
      </c>
    </row>
    <row r="1273" spans="20:27" x14ac:dyDescent="0.3">
      <c r="T1273" s="254">
        <v>1261</v>
      </c>
      <c r="U1273" s="248">
        <f t="shared" si="134"/>
        <v>502.74149999999997</v>
      </c>
      <c r="V1273" s="248">
        <f t="shared" si="135"/>
        <v>24.391499999999997</v>
      </c>
      <c r="W1273" s="248">
        <f t="shared" si="136"/>
        <v>-523.26</v>
      </c>
      <c r="X1273" s="248">
        <f t="shared" si="137"/>
        <v>3.8729999999999336</v>
      </c>
      <c r="Y1273" s="248">
        <f t="shared" ca="1" si="133"/>
        <v>13.385727699892982</v>
      </c>
      <c r="Z1273" s="248">
        <f t="shared" ca="1" si="138"/>
        <v>5.4128289443844091</v>
      </c>
      <c r="AA1273" s="250">
        <f t="shared" ca="1" si="139"/>
        <v>541.28289443844096</v>
      </c>
    </row>
    <row r="1274" spans="20:27" x14ac:dyDescent="0.3">
      <c r="T1274" s="254">
        <v>1262</v>
      </c>
      <c r="U1274" s="248">
        <f t="shared" si="134"/>
        <v>503.74149999999997</v>
      </c>
      <c r="V1274" s="248">
        <f t="shared" si="135"/>
        <v>24.391499999999997</v>
      </c>
      <c r="W1274" s="248">
        <f t="shared" si="136"/>
        <v>-524.26</v>
      </c>
      <c r="X1274" s="248">
        <f t="shared" si="137"/>
        <v>3.8729999999999336</v>
      </c>
      <c r="Y1274" s="248">
        <f t="shared" ca="1" si="133"/>
        <v>13.385727699892982</v>
      </c>
      <c r="Z1274" s="248">
        <f t="shared" ca="1" si="138"/>
        <v>5.4128289443844091</v>
      </c>
      <c r="AA1274" s="250">
        <f t="shared" ca="1" si="139"/>
        <v>541.28289443844096</v>
      </c>
    </row>
    <row r="1275" spans="20:27" x14ac:dyDescent="0.3">
      <c r="T1275" s="254">
        <v>1263</v>
      </c>
      <c r="U1275" s="248">
        <f t="shared" si="134"/>
        <v>504.74149999999997</v>
      </c>
      <c r="V1275" s="248">
        <f t="shared" si="135"/>
        <v>24.391499999999997</v>
      </c>
      <c r="W1275" s="248">
        <f t="shared" si="136"/>
        <v>-525.26</v>
      </c>
      <c r="X1275" s="248">
        <f t="shared" si="137"/>
        <v>3.8729999999999336</v>
      </c>
      <c r="Y1275" s="248">
        <f t="shared" ca="1" si="133"/>
        <v>13.385727699892982</v>
      </c>
      <c r="Z1275" s="248">
        <f t="shared" ca="1" si="138"/>
        <v>5.4128289443844091</v>
      </c>
      <c r="AA1275" s="250">
        <f t="shared" ca="1" si="139"/>
        <v>541.28289443844096</v>
      </c>
    </row>
    <row r="1276" spans="20:27" x14ac:dyDescent="0.3">
      <c r="T1276" s="254">
        <v>1264</v>
      </c>
      <c r="U1276" s="248">
        <f t="shared" si="134"/>
        <v>505.74149999999997</v>
      </c>
      <c r="V1276" s="248">
        <f t="shared" si="135"/>
        <v>24.391499999999997</v>
      </c>
      <c r="W1276" s="248">
        <f t="shared" si="136"/>
        <v>-526.26</v>
      </c>
      <c r="X1276" s="248">
        <f t="shared" si="137"/>
        <v>3.8729999999999336</v>
      </c>
      <c r="Y1276" s="248">
        <f t="shared" ca="1" si="133"/>
        <v>13.385727699892982</v>
      </c>
      <c r="Z1276" s="248">
        <f t="shared" ca="1" si="138"/>
        <v>5.4128289443844091</v>
      </c>
      <c r="AA1276" s="250">
        <f t="shared" ca="1" si="139"/>
        <v>541.28289443844096</v>
      </c>
    </row>
    <row r="1277" spans="20:27" x14ac:dyDescent="0.3">
      <c r="T1277" s="254">
        <v>1265</v>
      </c>
      <c r="U1277" s="248">
        <f t="shared" si="134"/>
        <v>506.74149999999997</v>
      </c>
      <c r="V1277" s="248">
        <f t="shared" si="135"/>
        <v>24.391499999999997</v>
      </c>
      <c r="W1277" s="248">
        <f t="shared" si="136"/>
        <v>-527.26</v>
      </c>
      <c r="X1277" s="248">
        <f t="shared" si="137"/>
        <v>3.8729999999999336</v>
      </c>
      <c r="Y1277" s="248">
        <f t="shared" ca="1" si="133"/>
        <v>13.385727699892982</v>
      </c>
      <c r="Z1277" s="248">
        <f t="shared" ca="1" si="138"/>
        <v>5.4128289443844091</v>
      </c>
      <c r="AA1277" s="250">
        <f t="shared" ca="1" si="139"/>
        <v>541.28289443844096</v>
      </c>
    </row>
    <row r="1278" spans="20:27" x14ac:dyDescent="0.3">
      <c r="T1278" s="254">
        <v>1266</v>
      </c>
      <c r="U1278" s="248">
        <f t="shared" si="134"/>
        <v>507.74149999999997</v>
      </c>
      <c r="V1278" s="248">
        <f t="shared" si="135"/>
        <v>24.391499999999997</v>
      </c>
      <c r="W1278" s="248">
        <f t="shared" si="136"/>
        <v>-528.26</v>
      </c>
      <c r="X1278" s="248">
        <f t="shared" si="137"/>
        <v>3.8729999999999336</v>
      </c>
      <c r="Y1278" s="248">
        <f t="shared" ca="1" si="133"/>
        <v>13.385727699892982</v>
      </c>
      <c r="Z1278" s="248">
        <f t="shared" ca="1" si="138"/>
        <v>5.4128289443844091</v>
      </c>
      <c r="AA1278" s="250">
        <f t="shared" ca="1" si="139"/>
        <v>541.28289443844096</v>
      </c>
    </row>
    <row r="1279" spans="20:27" x14ac:dyDescent="0.3">
      <c r="T1279" s="254">
        <v>1267</v>
      </c>
      <c r="U1279" s="248">
        <f t="shared" si="134"/>
        <v>508.74149999999997</v>
      </c>
      <c r="V1279" s="248">
        <f t="shared" si="135"/>
        <v>24.391499999999997</v>
      </c>
      <c r="W1279" s="248">
        <f t="shared" si="136"/>
        <v>-529.26</v>
      </c>
      <c r="X1279" s="248">
        <f t="shared" si="137"/>
        <v>3.8729999999999336</v>
      </c>
      <c r="Y1279" s="248">
        <f t="shared" ca="1" si="133"/>
        <v>13.385727699892982</v>
      </c>
      <c r="Z1279" s="248">
        <f t="shared" ca="1" si="138"/>
        <v>5.4128289443844091</v>
      </c>
      <c r="AA1279" s="250">
        <f t="shared" ca="1" si="139"/>
        <v>541.28289443844096</v>
      </c>
    </row>
    <row r="1280" spans="20:27" x14ac:dyDescent="0.3">
      <c r="T1280" s="254">
        <v>1268</v>
      </c>
      <c r="U1280" s="248">
        <f t="shared" si="134"/>
        <v>509.74149999999997</v>
      </c>
      <c r="V1280" s="248">
        <f t="shared" si="135"/>
        <v>24.391499999999997</v>
      </c>
      <c r="W1280" s="248">
        <f t="shared" si="136"/>
        <v>-530.26</v>
      </c>
      <c r="X1280" s="248">
        <f t="shared" si="137"/>
        <v>3.8729999999999336</v>
      </c>
      <c r="Y1280" s="248">
        <f t="shared" ca="1" si="133"/>
        <v>13.385727699892982</v>
      </c>
      <c r="Z1280" s="248">
        <f t="shared" ca="1" si="138"/>
        <v>5.4128289443844091</v>
      </c>
      <c r="AA1280" s="250">
        <f t="shared" ca="1" si="139"/>
        <v>541.28289443844096</v>
      </c>
    </row>
    <row r="1281" spans="20:27" x14ac:dyDescent="0.3">
      <c r="T1281" s="254">
        <v>1269</v>
      </c>
      <c r="U1281" s="248">
        <f t="shared" si="134"/>
        <v>510.74149999999997</v>
      </c>
      <c r="V1281" s="248">
        <f t="shared" si="135"/>
        <v>24.391499999999997</v>
      </c>
      <c r="W1281" s="248">
        <f t="shared" si="136"/>
        <v>-531.26</v>
      </c>
      <c r="X1281" s="248">
        <f t="shared" si="137"/>
        <v>3.8729999999999336</v>
      </c>
      <c r="Y1281" s="248">
        <f t="shared" ca="1" si="133"/>
        <v>13.385727699892982</v>
      </c>
      <c r="Z1281" s="248">
        <f t="shared" ca="1" si="138"/>
        <v>5.4128289443844091</v>
      </c>
      <c r="AA1281" s="250">
        <f t="shared" ca="1" si="139"/>
        <v>541.28289443844096</v>
      </c>
    </row>
    <row r="1282" spans="20:27" x14ac:dyDescent="0.3">
      <c r="T1282" s="254">
        <v>1270</v>
      </c>
      <c r="U1282" s="248">
        <f t="shared" si="134"/>
        <v>511.74149999999997</v>
      </c>
      <c r="V1282" s="248">
        <f t="shared" si="135"/>
        <v>24.391499999999997</v>
      </c>
      <c r="W1282" s="248">
        <f t="shared" si="136"/>
        <v>-532.26</v>
      </c>
      <c r="X1282" s="248">
        <f t="shared" si="137"/>
        <v>3.8729999999999336</v>
      </c>
      <c r="Y1282" s="248">
        <f t="shared" ca="1" si="133"/>
        <v>13.385727699892982</v>
      </c>
      <c r="Z1282" s="248">
        <f t="shared" ca="1" si="138"/>
        <v>5.4128289443844091</v>
      </c>
      <c r="AA1282" s="250">
        <f t="shared" ca="1" si="139"/>
        <v>541.28289443844096</v>
      </c>
    </row>
    <row r="1283" spans="20:27" x14ac:dyDescent="0.3">
      <c r="T1283" s="254">
        <v>1271</v>
      </c>
      <c r="U1283" s="248">
        <f t="shared" si="134"/>
        <v>512.74149999999997</v>
      </c>
      <c r="V1283" s="248">
        <f t="shared" si="135"/>
        <v>24.391499999999997</v>
      </c>
      <c r="W1283" s="248">
        <f t="shared" si="136"/>
        <v>-533.26</v>
      </c>
      <c r="X1283" s="248">
        <f t="shared" si="137"/>
        <v>3.8729999999999336</v>
      </c>
      <c r="Y1283" s="248">
        <f t="shared" ca="1" si="133"/>
        <v>13.385727699892982</v>
      </c>
      <c r="Z1283" s="248">
        <f t="shared" ca="1" si="138"/>
        <v>5.4128289443844091</v>
      </c>
      <c r="AA1283" s="250">
        <f t="shared" ca="1" si="139"/>
        <v>541.28289443844096</v>
      </c>
    </row>
    <row r="1284" spans="20:27" x14ac:dyDescent="0.3">
      <c r="T1284" s="254">
        <v>1272</v>
      </c>
      <c r="U1284" s="248">
        <f t="shared" si="134"/>
        <v>513.74149999999997</v>
      </c>
      <c r="V1284" s="248">
        <f t="shared" si="135"/>
        <v>24.391499999999997</v>
      </c>
      <c r="W1284" s="248">
        <f t="shared" si="136"/>
        <v>-534.26</v>
      </c>
      <c r="X1284" s="248">
        <f t="shared" si="137"/>
        <v>3.8729999999999336</v>
      </c>
      <c r="Y1284" s="248">
        <f t="shared" ca="1" si="133"/>
        <v>13.385727699892982</v>
      </c>
      <c r="Z1284" s="248">
        <f t="shared" ca="1" si="138"/>
        <v>5.4128289443844091</v>
      </c>
      <c r="AA1284" s="250">
        <f t="shared" ca="1" si="139"/>
        <v>541.28289443844096</v>
      </c>
    </row>
    <row r="1285" spans="20:27" x14ac:dyDescent="0.3">
      <c r="T1285" s="254">
        <v>1273</v>
      </c>
      <c r="U1285" s="248">
        <f t="shared" si="134"/>
        <v>514.74149999999997</v>
      </c>
      <c r="V1285" s="248">
        <f t="shared" si="135"/>
        <v>24.391499999999997</v>
      </c>
      <c r="W1285" s="248">
        <f t="shared" si="136"/>
        <v>-535.26</v>
      </c>
      <c r="X1285" s="248">
        <f t="shared" si="137"/>
        <v>3.8729999999999336</v>
      </c>
      <c r="Y1285" s="248">
        <f t="shared" ca="1" si="133"/>
        <v>13.385727699892982</v>
      </c>
      <c r="Z1285" s="248">
        <f t="shared" ca="1" si="138"/>
        <v>5.4128289443844091</v>
      </c>
      <c r="AA1285" s="250">
        <f t="shared" ca="1" si="139"/>
        <v>541.28289443844096</v>
      </c>
    </row>
    <row r="1286" spans="20:27" x14ac:dyDescent="0.3">
      <c r="T1286" s="254">
        <v>1274</v>
      </c>
      <c r="U1286" s="248">
        <f t="shared" si="134"/>
        <v>515.74149999999997</v>
      </c>
      <c r="V1286" s="248">
        <f t="shared" si="135"/>
        <v>24.391499999999997</v>
      </c>
      <c r="W1286" s="248">
        <f t="shared" si="136"/>
        <v>-536.26</v>
      </c>
      <c r="X1286" s="248">
        <f t="shared" si="137"/>
        <v>3.8729999999999336</v>
      </c>
      <c r="Y1286" s="248">
        <f t="shared" ca="1" si="133"/>
        <v>13.385727699892982</v>
      </c>
      <c r="Z1286" s="248">
        <f t="shared" ca="1" si="138"/>
        <v>5.4128289443844091</v>
      </c>
      <c r="AA1286" s="250">
        <f t="shared" ca="1" si="139"/>
        <v>541.28289443844096</v>
      </c>
    </row>
    <row r="1287" spans="20:27" x14ac:dyDescent="0.3">
      <c r="T1287" s="254">
        <v>1275</v>
      </c>
      <c r="U1287" s="248">
        <f t="shared" si="134"/>
        <v>516.74149999999997</v>
      </c>
      <c r="V1287" s="248">
        <f t="shared" si="135"/>
        <v>24.391499999999997</v>
      </c>
      <c r="W1287" s="248">
        <f t="shared" si="136"/>
        <v>-537.26</v>
      </c>
      <c r="X1287" s="248">
        <f t="shared" si="137"/>
        <v>3.8729999999999336</v>
      </c>
      <c r="Y1287" s="248">
        <f t="shared" ca="1" si="133"/>
        <v>13.385727699892982</v>
      </c>
      <c r="Z1287" s="248">
        <f t="shared" ca="1" si="138"/>
        <v>5.4128289443844091</v>
      </c>
      <c r="AA1287" s="250">
        <f t="shared" ca="1" si="139"/>
        <v>541.28289443844096</v>
      </c>
    </row>
    <row r="1288" spans="20:27" x14ac:dyDescent="0.3">
      <c r="T1288" s="254">
        <v>1276</v>
      </c>
      <c r="U1288" s="248">
        <f t="shared" si="134"/>
        <v>517.74149999999997</v>
      </c>
      <c r="V1288" s="248">
        <f t="shared" si="135"/>
        <v>24.391499999999997</v>
      </c>
      <c r="W1288" s="248">
        <f t="shared" si="136"/>
        <v>-538.26</v>
      </c>
      <c r="X1288" s="248">
        <f t="shared" si="137"/>
        <v>3.8729999999999336</v>
      </c>
      <c r="Y1288" s="248">
        <f t="shared" ca="1" si="133"/>
        <v>13.385727699892982</v>
      </c>
      <c r="Z1288" s="248">
        <f t="shared" ca="1" si="138"/>
        <v>5.4128289443844091</v>
      </c>
      <c r="AA1288" s="250">
        <f t="shared" ca="1" si="139"/>
        <v>541.28289443844096</v>
      </c>
    </row>
    <row r="1289" spans="20:27" x14ac:dyDescent="0.3">
      <c r="T1289" s="254">
        <v>1277</v>
      </c>
      <c r="U1289" s="248">
        <f t="shared" si="134"/>
        <v>518.74149999999997</v>
      </c>
      <c r="V1289" s="248">
        <f t="shared" si="135"/>
        <v>24.391499999999997</v>
      </c>
      <c r="W1289" s="248">
        <f t="shared" si="136"/>
        <v>-539.26</v>
      </c>
      <c r="X1289" s="248">
        <f t="shared" si="137"/>
        <v>3.8729999999999336</v>
      </c>
      <c r="Y1289" s="248">
        <f t="shared" ca="1" si="133"/>
        <v>13.385727699892982</v>
      </c>
      <c r="Z1289" s="248">
        <f t="shared" ca="1" si="138"/>
        <v>5.4128289443844091</v>
      </c>
      <c r="AA1289" s="250">
        <f t="shared" ca="1" si="139"/>
        <v>541.28289443844096</v>
      </c>
    </row>
    <row r="1290" spans="20:27" x14ac:dyDescent="0.3">
      <c r="T1290" s="254">
        <v>1278</v>
      </c>
      <c r="U1290" s="248">
        <f t="shared" si="134"/>
        <v>519.74149999999997</v>
      </c>
      <c r="V1290" s="248">
        <f t="shared" si="135"/>
        <v>24.391499999999997</v>
      </c>
      <c r="W1290" s="248">
        <f t="shared" si="136"/>
        <v>-540.26</v>
      </c>
      <c r="X1290" s="248">
        <f t="shared" si="137"/>
        <v>3.8729999999999336</v>
      </c>
      <c r="Y1290" s="248">
        <f t="shared" ca="1" si="133"/>
        <v>13.385727699892982</v>
      </c>
      <c r="Z1290" s="248">
        <f t="shared" ca="1" si="138"/>
        <v>5.4128289443844091</v>
      </c>
      <c r="AA1290" s="250">
        <f t="shared" ca="1" si="139"/>
        <v>541.28289443844096</v>
      </c>
    </row>
    <row r="1291" spans="20:27" x14ac:dyDescent="0.3">
      <c r="T1291" s="254">
        <v>1279</v>
      </c>
      <c r="U1291" s="248">
        <f t="shared" si="134"/>
        <v>520.74149999999997</v>
      </c>
      <c r="V1291" s="248">
        <f t="shared" si="135"/>
        <v>24.391499999999997</v>
      </c>
      <c r="W1291" s="248">
        <f t="shared" si="136"/>
        <v>-541.26</v>
      </c>
      <c r="X1291" s="248">
        <f t="shared" si="137"/>
        <v>3.8729999999999336</v>
      </c>
      <c r="Y1291" s="248">
        <f t="shared" ca="1" si="133"/>
        <v>13.385727699892982</v>
      </c>
      <c r="Z1291" s="248">
        <f t="shared" ca="1" si="138"/>
        <v>5.4128289443844091</v>
      </c>
      <c r="AA1291" s="250">
        <f t="shared" ca="1" si="139"/>
        <v>541.28289443844096</v>
      </c>
    </row>
    <row r="1292" spans="20:27" x14ac:dyDescent="0.3">
      <c r="T1292" s="254">
        <v>1280</v>
      </c>
      <c r="U1292" s="248">
        <f t="shared" si="134"/>
        <v>521.74149999999997</v>
      </c>
      <c r="V1292" s="248">
        <f t="shared" si="135"/>
        <v>24.391499999999997</v>
      </c>
      <c r="W1292" s="248">
        <f t="shared" si="136"/>
        <v>-542.26</v>
      </c>
      <c r="X1292" s="248">
        <f t="shared" si="137"/>
        <v>3.8729999999999336</v>
      </c>
      <c r="Y1292" s="248">
        <f t="shared" ref="Y1292:Y1312" ca="1" si="140">$Y$10*EXP($Y$7*$C$6)-$Y$10</f>
        <v>13.385727699892982</v>
      </c>
      <c r="Z1292" s="248">
        <f t="shared" ca="1" si="138"/>
        <v>5.4128289443844091</v>
      </c>
      <c r="AA1292" s="250">
        <f t="shared" ca="1" si="139"/>
        <v>541.28289443844096</v>
      </c>
    </row>
    <row r="1293" spans="20:27" x14ac:dyDescent="0.3">
      <c r="T1293" s="254">
        <v>1281</v>
      </c>
      <c r="U1293" s="248">
        <f t="shared" ref="U1293:U1312" si="141">MAX(0,T1293-$U$9)-$U$10-$U$11/100</f>
        <v>522.74149999999997</v>
      </c>
      <c r="V1293" s="248">
        <f t="shared" ref="V1293:V1312" si="142">$V$10-MAX(0,$V$9-T1293)-$V$11/100</f>
        <v>24.391499999999997</v>
      </c>
      <c r="W1293" s="248">
        <f t="shared" ref="W1293:W1312" si="143">$W$10-T1293</f>
        <v>-543.26</v>
      </c>
      <c r="X1293" s="248">
        <f t="shared" ref="X1293:X1312" si="144">SUM(U1293:W1293)</f>
        <v>3.8729999999999336</v>
      </c>
      <c r="Y1293" s="248">
        <f t="shared" ca="1" si="140"/>
        <v>13.385727699892982</v>
      </c>
      <c r="Z1293" s="248">
        <f t="shared" ref="Z1293:Z1312" ca="1" si="145">EXP(-$E$3*$C$6)*SUM(X1293:Y1293)</f>
        <v>5.4128289443844091</v>
      </c>
      <c r="AA1293" s="250">
        <f t="shared" ref="AA1293:AA1312" ca="1" si="146">Z1293*100</f>
        <v>541.28289443844096</v>
      </c>
    </row>
    <row r="1294" spans="20:27" x14ac:dyDescent="0.3">
      <c r="T1294" s="254">
        <v>1282</v>
      </c>
      <c r="U1294" s="248">
        <f t="shared" si="141"/>
        <v>523.74149999999997</v>
      </c>
      <c r="V1294" s="248">
        <f t="shared" si="142"/>
        <v>24.391499999999997</v>
      </c>
      <c r="W1294" s="248">
        <f t="shared" si="143"/>
        <v>-544.26</v>
      </c>
      <c r="X1294" s="248">
        <f t="shared" si="144"/>
        <v>3.8729999999999336</v>
      </c>
      <c r="Y1294" s="248">
        <f t="shared" ca="1" si="140"/>
        <v>13.385727699892982</v>
      </c>
      <c r="Z1294" s="248">
        <f t="shared" ca="1" si="145"/>
        <v>5.4128289443844091</v>
      </c>
      <c r="AA1294" s="250">
        <f t="shared" ca="1" si="146"/>
        <v>541.28289443844096</v>
      </c>
    </row>
    <row r="1295" spans="20:27" x14ac:dyDescent="0.3">
      <c r="T1295" s="254">
        <v>1283</v>
      </c>
      <c r="U1295" s="248">
        <f t="shared" si="141"/>
        <v>524.74149999999997</v>
      </c>
      <c r="V1295" s="248">
        <f t="shared" si="142"/>
        <v>24.391499999999997</v>
      </c>
      <c r="W1295" s="248">
        <f t="shared" si="143"/>
        <v>-545.26</v>
      </c>
      <c r="X1295" s="248">
        <f t="shared" si="144"/>
        <v>3.8729999999999336</v>
      </c>
      <c r="Y1295" s="248">
        <f t="shared" ca="1" si="140"/>
        <v>13.385727699892982</v>
      </c>
      <c r="Z1295" s="248">
        <f t="shared" ca="1" si="145"/>
        <v>5.4128289443844091</v>
      </c>
      <c r="AA1295" s="250">
        <f t="shared" ca="1" si="146"/>
        <v>541.28289443844096</v>
      </c>
    </row>
    <row r="1296" spans="20:27" x14ac:dyDescent="0.3">
      <c r="T1296" s="254">
        <v>1284</v>
      </c>
      <c r="U1296" s="248">
        <f t="shared" si="141"/>
        <v>525.74149999999997</v>
      </c>
      <c r="V1296" s="248">
        <f t="shared" si="142"/>
        <v>24.391499999999997</v>
      </c>
      <c r="W1296" s="248">
        <f t="shared" si="143"/>
        <v>-546.26</v>
      </c>
      <c r="X1296" s="248">
        <f t="shared" si="144"/>
        <v>3.8729999999999336</v>
      </c>
      <c r="Y1296" s="248">
        <f t="shared" ca="1" si="140"/>
        <v>13.385727699892982</v>
      </c>
      <c r="Z1296" s="248">
        <f t="shared" ca="1" si="145"/>
        <v>5.4128289443844091</v>
      </c>
      <c r="AA1296" s="250">
        <f t="shared" ca="1" si="146"/>
        <v>541.28289443844096</v>
      </c>
    </row>
    <row r="1297" spans="20:27" x14ac:dyDescent="0.3">
      <c r="T1297" s="254">
        <v>1285</v>
      </c>
      <c r="U1297" s="248">
        <f t="shared" si="141"/>
        <v>526.74149999999997</v>
      </c>
      <c r="V1297" s="248">
        <f t="shared" si="142"/>
        <v>24.391499999999997</v>
      </c>
      <c r="W1297" s="248">
        <f t="shared" si="143"/>
        <v>-547.26</v>
      </c>
      <c r="X1297" s="248">
        <f t="shared" si="144"/>
        <v>3.8729999999999336</v>
      </c>
      <c r="Y1297" s="248">
        <f t="shared" ca="1" si="140"/>
        <v>13.385727699892982</v>
      </c>
      <c r="Z1297" s="248">
        <f t="shared" ca="1" si="145"/>
        <v>5.4128289443844091</v>
      </c>
      <c r="AA1297" s="250">
        <f t="shared" ca="1" si="146"/>
        <v>541.28289443844096</v>
      </c>
    </row>
    <row r="1298" spans="20:27" x14ac:dyDescent="0.3">
      <c r="T1298" s="254">
        <v>1286</v>
      </c>
      <c r="U1298" s="248">
        <f t="shared" si="141"/>
        <v>527.74149999999997</v>
      </c>
      <c r="V1298" s="248">
        <f t="shared" si="142"/>
        <v>24.391499999999997</v>
      </c>
      <c r="W1298" s="248">
        <f t="shared" si="143"/>
        <v>-548.26</v>
      </c>
      <c r="X1298" s="248">
        <f t="shared" si="144"/>
        <v>3.8729999999999336</v>
      </c>
      <c r="Y1298" s="248">
        <f t="shared" ca="1" si="140"/>
        <v>13.385727699892982</v>
      </c>
      <c r="Z1298" s="248">
        <f t="shared" ca="1" si="145"/>
        <v>5.4128289443844091</v>
      </c>
      <c r="AA1298" s="250">
        <f t="shared" ca="1" si="146"/>
        <v>541.28289443844096</v>
      </c>
    </row>
    <row r="1299" spans="20:27" x14ac:dyDescent="0.3">
      <c r="T1299" s="254">
        <v>1287</v>
      </c>
      <c r="U1299" s="248">
        <f t="shared" si="141"/>
        <v>528.74149999999997</v>
      </c>
      <c r="V1299" s="248">
        <f t="shared" si="142"/>
        <v>24.391499999999997</v>
      </c>
      <c r="W1299" s="248">
        <f t="shared" si="143"/>
        <v>-549.26</v>
      </c>
      <c r="X1299" s="248">
        <f t="shared" si="144"/>
        <v>3.8729999999999336</v>
      </c>
      <c r="Y1299" s="248">
        <f t="shared" ca="1" si="140"/>
        <v>13.385727699892982</v>
      </c>
      <c r="Z1299" s="248">
        <f t="shared" ca="1" si="145"/>
        <v>5.4128289443844091</v>
      </c>
      <c r="AA1299" s="250">
        <f t="shared" ca="1" si="146"/>
        <v>541.28289443844096</v>
      </c>
    </row>
    <row r="1300" spans="20:27" x14ac:dyDescent="0.3">
      <c r="T1300" s="254">
        <v>1288</v>
      </c>
      <c r="U1300" s="248">
        <f t="shared" si="141"/>
        <v>529.74149999999997</v>
      </c>
      <c r="V1300" s="248">
        <f t="shared" si="142"/>
        <v>24.391499999999997</v>
      </c>
      <c r="W1300" s="248">
        <f t="shared" si="143"/>
        <v>-550.26</v>
      </c>
      <c r="X1300" s="248">
        <f t="shared" si="144"/>
        <v>3.8729999999999336</v>
      </c>
      <c r="Y1300" s="248">
        <f t="shared" ca="1" si="140"/>
        <v>13.385727699892982</v>
      </c>
      <c r="Z1300" s="248">
        <f t="shared" ca="1" si="145"/>
        <v>5.4128289443844091</v>
      </c>
      <c r="AA1300" s="250">
        <f t="shared" ca="1" si="146"/>
        <v>541.28289443844096</v>
      </c>
    </row>
    <row r="1301" spans="20:27" x14ac:dyDescent="0.3">
      <c r="T1301" s="254">
        <v>1289</v>
      </c>
      <c r="U1301" s="248">
        <f t="shared" si="141"/>
        <v>530.74149999999997</v>
      </c>
      <c r="V1301" s="248">
        <f t="shared" si="142"/>
        <v>24.391499999999997</v>
      </c>
      <c r="W1301" s="248">
        <f t="shared" si="143"/>
        <v>-551.26</v>
      </c>
      <c r="X1301" s="248">
        <f t="shared" si="144"/>
        <v>3.8729999999999336</v>
      </c>
      <c r="Y1301" s="248">
        <f t="shared" ca="1" si="140"/>
        <v>13.385727699892982</v>
      </c>
      <c r="Z1301" s="248">
        <f t="shared" ca="1" si="145"/>
        <v>5.4128289443844091</v>
      </c>
      <c r="AA1301" s="250">
        <f t="shared" ca="1" si="146"/>
        <v>541.28289443844096</v>
      </c>
    </row>
    <row r="1302" spans="20:27" x14ac:dyDescent="0.3">
      <c r="T1302" s="254">
        <v>1290</v>
      </c>
      <c r="U1302" s="248">
        <f t="shared" si="141"/>
        <v>531.74149999999997</v>
      </c>
      <c r="V1302" s="248">
        <f t="shared" si="142"/>
        <v>24.391499999999997</v>
      </c>
      <c r="W1302" s="248">
        <f t="shared" si="143"/>
        <v>-552.26</v>
      </c>
      <c r="X1302" s="248">
        <f t="shared" si="144"/>
        <v>3.8729999999999336</v>
      </c>
      <c r="Y1302" s="248">
        <f t="shared" ca="1" si="140"/>
        <v>13.385727699892982</v>
      </c>
      <c r="Z1302" s="248">
        <f t="shared" ca="1" si="145"/>
        <v>5.4128289443844091</v>
      </c>
      <c r="AA1302" s="250">
        <f t="shared" ca="1" si="146"/>
        <v>541.28289443844096</v>
      </c>
    </row>
    <row r="1303" spans="20:27" x14ac:dyDescent="0.3">
      <c r="T1303" s="254">
        <v>1291</v>
      </c>
      <c r="U1303" s="248">
        <f t="shared" si="141"/>
        <v>532.74149999999997</v>
      </c>
      <c r="V1303" s="248">
        <f t="shared" si="142"/>
        <v>24.391499999999997</v>
      </c>
      <c r="W1303" s="248">
        <f t="shared" si="143"/>
        <v>-553.26</v>
      </c>
      <c r="X1303" s="248">
        <f t="shared" si="144"/>
        <v>3.8729999999999336</v>
      </c>
      <c r="Y1303" s="248">
        <f t="shared" ca="1" si="140"/>
        <v>13.385727699892982</v>
      </c>
      <c r="Z1303" s="248">
        <f t="shared" ca="1" si="145"/>
        <v>5.4128289443844091</v>
      </c>
      <c r="AA1303" s="250">
        <f t="shared" ca="1" si="146"/>
        <v>541.28289443844096</v>
      </c>
    </row>
    <row r="1304" spans="20:27" x14ac:dyDescent="0.3">
      <c r="T1304" s="254">
        <v>1292</v>
      </c>
      <c r="U1304" s="248">
        <f t="shared" si="141"/>
        <v>533.74149999999997</v>
      </c>
      <c r="V1304" s="248">
        <f t="shared" si="142"/>
        <v>24.391499999999997</v>
      </c>
      <c r="W1304" s="248">
        <f t="shared" si="143"/>
        <v>-554.26</v>
      </c>
      <c r="X1304" s="248">
        <f t="shared" si="144"/>
        <v>3.8729999999999336</v>
      </c>
      <c r="Y1304" s="248">
        <f t="shared" ca="1" si="140"/>
        <v>13.385727699892982</v>
      </c>
      <c r="Z1304" s="248">
        <f t="shared" ca="1" si="145"/>
        <v>5.4128289443844091</v>
      </c>
      <c r="AA1304" s="250">
        <f t="shared" ca="1" si="146"/>
        <v>541.28289443844096</v>
      </c>
    </row>
    <row r="1305" spans="20:27" x14ac:dyDescent="0.3">
      <c r="T1305" s="254">
        <v>1293</v>
      </c>
      <c r="U1305" s="248">
        <f t="shared" si="141"/>
        <v>534.74149999999997</v>
      </c>
      <c r="V1305" s="248">
        <f t="shared" si="142"/>
        <v>24.391499999999997</v>
      </c>
      <c r="W1305" s="248">
        <f t="shared" si="143"/>
        <v>-555.26</v>
      </c>
      <c r="X1305" s="248">
        <f t="shared" si="144"/>
        <v>3.8729999999999336</v>
      </c>
      <c r="Y1305" s="248">
        <f t="shared" ca="1" si="140"/>
        <v>13.385727699892982</v>
      </c>
      <c r="Z1305" s="248">
        <f t="shared" ca="1" si="145"/>
        <v>5.4128289443844091</v>
      </c>
      <c r="AA1305" s="250">
        <f t="shared" ca="1" si="146"/>
        <v>541.28289443844096</v>
      </c>
    </row>
    <row r="1306" spans="20:27" x14ac:dyDescent="0.3">
      <c r="T1306" s="254">
        <v>1294</v>
      </c>
      <c r="U1306" s="248">
        <f t="shared" si="141"/>
        <v>535.74149999999997</v>
      </c>
      <c r="V1306" s="248">
        <f t="shared" si="142"/>
        <v>24.391499999999997</v>
      </c>
      <c r="W1306" s="248">
        <f t="shared" si="143"/>
        <v>-556.26</v>
      </c>
      <c r="X1306" s="248">
        <f t="shared" si="144"/>
        <v>3.8729999999999336</v>
      </c>
      <c r="Y1306" s="248">
        <f t="shared" ca="1" si="140"/>
        <v>13.385727699892982</v>
      </c>
      <c r="Z1306" s="248">
        <f t="shared" ca="1" si="145"/>
        <v>5.4128289443844091</v>
      </c>
      <c r="AA1306" s="250">
        <f t="shared" ca="1" si="146"/>
        <v>541.28289443844096</v>
      </c>
    </row>
    <row r="1307" spans="20:27" x14ac:dyDescent="0.3">
      <c r="T1307" s="254">
        <v>1295</v>
      </c>
      <c r="U1307" s="248">
        <f t="shared" si="141"/>
        <v>536.74149999999997</v>
      </c>
      <c r="V1307" s="248">
        <f t="shared" si="142"/>
        <v>24.391499999999997</v>
      </c>
      <c r="W1307" s="248">
        <f t="shared" si="143"/>
        <v>-557.26</v>
      </c>
      <c r="X1307" s="248">
        <f t="shared" si="144"/>
        <v>3.8729999999999336</v>
      </c>
      <c r="Y1307" s="248">
        <f t="shared" ca="1" si="140"/>
        <v>13.385727699892982</v>
      </c>
      <c r="Z1307" s="248">
        <f t="shared" ca="1" si="145"/>
        <v>5.4128289443844091</v>
      </c>
      <c r="AA1307" s="250">
        <f t="shared" ca="1" si="146"/>
        <v>541.28289443844096</v>
      </c>
    </row>
    <row r="1308" spans="20:27" x14ac:dyDescent="0.3">
      <c r="T1308" s="254">
        <v>1296</v>
      </c>
      <c r="U1308" s="248">
        <f t="shared" si="141"/>
        <v>537.74149999999997</v>
      </c>
      <c r="V1308" s="248">
        <f t="shared" si="142"/>
        <v>24.391499999999997</v>
      </c>
      <c r="W1308" s="248">
        <f t="shared" si="143"/>
        <v>-558.26</v>
      </c>
      <c r="X1308" s="248">
        <f t="shared" si="144"/>
        <v>3.8729999999999336</v>
      </c>
      <c r="Y1308" s="248">
        <f t="shared" ca="1" si="140"/>
        <v>13.385727699892982</v>
      </c>
      <c r="Z1308" s="248">
        <f t="shared" ca="1" si="145"/>
        <v>5.4128289443844091</v>
      </c>
      <c r="AA1308" s="250">
        <f t="shared" ca="1" si="146"/>
        <v>541.28289443844096</v>
      </c>
    </row>
    <row r="1309" spans="20:27" x14ac:dyDescent="0.3">
      <c r="T1309" s="254">
        <v>1297</v>
      </c>
      <c r="U1309" s="248">
        <f t="shared" si="141"/>
        <v>538.74149999999997</v>
      </c>
      <c r="V1309" s="248">
        <f t="shared" si="142"/>
        <v>24.391499999999997</v>
      </c>
      <c r="W1309" s="248">
        <f t="shared" si="143"/>
        <v>-559.26</v>
      </c>
      <c r="X1309" s="248">
        <f t="shared" si="144"/>
        <v>3.8729999999999336</v>
      </c>
      <c r="Y1309" s="248">
        <f t="shared" ca="1" si="140"/>
        <v>13.385727699892982</v>
      </c>
      <c r="Z1309" s="248">
        <f t="shared" ca="1" si="145"/>
        <v>5.4128289443844091</v>
      </c>
      <c r="AA1309" s="250">
        <f t="shared" ca="1" si="146"/>
        <v>541.28289443844096</v>
      </c>
    </row>
    <row r="1310" spans="20:27" x14ac:dyDescent="0.3">
      <c r="T1310" s="254">
        <v>1298</v>
      </c>
      <c r="U1310" s="248">
        <f t="shared" si="141"/>
        <v>539.74149999999997</v>
      </c>
      <c r="V1310" s="248">
        <f t="shared" si="142"/>
        <v>24.391499999999997</v>
      </c>
      <c r="W1310" s="248">
        <f t="shared" si="143"/>
        <v>-560.26</v>
      </c>
      <c r="X1310" s="248">
        <f t="shared" si="144"/>
        <v>3.8729999999999336</v>
      </c>
      <c r="Y1310" s="248">
        <f t="shared" ca="1" si="140"/>
        <v>13.385727699892982</v>
      </c>
      <c r="Z1310" s="248">
        <f t="shared" ca="1" si="145"/>
        <v>5.4128289443844091</v>
      </c>
      <c r="AA1310" s="250">
        <f t="shared" ca="1" si="146"/>
        <v>541.28289443844096</v>
      </c>
    </row>
    <row r="1311" spans="20:27" x14ac:dyDescent="0.3">
      <c r="T1311" s="254">
        <v>1299</v>
      </c>
      <c r="U1311" s="248">
        <f t="shared" si="141"/>
        <v>540.74149999999997</v>
      </c>
      <c r="V1311" s="248">
        <f t="shared" si="142"/>
        <v>24.391499999999997</v>
      </c>
      <c r="W1311" s="248">
        <f t="shared" si="143"/>
        <v>-561.26</v>
      </c>
      <c r="X1311" s="248">
        <f t="shared" si="144"/>
        <v>3.8729999999999336</v>
      </c>
      <c r="Y1311" s="248">
        <f t="shared" ca="1" si="140"/>
        <v>13.385727699892982</v>
      </c>
      <c r="Z1311" s="248">
        <f t="shared" ca="1" si="145"/>
        <v>5.4128289443844091</v>
      </c>
      <c r="AA1311" s="250">
        <f t="shared" ca="1" si="146"/>
        <v>541.28289443844096</v>
      </c>
    </row>
    <row r="1312" spans="20:27" ht="15" thickBot="1" x14ac:dyDescent="0.35">
      <c r="T1312" s="256">
        <v>1300</v>
      </c>
      <c r="U1312" s="257">
        <f t="shared" si="141"/>
        <v>541.74149999999997</v>
      </c>
      <c r="V1312" s="257">
        <f t="shared" si="142"/>
        <v>24.391499999999997</v>
      </c>
      <c r="W1312" s="257">
        <f t="shared" si="143"/>
        <v>-562.26</v>
      </c>
      <c r="X1312" s="257">
        <f t="shared" si="144"/>
        <v>3.8729999999999336</v>
      </c>
      <c r="Y1312" s="257">
        <f t="shared" ca="1" si="140"/>
        <v>13.385727699892982</v>
      </c>
      <c r="Z1312" s="248">
        <f t="shared" ca="1" si="145"/>
        <v>5.4128289443844091</v>
      </c>
      <c r="AA1312" s="258">
        <f t="shared" ca="1" si="146"/>
        <v>541.28289443844096</v>
      </c>
    </row>
  </sheetData>
  <mergeCells count="3">
    <mergeCell ref="B8:I8"/>
    <mergeCell ref="K8:R8"/>
    <mergeCell ref="J8:J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GatherData">
                <anchor moveWithCells="1" sizeWithCells="1">
                  <from>
                    <xdr:col>5</xdr:col>
                    <xdr:colOff>137160</xdr:colOff>
                    <xdr:row>2</xdr:row>
                    <xdr:rowOff>99060</xdr:rowOff>
                  </from>
                  <to>
                    <xdr:col>6</xdr:col>
                    <xdr:colOff>304800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 11">
              <controlPr defaultSize="0" print="0" autoFill="0" autoPict="0" macro="[0]!ClearPrices">
                <anchor moveWithCells="1" sizeWithCells="1">
                  <from>
                    <xdr:col>5</xdr:col>
                    <xdr:colOff>137160</xdr:colOff>
                    <xdr:row>4</xdr:row>
                    <xdr:rowOff>45720</xdr:rowOff>
                  </from>
                  <to>
                    <xdr:col>6</xdr:col>
                    <xdr:colOff>304800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CalculateGreeks">
                <anchor moveWithCells="1" sizeWithCells="1">
                  <from>
                    <xdr:col>6</xdr:col>
                    <xdr:colOff>502920</xdr:colOff>
                    <xdr:row>2</xdr:row>
                    <xdr:rowOff>144780</xdr:rowOff>
                  </from>
                  <to>
                    <xdr:col>7</xdr:col>
                    <xdr:colOff>594360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C7B7805-C951-4A42-8051-8EE649FD1B1B}">
          <x14:formula1>
            <xm:f>'Assumptions &amp; Lists'!$D$4:$E$4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18F28-F784-4DDA-A877-B08E8D85C1E2}">
  <sheetPr codeName="Sheet6"/>
  <dimension ref="A1:Y999"/>
  <sheetViews>
    <sheetView zoomScale="130" zoomScaleNormal="130" workbookViewId="0">
      <selection activeCell="C3" sqref="C3"/>
    </sheetView>
  </sheetViews>
  <sheetFormatPr defaultColWidth="0" defaultRowHeight="14.4" x14ac:dyDescent="0.3"/>
  <cols>
    <col min="1" max="1" width="8.109375" style="109" customWidth="1"/>
    <col min="2" max="2" width="8.109375" style="174" customWidth="1"/>
    <col min="3" max="3" width="14.88671875" style="174" customWidth="1"/>
    <col min="4" max="8" width="8.109375" style="175" customWidth="1"/>
    <col min="9" max="9" width="8.109375" style="176" customWidth="1"/>
    <col min="10" max="11" width="8.109375" style="175" customWidth="1"/>
    <col min="12" max="12" width="8.5546875" style="175" bestFit="1" customWidth="1"/>
    <col min="13" max="16" width="8.109375" style="175" customWidth="1"/>
    <col min="17" max="17" width="8.109375" style="176" customWidth="1"/>
    <col min="18" max="18" width="8.109375" style="108" customWidth="1"/>
    <col min="19" max="16384" width="8.109375" style="108" hidden="1"/>
  </cols>
  <sheetData>
    <row r="1" spans="2:25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2:25" x14ac:dyDescent="0.3">
      <c r="B2"/>
      <c r="C2" t="s">
        <v>89</v>
      </c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2:25" ht="15.6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S3" s="177" t="s">
        <v>123</v>
      </c>
    </row>
    <row r="4" spans="2:25" x14ac:dyDescent="0.3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S4" s="108" t="b">
        <v>1</v>
      </c>
    </row>
    <row r="5" spans="2:25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S5" s="184"/>
      <c r="T5" s="184"/>
      <c r="U5" s="184"/>
      <c r="V5" s="184"/>
      <c r="W5" s="184"/>
      <c r="X5" s="184"/>
      <c r="Y5" s="184"/>
    </row>
    <row r="6" spans="2:25" x14ac:dyDescent="0.3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S6" s="184"/>
      <c r="T6" s="184"/>
      <c r="U6" s="184"/>
      <c r="V6" s="184"/>
      <c r="W6" s="184"/>
      <c r="X6" s="184"/>
      <c r="Y6" s="184"/>
    </row>
    <row r="7" spans="2:25" x14ac:dyDescent="0.3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S7" s="184"/>
      <c r="T7" s="184"/>
      <c r="U7" s="184" t="str" cm="1">
        <f t="array" ref="U7">author()</f>
        <v>Wessel van den Brink</v>
      </c>
      <c r="V7" s="184"/>
      <c r="W7" s="184"/>
      <c r="X7" s="184"/>
      <c r="Y7" s="184"/>
    </row>
    <row r="8" spans="2:25" x14ac:dyDescent="0.3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S8" s="184"/>
      <c r="T8" s="184"/>
      <c r="U8" s="184">
        <v>9</v>
      </c>
      <c r="V8" s="184"/>
      <c r="W8" s="184"/>
      <c r="X8" s="184"/>
      <c r="Y8" s="184"/>
    </row>
    <row r="9" spans="2:25" x14ac:dyDescent="0.3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S9" s="184"/>
      <c r="T9" s="184"/>
      <c r="U9" s="185" cm="1">
        <f t="array" ref="U9">_xlfn.IFS(print=",",",",AND(print&lt;&gt;",",ISERR(VALUE(print))=TRUE),"",ISERR(VALUE(print))=FALSE,print)</f>
        <v>0</v>
      </c>
      <c r="V9" s="184"/>
      <c r="W9" s="184"/>
      <c r="X9" s="184"/>
      <c r="Y9" s="184"/>
    </row>
    <row r="10" spans="2:25" x14ac:dyDescent="0.3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S10" s="184"/>
      <c r="T10" s="184"/>
      <c r="U10" s="184">
        <v>0</v>
      </c>
      <c r="V10" s="184"/>
      <c r="W10" s="184"/>
      <c r="X10" s="184"/>
      <c r="Y10" s="184"/>
    </row>
    <row r="11" spans="2:25" x14ac:dyDescent="0.3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S11" s="184"/>
      <c r="T11" s="184"/>
      <c r="U11" s="184" t="b">
        <f>TimeSpreadBool</f>
        <v>0</v>
      </c>
      <c r="V11" s="184"/>
      <c r="W11" s="184"/>
      <c r="X11" s="184"/>
      <c r="Y11" s="184"/>
    </row>
    <row r="12" spans="2:25" x14ac:dyDescent="0.3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S12" s="184"/>
      <c r="T12" s="184"/>
      <c r="U12" s="184"/>
      <c r="V12" s="184"/>
      <c r="W12" s="184"/>
      <c r="X12" s="184"/>
      <c r="Y12" s="184"/>
    </row>
    <row r="13" spans="2:25" x14ac:dyDescent="0.3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S13" s="184"/>
      <c r="T13" s="184"/>
      <c r="U13" s="184"/>
      <c r="V13" s="184"/>
      <c r="W13" s="184"/>
      <c r="X13" s="184"/>
      <c r="Y13" s="184"/>
    </row>
    <row r="14" spans="2:25" x14ac:dyDescent="0.3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2:25" x14ac:dyDescent="0.3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2:25" x14ac:dyDescent="0.3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2:19" x14ac:dyDescent="0.3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2:19" x14ac:dyDescent="0.3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2:19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2:19" x14ac:dyDescent="0.3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2:19" x14ac:dyDescent="0.3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2:19" x14ac:dyDescent="0.3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2:19" x14ac:dyDescent="0.3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2:19" x14ac:dyDescent="0.3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2:19" x14ac:dyDescent="0.3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2:19" x14ac:dyDescent="0.3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2:19" x14ac:dyDescent="0.3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2:19" x14ac:dyDescent="0.3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2:19" x14ac:dyDescent="0.3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S29" s="178"/>
    </row>
    <row r="30" spans="2:19" x14ac:dyDescent="0.3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2:19" x14ac:dyDescent="0.3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2:19" x14ac:dyDescent="0.3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2:19" x14ac:dyDescent="0.3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2:19" x14ac:dyDescent="0.3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2:19" x14ac:dyDescent="0.3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S35" s="178"/>
    </row>
    <row r="36" spans="2:19" x14ac:dyDescent="0.3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2:19" x14ac:dyDescent="0.3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2:19" x14ac:dyDescent="0.3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2:19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2:19" x14ac:dyDescent="0.3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2:19" x14ac:dyDescent="0.3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2:19" x14ac:dyDescent="0.3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2:19" x14ac:dyDescent="0.3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2:19" x14ac:dyDescent="0.3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2:19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2:19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2:19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2:19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2:17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2:17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2:1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2:17" x14ac:dyDescent="0.3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2:17" x14ac:dyDescent="0.3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2:17" x14ac:dyDescent="0.3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2:17" x14ac:dyDescent="0.3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2:17" x14ac:dyDescent="0.3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2:17" x14ac:dyDescent="0.3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2:17" x14ac:dyDescent="0.3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2:17" x14ac:dyDescent="0.3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2:17" x14ac:dyDescent="0.3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2:17" x14ac:dyDescent="0.3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2:17" x14ac:dyDescent="0.3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2:17" x14ac:dyDescent="0.3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2:17" x14ac:dyDescent="0.3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2:17" x14ac:dyDescent="0.3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2:17" x14ac:dyDescent="0.3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2:17" x14ac:dyDescent="0.3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2:17" x14ac:dyDescent="0.3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2:17" x14ac:dyDescent="0.3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2:17" x14ac:dyDescent="0.3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2:17" x14ac:dyDescent="0.3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2:17" x14ac:dyDescent="0.3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2:17" x14ac:dyDescent="0.3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2:17" x14ac:dyDescent="0.3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2:17" x14ac:dyDescent="0.3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2:17" x14ac:dyDescent="0.3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2:17" x14ac:dyDescent="0.3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2:17" x14ac:dyDescent="0.3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2:17" x14ac:dyDescent="0.3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2:17" x14ac:dyDescent="0.3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2:17" x14ac:dyDescent="0.3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2:17" x14ac:dyDescent="0.3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2:17" x14ac:dyDescent="0.3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2:17" x14ac:dyDescent="0.3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2:17" x14ac:dyDescent="0.3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2:17" x14ac:dyDescent="0.3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2:17" x14ac:dyDescent="0.3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2:17" x14ac:dyDescent="0.3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2:17" x14ac:dyDescent="0.3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2:17" x14ac:dyDescent="0.3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2:17" x14ac:dyDescent="0.3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2:17" x14ac:dyDescent="0.3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2:17" x14ac:dyDescent="0.3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2:17" x14ac:dyDescent="0.3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2:17" x14ac:dyDescent="0.3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2:17" x14ac:dyDescent="0.3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2:17" x14ac:dyDescent="0.3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2:17" x14ac:dyDescent="0.3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2:17" x14ac:dyDescent="0.3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2:17" x14ac:dyDescent="0.3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2:17" x14ac:dyDescent="0.3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2:17" x14ac:dyDescent="0.3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2:17" x14ac:dyDescent="0.3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2:17" x14ac:dyDescent="0.3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2:17" x14ac:dyDescent="0.3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2:17" x14ac:dyDescent="0.3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2:17" x14ac:dyDescent="0.3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2:17" x14ac:dyDescent="0.3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2:17" x14ac:dyDescent="0.3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2:17" x14ac:dyDescent="0.3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2:17" x14ac:dyDescent="0.3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2:17" x14ac:dyDescent="0.3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2:17" x14ac:dyDescent="0.3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2:17" x14ac:dyDescent="0.3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2:17" x14ac:dyDescent="0.3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2:17" x14ac:dyDescent="0.3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2:17" x14ac:dyDescent="0.3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2:17" x14ac:dyDescent="0.3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2:17" x14ac:dyDescent="0.3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2:17" x14ac:dyDescent="0.3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2:17" x14ac:dyDescent="0.3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2:17" x14ac:dyDescent="0.3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2:17" x14ac:dyDescent="0.3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2:17" x14ac:dyDescent="0.3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2:17" x14ac:dyDescent="0.3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2:17" x14ac:dyDescent="0.3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2:17" x14ac:dyDescent="0.3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2:17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2:23" x14ac:dyDescent="0.3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2:23" x14ac:dyDescent="0.3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2:23" x14ac:dyDescent="0.3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2:23" x14ac:dyDescent="0.3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W132" s="178"/>
    </row>
    <row r="133" spans="2:23" x14ac:dyDescent="0.3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2:23" x14ac:dyDescent="0.3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2:23" x14ac:dyDescent="0.3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2:23" x14ac:dyDescent="0.3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2:23" x14ac:dyDescent="0.3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2:23" x14ac:dyDescent="0.3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2:23" x14ac:dyDescent="0.3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2:23" x14ac:dyDescent="0.3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2:23" x14ac:dyDescent="0.3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2:23" x14ac:dyDescent="0.3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2:23" x14ac:dyDescent="0.3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2:23" x14ac:dyDescent="0.3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2:17" x14ac:dyDescent="0.3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2:17" x14ac:dyDescent="0.3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2:17" x14ac:dyDescent="0.3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2:17" x14ac:dyDescent="0.3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2:17" x14ac:dyDescent="0.3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2:17" x14ac:dyDescent="0.3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2:17" x14ac:dyDescent="0.3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2:17" x14ac:dyDescent="0.3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2:17" x14ac:dyDescent="0.3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2:17" x14ac:dyDescent="0.3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2:17" x14ac:dyDescent="0.3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2:17" x14ac:dyDescent="0.3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2:17" x14ac:dyDescent="0.3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2:17" x14ac:dyDescent="0.3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2:17" x14ac:dyDescent="0.3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2:17" x14ac:dyDescent="0.3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2:17" x14ac:dyDescent="0.3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2:17" x14ac:dyDescent="0.3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2:17" x14ac:dyDescent="0.3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2:17" x14ac:dyDescent="0.3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2:17" x14ac:dyDescent="0.3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2:17" x14ac:dyDescent="0.3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2:17" x14ac:dyDescent="0.3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2:17" x14ac:dyDescent="0.3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2:17" x14ac:dyDescent="0.3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2:17" x14ac:dyDescent="0.3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2:17" x14ac:dyDescent="0.3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2:17" x14ac:dyDescent="0.3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2:17" x14ac:dyDescent="0.3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2:17" x14ac:dyDescent="0.3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2:17" x14ac:dyDescent="0.3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2:17" x14ac:dyDescent="0.3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2:17" x14ac:dyDescent="0.3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2:17" x14ac:dyDescent="0.3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2:17" x14ac:dyDescent="0.3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2:17" x14ac:dyDescent="0.3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2:17" x14ac:dyDescent="0.3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2:17" x14ac:dyDescent="0.3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2:17" x14ac:dyDescent="0.3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2:17" x14ac:dyDescent="0.3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2:17" x14ac:dyDescent="0.3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2:17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2:17" x14ac:dyDescent="0.3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2:17" x14ac:dyDescent="0.3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2:17" x14ac:dyDescent="0.3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2:17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2:17" x14ac:dyDescent="0.3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2:17" x14ac:dyDescent="0.3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2:17" x14ac:dyDescent="0.3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2:17" x14ac:dyDescent="0.3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2:17" x14ac:dyDescent="0.3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2:17" x14ac:dyDescent="0.3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2:17" x14ac:dyDescent="0.3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2:17" x14ac:dyDescent="0.3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2:17" x14ac:dyDescent="0.3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2:17" x14ac:dyDescent="0.3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2:17" x14ac:dyDescent="0.3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2:17" x14ac:dyDescent="0.3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2:17" x14ac:dyDescent="0.3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2:17" x14ac:dyDescent="0.3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2:17" x14ac:dyDescent="0.3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2:17" x14ac:dyDescent="0.3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2:17" x14ac:dyDescent="0.3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2:17" x14ac:dyDescent="0.3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2:17" x14ac:dyDescent="0.3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2:17" x14ac:dyDescent="0.3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2:17" x14ac:dyDescent="0.3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2:17" x14ac:dyDescent="0.3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2:17" x14ac:dyDescent="0.3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2:17" x14ac:dyDescent="0.3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2:17" x14ac:dyDescent="0.3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2:17" x14ac:dyDescent="0.3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2:17" x14ac:dyDescent="0.3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2:17" x14ac:dyDescent="0.3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2:17" x14ac:dyDescent="0.3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2:17" x14ac:dyDescent="0.3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2:17" x14ac:dyDescent="0.3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2:17" x14ac:dyDescent="0.3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2:17" x14ac:dyDescent="0.3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2:17" x14ac:dyDescent="0.3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2:17" x14ac:dyDescent="0.3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2:17" x14ac:dyDescent="0.3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2:17" x14ac:dyDescent="0.3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2:17" x14ac:dyDescent="0.3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2:17" x14ac:dyDescent="0.3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2:17" x14ac:dyDescent="0.3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2:17" x14ac:dyDescent="0.3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2:17" x14ac:dyDescent="0.3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2:17" x14ac:dyDescent="0.3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2:17" x14ac:dyDescent="0.3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2:17" x14ac:dyDescent="0.3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2:17" x14ac:dyDescent="0.3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2:17" x14ac:dyDescent="0.3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2:17" x14ac:dyDescent="0.3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2:17" x14ac:dyDescent="0.3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2:17" x14ac:dyDescent="0.3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2:17" x14ac:dyDescent="0.3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2:17" x14ac:dyDescent="0.3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2:17" x14ac:dyDescent="0.3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2:17" x14ac:dyDescent="0.3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2:17" x14ac:dyDescent="0.3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2:17" x14ac:dyDescent="0.3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2:17" x14ac:dyDescent="0.3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2:17" x14ac:dyDescent="0.3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2:17" x14ac:dyDescent="0.3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2:17" x14ac:dyDescent="0.3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2:17" x14ac:dyDescent="0.3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2:17" x14ac:dyDescent="0.3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2:17" x14ac:dyDescent="0.3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2:17" x14ac:dyDescent="0.3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2:17" x14ac:dyDescent="0.3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2:17" x14ac:dyDescent="0.3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2:17" x14ac:dyDescent="0.3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2:17" x14ac:dyDescent="0.3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2:17" x14ac:dyDescent="0.3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2:17" x14ac:dyDescent="0.3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2:17" x14ac:dyDescent="0.3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2:17" x14ac:dyDescent="0.3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2:17" x14ac:dyDescent="0.3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2:17" x14ac:dyDescent="0.3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2:17" x14ac:dyDescent="0.3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2:17" x14ac:dyDescent="0.3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2:17" x14ac:dyDescent="0.3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2:17" x14ac:dyDescent="0.3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2:17" x14ac:dyDescent="0.3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2:17" x14ac:dyDescent="0.3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2:17" x14ac:dyDescent="0.3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2:17" x14ac:dyDescent="0.3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2:17" x14ac:dyDescent="0.3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2:17" x14ac:dyDescent="0.3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2:17" x14ac:dyDescent="0.3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2:17" x14ac:dyDescent="0.3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2:17" x14ac:dyDescent="0.3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2:17" x14ac:dyDescent="0.3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2:17" x14ac:dyDescent="0.3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2:17" x14ac:dyDescent="0.3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2:17" x14ac:dyDescent="0.3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2:17" x14ac:dyDescent="0.3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2:17" x14ac:dyDescent="0.3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2:17" x14ac:dyDescent="0.3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2:17" x14ac:dyDescent="0.3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2:17" x14ac:dyDescent="0.3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2:17" x14ac:dyDescent="0.3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2:17" x14ac:dyDescent="0.3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2:17" x14ac:dyDescent="0.3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2:17" x14ac:dyDescent="0.3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2:17" x14ac:dyDescent="0.3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2:17" x14ac:dyDescent="0.3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2:17" x14ac:dyDescent="0.3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2:17" x14ac:dyDescent="0.3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2:17" x14ac:dyDescent="0.3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2:17" x14ac:dyDescent="0.3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2:17" x14ac:dyDescent="0.3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2:17" x14ac:dyDescent="0.3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2:17" x14ac:dyDescent="0.3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2:17" x14ac:dyDescent="0.3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2:17" x14ac:dyDescent="0.3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2:17" x14ac:dyDescent="0.3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2:17" x14ac:dyDescent="0.3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2:17" x14ac:dyDescent="0.3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2:17" x14ac:dyDescent="0.3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2:17" x14ac:dyDescent="0.3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2:17" x14ac:dyDescent="0.3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2:17" x14ac:dyDescent="0.3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2:17" x14ac:dyDescent="0.3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2:17" x14ac:dyDescent="0.3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2:17" x14ac:dyDescent="0.3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2:17" x14ac:dyDescent="0.3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2:17" x14ac:dyDescent="0.3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2:17" x14ac:dyDescent="0.3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2:17" x14ac:dyDescent="0.3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2:17" x14ac:dyDescent="0.3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2:17" x14ac:dyDescent="0.3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2:17" x14ac:dyDescent="0.3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2:17" x14ac:dyDescent="0.3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2:17" x14ac:dyDescent="0.3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2:17" x14ac:dyDescent="0.3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2:17" x14ac:dyDescent="0.3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2:17" x14ac:dyDescent="0.3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2:17" x14ac:dyDescent="0.3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2:17" x14ac:dyDescent="0.3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2:17" x14ac:dyDescent="0.3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2:17" x14ac:dyDescent="0.3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2:17" x14ac:dyDescent="0.3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2:17" x14ac:dyDescent="0.3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2:17" x14ac:dyDescent="0.3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2:17" x14ac:dyDescent="0.3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2:17" x14ac:dyDescent="0.3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2:17" x14ac:dyDescent="0.3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2:17" x14ac:dyDescent="0.3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2:17" x14ac:dyDescent="0.3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2:17" x14ac:dyDescent="0.3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2:17" x14ac:dyDescent="0.3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2:17" x14ac:dyDescent="0.3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2:17" x14ac:dyDescent="0.3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2:17" x14ac:dyDescent="0.3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2:17" x14ac:dyDescent="0.3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2:17" x14ac:dyDescent="0.3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2:17" x14ac:dyDescent="0.3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2:17" x14ac:dyDescent="0.3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2:17" x14ac:dyDescent="0.3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2:17" x14ac:dyDescent="0.3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2:17" x14ac:dyDescent="0.3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2:17" x14ac:dyDescent="0.3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2:17" x14ac:dyDescent="0.3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2:17" x14ac:dyDescent="0.3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2:17" x14ac:dyDescent="0.3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2:17" x14ac:dyDescent="0.3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2:17" x14ac:dyDescent="0.3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2:17" x14ac:dyDescent="0.3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2:17" x14ac:dyDescent="0.3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2:17" x14ac:dyDescent="0.3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2:17" x14ac:dyDescent="0.3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2:17" x14ac:dyDescent="0.3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2:17" x14ac:dyDescent="0.3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2:17" x14ac:dyDescent="0.3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2:17" x14ac:dyDescent="0.3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2:17" x14ac:dyDescent="0.3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2:17" x14ac:dyDescent="0.3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2:17" x14ac:dyDescent="0.3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2:17" x14ac:dyDescent="0.3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2:17" x14ac:dyDescent="0.3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2:17" x14ac:dyDescent="0.3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2:17" x14ac:dyDescent="0.3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2:17" x14ac:dyDescent="0.3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2:17" x14ac:dyDescent="0.3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2:17" x14ac:dyDescent="0.3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2:17" x14ac:dyDescent="0.3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2:17" x14ac:dyDescent="0.3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2:17" x14ac:dyDescent="0.3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2:17" x14ac:dyDescent="0.3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2:17" x14ac:dyDescent="0.3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2:17" x14ac:dyDescent="0.3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2:17" x14ac:dyDescent="0.3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2:17" x14ac:dyDescent="0.3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2:17" x14ac:dyDescent="0.3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2:17" x14ac:dyDescent="0.3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2:17" x14ac:dyDescent="0.3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2:17" x14ac:dyDescent="0.3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2:17" x14ac:dyDescent="0.3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2:17" x14ac:dyDescent="0.3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2:17" x14ac:dyDescent="0.3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2:17" x14ac:dyDescent="0.3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2:17" x14ac:dyDescent="0.3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2:17" x14ac:dyDescent="0.3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2:17" x14ac:dyDescent="0.3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2:17" x14ac:dyDescent="0.3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2:17" x14ac:dyDescent="0.3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2:17" x14ac:dyDescent="0.3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2:17" x14ac:dyDescent="0.3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2:17" x14ac:dyDescent="0.3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2:17" x14ac:dyDescent="0.3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2:17" x14ac:dyDescent="0.3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2:17" x14ac:dyDescent="0.3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2:17" x14ac:dyDescent="0.3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2:17" x14ac:dyDescent="0.3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2:17" x14ac:dyDescent="0.3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2:17" x14ac:dyDescent="0.3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2:17" x14ac:dyDescent="0.3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2:17" x14ac:dyDescent="0.3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2:17" x14ac:dyDescent="0.3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2:17" x14ac:dyDescent="0.3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2:17" x14ac:dyDescent="0.3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2:17" x14ac:dyDescent="0.3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2:17" x14ac:dyDescent="0.3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2:17" x14ac:dyDescent="0.3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2:17" x14ac:dyDescent="0.3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2:17" x14ac:dyDescent="0.3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2:17" x14ac:dyDescent="0.3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2:17" x14ac:dyDescent="0.3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2:17" x14ac:dyDescent="0.3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2:17" x14ac:dyDescent="0.3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2:17" x14ac:dyDescent="0.3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2:17" x14ac:dyDescent="0.3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2:17" x14ac:dyDescent="0.3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2:17" x14ac:dyDescent="0.3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2:17" x14ac:dyDescent="0.3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2:17" x14ac:dyDescent="0.3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2:17" x14ac:dyDescent="0.3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2:17" x14ac:dyDescent="0.3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2:17" x14ac:dyDescent="0.3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2:17" x14ac:dyDescent="0.3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2:17" x14ac:dyDescent="0.3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2:17" x14ac:dyDescent="0.3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2:17" x14ac:dyDescent="0.3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2:17" x14ac:dyDescent="0.3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2:17" x14ac:dyDescent="0.3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2:17" x14ac:dyDescent="0.3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2:17" x14ac:dyDescent="0.3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2:17" x14ac:dyDescent="0.3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2:17" x14ac:dyDescent="0.3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2:17" x14ac:dyDescent="0.3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2:17" x14ac:dyDescent="0.3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2:17" x14ac:dyDescent="0.3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2:17" x14ac:dyDescent="0.3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2:17" x14ac:dyDescent="0.3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2:17" x14ac:dyDescent="0.3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2:17" x14ac:dyDescent="0.3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2:17" x14ac:dyDescent="0.3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2:17" x14ac:dyDescent="0.3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2:17" x14ac:dyDescent="0.3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2:17" x14ac:dyDescent="0.3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2:17" x14ac:dyDescent="0.3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2:17" x14ac:dyDescent="0.3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2:17" x14ac:dyDescent="0.3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2:17" x14ac:dyDescent="0.3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2:17" x14ac:dyDescent="0.3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2:17" x14ac:dyDescent="0.3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2:17" x14ac:dyDescent="0.3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2:17" x14ac:dyDescent="0.3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2:17" x14ac:dyDescent="0.3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2:17" x14ac:dyDescent="0.3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2:17" x14ac:dyDescent="0.3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2:17" x14ac:dyDescent="0.3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2:17" x14ac:dyDescent="0.3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2:17" x14ac:dyDescent="0.3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2:17" x14ac:dyDescent="0.3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2:17" x14ac:dyDescent="0.3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2:17" x14ac:dyDescent="0.3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2:17" x14ac:dyDescent="0.3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2:17" x14ac:dyDescent="0.3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2:17" x14ac:dyDescent="0.3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2:17" x14ac:dyDescent="0.3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2:17" x14ac:dyDescent="0.3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2:17" x14ac:dyDescent="0.3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2:17" x14ac:dyDescent="0.3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2:17" x14ac:dyDescent="0.3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2:17" x14ac:dyDescent="0.3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2:17" x14ac:dyDescent="0.3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2:17" x14ac:dyDescent="0.3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2:17" x14ac:dyDescent="0.3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2:17" x14ac:dyDescent="0.3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2:17" x14ac:dyDescent="0.3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2:17" x14ac:dyDescent="0.3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2:17" x14ac:dyDescent="0.3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2:17" x14ac:dyDescent="0.3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2:17" x14ac:dyDescent="0.3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2:17" x14ac:dyDescent="0.3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2:17" x14ac:dyDescent="0.3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2:17" x14ac:dyDescent="0.3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2:17" x14ac:dyDescent="0.3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2:17" x14ac:dyDescent="0.3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2:17" x14ac:dyDescent="0.3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2:17" x14ac:dyDescent="0.3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2:17" x14ac:dyDescent="0.3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2:17" x14ac:dyDescent="0.3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2:17" x14ac:dyDescent="0.3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2:17" x14ac:dyDescent="0.3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2:17" x14ac:dyDescent="0.3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2:17" x14ac:dyDescent="0.3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2:17" x14ac:dyDescent="0.3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2:17" x14ac:dyDescent="0.3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2:17" x14ac:dyDescent="0.3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2:17" x14ac:dyDescent="0.3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2:17" x14ac:dyDescent="0.3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2:17" x14ac:dyDescent="0.3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2:17" x14ac:dyDescent="0.3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2:17" x14ac:dyDescent="0.3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2:17" x14ac:dyDescent="0.3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2:17" x14ac:dyDescent="0.3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2:17" x14ac:dyDescent="0.3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2:17" x14ac:dyDescent="0.3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2:17" x14ac:dyDescent="0.3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2:17" x14ac:dyDescent="0.3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2:17" x14ac:dyDescent="0.3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2:17" x14ac:dyDescent="0.3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2:17" x14ac:dyDescent="0.3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2:17" x14ac:dyDescent="0.3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2:17" x14ac:dyDescent="0.3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2:17" x14ac:dyDescent="0.3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2:17" x14ac:dyDescent="0.3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2:17" x14ac:dyDescent="0.3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2:17" x14ac:dyDescent="0.3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2:17" x14ac:dyDescent="0.3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2:17" x14ac:dyDescent="0.3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2:17" x14ac:dyDescent="0.3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2:17" x14ac:dyDescent="0.3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2:17" x14ac:dyDescent="0.3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2:17" x14ac:dyDescent="0.3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2:17" x14ac:dyDescent="0.3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2:17" x14ac:dyDescent="0.3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2:17" x14ac:dyDescent="0.3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2:17" x14ac:dyDescent="0.3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2:17" x14ac:dyDescent="0.3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2:17" x14ac:dyDescent="0.3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2:17" x14ac:dyDescent="0.3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2:17" x14ac:dyDescent="0.3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2:17" x14ac:dyDescent="0.3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2:17" x14ac:dyDescent="0.3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2:17" x14ac:dyDescent="0.3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2:17" x14ac:dyDescent="0.3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2:17" x14ac:dyDescent="0.3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2:17" x14ac:dyDescent="0.3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2:17" x14ac:dyDescent="0.3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2:17" x14ac:dyDescent="0.3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2:17" x14ac:dyDescent="0.3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2:17" x14ac:dyDescent="0.3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2:17" x14ac:dyDescent="0.3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2:17" x14ac:dyDescent="0.3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2:17" x14ac:dyDescent="0.3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2:17" x14ac:dyDescent="0.3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2:17" x14ac:dyDescent="0.3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2:17" x14ac:dyDescent="0.3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2:17" x14ac:dyDescent="0.3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2:17" x14ac:dyDescent="0.3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2:17" x14ac:dyDescent="0.3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2:17" x14ac:dyDescent="0.3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2:17" x14ac:dyDescent="0.3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2:17" x14ac:dyDescent="0.3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2:17" x14ac:dyDescent="0.3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2:17" x14ac:dyDescent="0.3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2:17" x14ac:dyDescent="0.3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2:17" x14ac:dyDescent="0.3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2:17" x14ac:dyDescent="0.3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2:17" x14ac:dyDescent="0.3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2:17" x14ac:dyDescent="0.3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2:17" x14ac:dyDescent="0.3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2:17" x14ac:dyDescent="0.3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2:17" x14ac:dyDescent="0.3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2:17" x14ac:dyDescent="0.3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2:17" x14ac:dyDescent="0.3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2:17" x14ac:dyDescent="0.3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2:17" x14ac:dyDescent="0.3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2:17" x14ac:dyDescent="0.3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2:17" x14ac:dyDescent="0.3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2:17" x14ac:dyDescent="0.3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2:17" x14ac:dyDescent="0.3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2:17" x14ac:dyDescent="0.3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2:17" x14ac:dyDescent="0.3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2:17" x14ac:dyDescent="0.3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2:17" x14ac:dyDescent="0.3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2:17" x14ac:dyDescent="0.3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2:17" x14ac:dyDescent="0.3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2:17" x14ac:dyDescent="0.3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2:17" x14ac:dyDescent="0.3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2:17" x14ac:dyDescent="0.3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2:17" x14ac:dyDescent="0.3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2:17" x14ac:dyDescent="0.3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2:17" x14ac:dyDescent="0.3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2:17" x14ac:dyDescent="0.3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2:17" x14ac:dyDescent="0.3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2:17" x14ac:dyDescent="0.3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2:17" x14ac:dyDescent="0.3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2:17" x14ac:dyDescent="0.3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2:17" x14ac:dyDescent="0.3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2:17" x14ac:dyDescent="0.3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2:17" x14ac:dyDescent="0.3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2:17" x14ac:dyDescent="0.3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2:17" x14ac:dyDescent="0.3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2:17" x14ac:dyDescent="0.3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2:17" x14ac:dyDescent="0.3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2:17" x14ac:dyDescent="0.3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2:17" x14ac:dyDescent="0.3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2:17" x14ac:dyDescent="0.3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2:17" x14ac:dyDescent="0.3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2:17" x14ac:dyDescent="0.3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2:17" x14ac:dyDescent="0.3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2:17" x14ac:dyDescent="0.3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2:17" x14ac:dyDescent="0.3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2:17" x14ac:dyDescent="0.3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2:17" x14ac:dyDescent="0.3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2:17" x14ac:dyDescent="0.3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2:17" x14ac:dyDescent="0.3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2:17" x14ac:dyDescent="0.3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2:17" x14ac:dyDescent="0.3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2:17" x14ac:dyDescent="0.3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2:17" x14ac:dyDescent="0.3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2:17" x14ac:dyDescent="0.3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2:17" x14ac:dyDescent="0.3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2:17" x14ac:dyDescent="0.3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2:17" x14ac:dyDescent="0.3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2:17" x14ac:dyDescent="0.3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2:17" x14ac:dyDescent="0.3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2:17" x14ac:dyDescent="0.3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2:17" x14ac:dyDescent="0.3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2:17" x14ac:dyDescent="0.3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2:17" x14ac:dyDescent="0.3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2:17" x14ac:dyDescent="0.3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2:17" x14ac:dyDescent="0.3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2:17" x14ac:dyDescent="0.3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2:17" x14ac:dyDescent="0.3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2:17" x14ac:dyDescent="0.3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2:17" x14ac:dyDescent="0.3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2:17" x14ac:dyDescent="0.3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2:17" x14ac:dyDescent="0.3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2:17" x14ac:dyDescent="0.3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2:17" x14ac:dyDescent="0.3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2:17" x14ac:dyDescent="0.3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2:17" x14ac:dyDescent="0.3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2:17" x14ac:dyDescent="0.3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2:17" x14ac:dyDescent="0.3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2:17" x14ac:dyDescent="0.3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2:17" x14ac:dyDescent="0.3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2:17" x14ac:dyDescent="0.3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2:17" x14ac:dyDescent="0.3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2:17" x14ac:dyDescent="0.3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2:17" x14ac:dyDescent="0.3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2:17" x14ac:dyDescent="0.3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2:17" x14ac:dyDescent="0.3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2:17" x14ac:dyDescent="0.3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2:17" x14ac:dyDescent="0.3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2:17" x14ac:dyDescent="0.3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2:17" x14ac:dyDescent="0.3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2:17" x14ac:dyDescent="0.3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2:17" x14ac:dyDescent="0.3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2:17" x14ac:dyDescent="0.3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2:17" x14ac:dyDescent="0.3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2:17" x14ac:dyDescent="0.3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2:17" x14ac:dyDescent="0.3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2:17" x14ac:dyDescent="0.3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2:17" x14ac:dyDescent="0.3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2:17" x14ac:dyDescent="0.3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2:17" x14ac:dyDescent="0.3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2:17" x14ac:dyDescent="0.3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2:17" x14ac:dyDescent="0.3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2:17" x14ac:dyDescent="0.3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2:17" x14ac:dyDescent="0.3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2:17" x14ac:dyDescent="0.3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2:17" x14ac:dyDescent="0.3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2:17" x14ac:dyDescent="0.3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2:17" x14ac:dyDescent="0.3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2:17" x14ac:dyDescent="0.3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2:17" x14ac:dyDescent="0.3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2:17" x14ac:dyDescent="0.3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2:17" x14ac:dyDescent="0.3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2:17" x14ac:dyDescent="0.3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2:17" x14ac:dyDescent="0.3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2:17" x14ac:dyDescent="0.3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2:17" x14ac:dyDescent="0.3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2:17" x14ac:dyDescent="0.3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2:17" x14ac:dyDescent="0.3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2:17" x14ac:dyDescent="0.3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2:17" x14ac:dyDescent="0.3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2:17" x14ac:dyDescent="0.3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2:17" x14ac:dyDescent="0.3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2:17" x14ac:dyDescent="0.3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2:17" x14ac:dyDescent="0.3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2:17" x14ac:dyDescent="0.3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2:17" x14ac:dyDescent="0.3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2:17" x14ac:dyDescent="0.3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2:17" x14ac:dyDescent="0.3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2:17" x14ac:dyDescent="0.3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2:17" x14ac:dyDescent="0.3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2:17" x14ac:dyDescent="0.3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2:17" x14ac:dyDescent="0.3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2:17" x14ac:dyDescent="0.3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2:17" x14ac:dyDescent="0.3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2:17" x14ac:dyDescent="0.3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2:17" x14ac:dyDescent="0.3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2:17" x14ac:dyDescent="0.3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2:17" x14ac:dyDescent="0.3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2:17" x14ac:dyDescent="0.3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2:17" x14ac:dyDescent="0.3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2:17" x14ac:dyDescent="0.3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2:17" x14ac:dyDescent="0.3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2:17" x14ac:dyDescent="0.3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2:17" x14ac:dyDescent="0.3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2:17" x14ac:dyDescent="0.3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2:17" x14ac:dyDescent="0.3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2:17" x14ac:dyDescent="0.3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2:17" x14ac:dyDescent="0.3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2:17" x14ac:dyDescent="0.3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2:17" x14ac:dyDescent="0.3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2:17" x14ac:dyDescent="0.3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2:17" x14ac:dyDescent="0.3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2:17" x14ac:dyDescent="0.3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2:17" x14ac:dyDescent="0.3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2:17" x14ac:dyDescent="0.3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2:17" x14ac:dyDescent="0.3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2:17" x14ac:dyDescent="0.3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2:17" x14ac:dyDescent="0.3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2:17" x14ac:dyDescent="0.3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2:17" x14ac:dyDescent="0.3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2:17" x14ac:dyDescent="0.3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2:17" x14ac:dyDescent="0.3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2:17" x14ac:dyDescent="0.3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2:17" x14ac:dyDescent="0.3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2:17" x14ac:dyDescent="0.3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2:17" x14ac:dyDescent="0.3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2:17" x14ac:dyDescent="0.3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2:17" x14ac:dyDescent="0.3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2:17" x14ac:dyDescent="0.3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2:17" x14ac:dyDescent="0.3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2:17" x14ac:dyDescent="0.3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2:17" x14ac:dyDescent="0.3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2:17" x14ac:dyDescent="0.3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2:17" x14ac:dyDescent="0.3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2:17" x14ac:dyDescent="0.3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2:17" x14ac:dyDescent="0.3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2:17" x14ac:dyDescent="0.3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2:17" x14ac:dyDescent="0.3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2:17" x14ac:dyDescent="0.3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2:17" x14ac:dyDescent="0.3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2:17" x14ac:dyDescent="0.3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2:17" x14ac:dyDescent="0.3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2:17" x14ac:dyDescent="0.3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2:17" x14ac:dyDescent="0.3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2:17" x14ac:dyDescent="0.3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2:17" x14ac:dyDescent="0.3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2:17" x14ac:dyDescent="0.3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2:17" x14ac:dyDescent="0.3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2:17" x14ac:dyDescent="0.3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2:17" x14ac:dyDescent="0.3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2:17" x14ac:dyDescent="0.3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2:17" x14ac:dyDescent="0.3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2:17" x14ac:dyDescent="0.3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2:17" x14ac:dyDescent="0.3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2:17" x14ac:dyDescent="0.3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2:17" x14ac:dyDescent="0.3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2:17" x14ac:dyDescent="0.3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2:17" x14ac:dyDescent="0.3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2:17" x14ac:dyDescent="0.3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2:17" x14ac:dyDescent="0.3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2:17" x14ac:dyDescent="0.3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2:17" x14ac:dyDescent="0.3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2:17" x14ac:dyDescent="0.3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2:17" x14ac:dyDescent="0.3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2:17" x14ac:dyDescent="0.3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2:17" x14ac:dyDescent="0.3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2:17" x14ac:dyDescent="0.3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2:17" x14ac:dyDescent="0.3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2:17" x14ac:dyDescent="0.3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2:17" x14ac:dyDescent="0.3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2:17" x14ac:dyDescent="0.3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2:17" x14ac:dyDescent="0.3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2:17" x14ac:dyDescent="0.3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2:17" x14ac:dyDescent="0.3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2:17" x14ac:dyDescent="0.3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2:17" x14ac:dyDescent="0.3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2:17" x14ac:dyDescent="0.3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2:17" x14ac:dyDescent="0.3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2:17" x14ac:dyDescent="0.3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2:17" x14ac:dyDescent="0.3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2:17" x14ac:dyDescent="0.3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2:17" x14ac:dyDescent="0.3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2:17" x14ac:dyDescent="0.3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2:17" x14ac:dyDescent="0.3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2:17" x14ac:dyDescent="0.3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2:17" x14ac:dyDescent="0.3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2:17" x14ac:dyDescent="0.3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2:17" x14ac:dyDescent="0.3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2:17" x14ac:dyDescent="0.3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2:17" x14ac:dyDescent="0.3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2:17" x14ac:dyDescent="0.3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2:17" x14ac:dyDescent="0.3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2:17" x14ac:dyDescent="0.3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2:17" x14ac:dyDescent="0.3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2:17" x14ac:dyDescent="0.3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2:17" x14ac:dyDescent="0.3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2:17" x14ac:dyDescent="0.3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2:17" x14ac:dyDescent="0.3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2:17" x14ac:dyDescent="0.3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2:17" x14ac:dyDescent="0.3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2:17" x14ac:dyDescent="0.3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2:17" x14ac:dyDescent="0.3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2:17" x14ac:dyDescent="0.3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2:17" x14ac:dyDescent="0.3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2:17" x14ac:dyDescent="0.3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2:17" x14ac:dyDescent="0.3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2:17" x14ac:dyDescent="0.3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2:17" x14ac:dyDescent="0.3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2:17" x14ac:dyDescent="0.3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2:17" x14ac:dyDescent="0.3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2:17" x14ac:dyDescent="0.3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2:17" x14ac:dyDescent="0.3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2:17" x14ac:dyDescent="0.3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2:17" x14ac:dyDescent="0.3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2:17" x14ac:dyDescent="0.3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2:17" x14ac:dyDescent="0.3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2:17" x14ac:dyDescent="0.3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2:17" x14ac:dyDescent="0.3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2:17" x14ac:dyDescent="0.3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2:17" x14ac:dyDescent="0.3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2:17" x14ac:dyDescent="0.3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2:17" x14ac:dyDescent="0.3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2:17" x14ac:dyDescent="0.3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2:17" x14ac:dyDescent="0.3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2:17" x14ac:dyDescent="0.3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2:17" x14ac:dyDescent="0.3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2:17" x14ac:dyDescent="0.3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2:17" x14ac:dyDescent="0.3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2:17" x14ac:dyDescent="0.3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2:17" x14ac:dyDescent="0.3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2:17" x14ac:dyDescent="0.3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2:17" x14ac:dyDescent="0.3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2:17" x14ac:dyDescent="0.3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2:17" x14ac:dyDescent="0.3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2:17" x14ac:dyDescent="0.3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2:17" x14ac:dyDescent="0.3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2:17" x14ac:dyDescent="0.3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2:17" x14ac:dyDescent="0.3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2:17" x14ac:dyDescent="0.3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2:17" x14ac:dyDescent="0.3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2:17" x14ac:dyDescent="0.3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2:17" x14ac:dyDescent="0.3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2:17" x14ac:dyDescent="0.3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2:17" x14ac:dyDescent="0.3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2:17" x14ac:dyDescent="0.3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2:17" x14ac:dyDescent="0.3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2:17" x14ac:dyDescent="0.3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2:17" x14ac:dyDescent="0.3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2:17" x14ac:dyDescent="0.3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2:17" x14ac:dyDescent="0.3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2:17" x14ac:dyDescent="0.3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2:17" x14ac:dyDescent="0.3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2:17" x14ac:dyDescent="0.3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2:17" x14ac:dyDescent="0.3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2:17" x14ac:dyDescent="0.3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2:17" x14ac:dyDescent="0.3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2:17" x14ac:dyDescent="0.3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2:17" x14ac:dyDescent="0.3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2:17" x14ac:dyDescent="0.3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2:17" x14ac:dyDescent="0.3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2:17" x14ac:dyDescent="0.3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2:17" x14ac:dyDescent="0.3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2:17" x14ac:dyDescent="0.3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2:17" x14ac:dyDescent="0.3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2:17" x14ac:dyDescent="0.3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2:17" x14ac:dyDescent="0.3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2:17" x14ac:dyDescent="0.3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2:17" x14ac:dyDescent="0.3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2:17" x14ac:dyDescent="0.3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2:17" x14ac:dyDescent="0.3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2:17" x14ac:dyDescent="0.3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2:17" x14ac:dyDescent="0.3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2:17" x14ac:dyDescent="0.3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2:17" x14ac:dyDescent="0.3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2:17" x14ac:dyDescent="0.3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2:17" x14ac:dyDescent="0.3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2:17" x14ac:dyDescent="0.3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2:17" x14ac:dyDescent="0.3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2:17" x14ac:dyDescent="0.3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2:17" x14ac:dyDescent="0.3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2:17" x14ac:dyDescent="0.3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2:17" x14ac:dyDescent="0.3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2:17" x14ac:dyDescent="0.3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2:17" x14ac:dyDescent="0.3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2:17" x14ac:dyDescent="0.3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2:17" x14ac:dyDescent="0.3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2:17" x14ac:dyDescent="0.3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2:17" x14ac:dyDescent="0.3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2:17" x14ac:dyDescent="0.3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2:17" x14ac:dyDescent="0.3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2:17" x14ac:dyDescent="0.3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2:17" x14ac:dyDescent="0.3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2:17" x14ac:dyDescent="0.3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2:17" x14ac:dyDescent="0.3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2:17" x14ac:dyDescent="0.3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2:17" x14ac:dyDescent="0.3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2:17" x14ac:dyDescent="0.3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2:17" x14ac:dyDescent="0.3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2:17" x14ac:dyDescent="0.3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2:17" x14ac:dyDescent="0.3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2:17" x14ac:dyDescent="0.3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2:17" x14ac:dyDescent="0.3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2:17" x14ac:dyDescent="0.3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2:17" x14ac:dyDescent="0.3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2:17" x14ac:dyDescent="0.3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2:17" x14ac:dyDescent="0.3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2:17" x14ac:dyDescent="0.3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2:17" x14ac:dyDescent="0.3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2:17" x14ac:dyDescent="0.3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2:17" x14ac:dyDescent="0.3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2:17" x14ac:dyDescent="0.3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2:17" x14ac:dyDescent="0.3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2:17" x14ac:dyDescent="0.3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2:17" x14ac:dyDescent="0.3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2:17" x14ac:dyDescent="0.3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2:17" x14ac:dyDescent="0.3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2:17" x14ac:dyDescent="0.3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2:17" x14ac:dyDescent="0.3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2:17" x14ac:dyDescent="0.3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2:17" x14ac:dyDescent="0.3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2:17" x14ac:dyDescent="0.3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2:17" x14ac:dyDescent="0.3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2:17" x14ac:dyDescent="0.3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2:17" x14ac:dyDescent="0.3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2:17" x14ac:dyDescent="0.3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2:17" x14ac:dyDescent="0.3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2:17" x14ac:dyDescent="0.3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2:17" x14ac:dyDescent="0.3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2:17" x14ac:dyDescent="0.3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2:17" x14ac:dyDescent="0.3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2:17" x14ac:dyDescent="0.3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2:17" x14ac:dyDescent="0.3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2:17" x14ac:dyDescent="0.3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2:17" x14ac:dyDescent="0.3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2:17" x14ac:dyDescent="0.3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2:17" x14ac:dyDescent="0.3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2:17" x14ac:dyDescent="0.3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2:17" x14ac:dyDescent="0.3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2:17" x14ac:dyDescent="0.3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2:17" x14ac:dyDescent="0.3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2:17" x14ac:dyDescent="0.3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2:17" x14ac:dyDescent="0.3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2:17" x14ac:dyDescent="0.3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2:17" x14ac:dyDescent="0.3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2:17" x14ac:dyDescent="0.3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2:17" x14ac:dyDescent="0.3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2:17" x14ac:dyDescent="0.3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2:17" x14ac:dyDescent="0.3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2:17" x14ac:dyDescent="0.3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2:17" x14ac:dyDescent="0.3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2:17" x14ac:dyDescent="0.3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2:17" x14ac:dyDescent="0.3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2:17" x14ac:dyDescent="0.3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2:17" x14ac:dyDescent="0.3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2:17" x14ac:dyDescent="0.3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2:17" x14ac:dyDescent="0.3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2:17" x14ac:dyDescent="0.3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2:17" x14ac:dyDescent="0.3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2:17" x14ac:dyDescent="0.3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2:17" x14ac:dyDescent="0.3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2:17" x14ac:dyDescent="0.3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2:17" x14ac:dyDescent="0.3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2:17" x14ac:dyDescent="0.3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2:17" x14ac:dyDescent="0.3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2:17" x14ac:dyDescent="0.3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2:17" x14ac:dyDescent="0.3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2:17" x14ac:dyDescent="0.3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2:17" x14ac:dyDescent="0.3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2:17" x14ac:dyDescent="0.3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2:17" x14ac:dyDescent="0.3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2:17" x14ac:dyDescent="0.3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2:17" x14ac:dyDescent="0.3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2:17" x14ac:dyDescent="0.3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2:17" x14ac:dyDescent="0.3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2:17" x14ac:dyDescent="0.3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2:17" x14ac:dyDescent="0.3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2:17" x14ac:dyDescent="0.3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2:17" x14ac:dyDescent="0.3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2:17" x14ac:dyDescent="0.3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2:17" x14ac:dyDescent="0.3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2:17" x14ac:dyDescent="0.3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2:17" x14ac:dyDescent="0.3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2:17" x14ac:dyDescent="0.3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2:17" x14ac:dyDescent="0.3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2:17" x14ac:dyDescent="0.3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2:17" x14ac:dyDescent="0.3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2:17" x14ac:dyDescent="0.3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2:17" x14ac:dyDescent="0.3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2:17" x14ac:dyDescent="0.3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2:17" x14ac:dyDescent="0.3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2:17" x14ac:dyDescent="0.3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2:17" x14ac:dyDescent="0.3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2:17" x14ac:dyDescent="0.3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2:17" x14ac:dyDescent="0.3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2:17" x14ac:dyDescent="0.3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2:17" x14ac:dyDescent="0.3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2:17" x14ac:dyDescent="0.3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2:17" x14ac:dyDescent="0.3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2:17" x14ac:dyDescent="0.3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2:17" x14ac:dyDescent="0.3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2:17" x14ac:dyDescent="0.3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2:17" x14ac:dyDescent="0.3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</sheetData>
  <sheetProtection selectLockedCells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Hide_Instructions">
                <anchor moveWithCells="1" sizeWithCells="1">
                  <from>
                    <xdr:col>13</xdr:col>
                    <xdr:colOff>541020</xdr:colOff>
                    <xdr:row>0</xdr:row>
                    <xdr:rowOff>0</xdr:rowOff>
                  </from>
                  <to>
                    <xdr:col>17</xdr:col>
                    <xdr:colOff>7620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65590-3B81-4937-9C82-B1B0345F23AD}">
  <sheetPr codeName="Sheet10"/>
  <dimension ref="A1:AU1009"/>
  <sheetViews>
    <sheetView tabSelected="1" topLeftCell="A2" zoomScale="85" zoomScaleNormal="85" workbookViewId="0">
      <selection activeCell="A2" sqref="A2"/>
    </sheetView>
  </sheetViews>
  <sheetFormatPr defaultColWidth="12.6640625" defaultRowHeight="14.4" x14ac:dyDescent="0.3"/>
  <cols>
    <col min="1" max="1" width="3.33203125" style="1" customWidth="1"/>
    <col min="2" max="2" width="12.6640625" style="39"/>
    <col min="3" max="3" width="25.109375" style="41" customWidth="1"/>
    <col min="4" max="4" width="14.6640625" style="41" bestFit="1" customWidth="1"/>
    <col min="5" max="5" width="12.33203125" style="47" bestFit="1" customWidth="1"/>
    <col min="6" max="6" width="7.5546875" style="45" customWidth="1"/>
    <col min="7" max="7" width="10" style="94" customWidth="1"/>
    <col min="8" max="8" width="13.44140625" style="41" customWidth="1"/>
    <col min="9" max="9" width="9.44140625" style="41" customWidth="1"/>
    <col min="10" max="10" width="12" style="43" bestFit="1" customWidth="1"/>
    <col min="11" max="11" width="16.44140625" style="41" customWidth="1"/>
    <col min="12" max="12" width="10.33203125" style="95" customWidth="1"/>
    <col min="13" max="13" width="10" style="44" customWidth="1"/>
    <col min="14" max="14" width="9.33203125" style="45" customWidth="1"/>
    <col min="15" max="15" width="15.77734375" style="45" bestFit="1" customWidth="1"/>
    <col min="16" max="17" width="12.6640625" style="41"/>
    <col min="18" max="18" width="12.6640625" style="46"/>
    <col min="19" max="19" width="3" style="7" bestFit="1" customWidth="1"/>
    <col min="20" max="20" width="14.109375" style="20" hidden="1" customWidth="1"/>
    <col min="21" max="22" width="12.6640625" style="99" hidden="1" customWidth="1"/>
    <col min="23" max="23" width="13.44140625" style="99" hidden="1" customWidth="1"/>
    <col min="24" max="25" width="12.6640625" style="99" hidden="1" customWidth="1"/>
    <col min="26" max="26" width="16.44140625" style="46" hidden="1" customWidth="1"/>
    <col min="27" max="27" width="17.6640625" style="46" hidden="1" customWidth="1"/>
    <col min="28" max="28" width="3" style="11" hidden="1" customWidth="1"/>
    <col min="29" max="29" width="12.6640625" style="20" hidden="1" customWidth="1"/>
    <col min="30" max="30" width="21.6640625" style="99" hidden="1" customWidth="1"/>
    <col min="31" max="31" width="12.6640625" style="99" hidden="1" customWidth="1"/>
    <col min="32" max="32" width="13.44140625" style="99" hidden="1" customWidth="1"/>
    <col min="33" max="33" width="10.33203125" style="99" hidden="1" customWidth="1"/>
    <col min="34" max="34" width="12" style="99" hidden="1" customWidth="1"/>
    <col min="35" max="35" width="18.33203125" style="46" hidden="1" customWidth="1"/>
    <col min="36" max="36" width="12.6640625" style="46" hidden="1" customWidth="1"/>
    <col min="37" max="37" width="4.5546875" style="2" hidden="1" customWidth="1"/>
    <col min="38" max="43" width="12.6640625" style="2" hidden="1" customWidth="1"/>
    <col min="44" max="44" width="11.6640625" style="2" hidden="1" customWidth="1"/>
    <col min="45" max="47" width="12.6640625" style="2" hidden="1" customWidth="1"/>
    <col min="48" max="16384" width="12.6640625" style="2"/>
  </cols>
  <sheetData>
    <row r="1" spans="1:44" hidden="1" x14ac:dyDescent="0.3">
      <c r="A1" s="137"/>
      <c r="B1" s="11"/>
      <c r="C1" s="137"/>
      <c r="D1" s="11"/>
      <c r="E1" s="137"/>
      <c r="F1" s="11"/>
      <c r="G1" s="137"/>
      <c r="H1" s="11"/>
      <c r="I1" s="137"/>
      <c r="J1" s="11"/>
      <c r="K1" s="137"/>
      <c r="L1" s="11"/>
      <c r="M1" s="137"/>
      <c r="N1" s="11"/>
      <c r="O1" s="137"/>
      <c r="P1" s="11"/>
      <c r="Q1" s="137"/>
      <c r="R1" s="11"/>
      <c r="S1" s="137"/>
      <c r="T1" s="11"/>
      <c r="U1" s="137"/>
      <c r="V1" s="11"/>
      <c r="W1" s="137"/>
      <c r="X1" s="11"/>
      <c r="Y1" s="137"/>
      <c r="Z1" s="11"/>
      <c r="AA1" s="137"/>
      <c r="AC1" s="137"/>
      <c r="AD1" s="11"/>
      <c r="AE1" s="137"/>
      <c r="AF1" s="11"/>
      <c r="AG1" s="137"/>
      <c r="AH1" s="11"/>
      <c r="AI1" s="137"/>
      <c r="AJ1" s="11"/>
      <c r="AL1" s="6"/>
    </row>
    <row r="2" spans="1:44" s="6" customFormat="1" ht="15" thickBot="1" x14ac:dyDescent="0.35">
      <c r="A2" s="4"/>
      <c r="B2" s="3"/>
      <c r="C2" s="115"/>
      <c r="D2" s="187"/>
      <c r="E2" s="4"/>
      <c r="F2" s="3"/>
      <c r="G2" s="4"/>
      <c r="H2" s="3"/>
      <c r="I2" s="61"/>
      <c r="J2" s="12"/>
      <c r="K2" s="61"/>
      <c r="L2" s="12"/>
      <c r="M2" s="61"/>
      <c r="N2" s="12"/>
      <c r="O2" s="61"/>
      <c r="P2" s="12"/>
      <c r="Q2" s="61"/>
      <c r="R2" s="12"/>
      <c r="S2" s="12"/>
      <c r="T2" s="3"/>
      <c r="U2" s="3"/>
      <c r="V2" s="3"/>
      <c r="W2" s="3"/>
      <c r="X2" s="11"/>
      <c r="Y2" s="3"/>
      <c r="Z2" s="5"/>
      <c r="AA2" s="12"/>
      <c r="AB2" s="13"/>
      <c r="AC2" s="13"/>
      <c r="AD2" s="107"/>
      <c r="AE2" s="107"/>
      <c r="AF2" s="107"/>
      <c r="AG2" s="107"/>
      <c r="AH2" s="107"/>
      <c r="AI2" s="145"/>
      <c r="AJ2" s="145"/>
      <c r="AL2" s="146"/>
      <c r="AM2" s="146"/>
    </row>
    <row r="3" spans="1:44" ht="14.4" customHeight="1" thickBot="1" x14ac:dyDescent="0.35">
      <c r="B3" s="14" t="s">
        <v>9</v>
      </c>
      <c r="C3" s="122" t="e" vm="1">
        <v>#VALUE!</v>
      </c>
      <c r="D3" s="16" t="s">
        <v>26</v>
      </c>
      <c r="E3" s="124">
        <v>0.04</v>
      </c>
      <c r="F3" s="18"/>
      <c r="G3" s="110">
        <v>0.26</v>
      </c>
      <c r="H3" s="119" t="s">
        <v>93</v>
      </c>
      <c r="I3" s="120"/>
      <c r="J3" s="134" t="s">
        <v>94</v>
      </c>
      <c r="K3" s="135" t="b">
        <f>FALSE</f>
        <v>0</v>
      </c>
      <c r="L3" s="179" t="b">
        <f>TRUE</f>
        <v>1</v>
      </c>
      <c r="M3" s="170" t="s">
        <v>117</v>
      </c>
      <c r="N3" s="111"/>
      <c r="O3" s="111"/>
      <c r="P3" s="111"/>
      <c r="Q3" s="111"/>
      <c r="R3" s="111"/>
      <c r="S3" s="11"/>
      <c r="T3" s="265" t="s">
        <v>41</v>
      </c>
      <c r="U3" s="266"/>
      <c r="V3" s="273" t="s">
        <v>42</v>
      </c>
      <c r="W3" s="266"/>
      <c r="X3" s="273" t="s">
        <v>43</v>
      </c>
      <c r="Y3" s="266"/>
      <c r="Z3" s="5"/>
      <c r="AA3" s="11"/>
      <c r="AC3" s="265" t="s">
        <v>49</v>
      </c>
      <c r="AD3" s="266"/>
      <c r="AE3" s="273" t="s">
        <v>42</v>
      </c>
      <c r="AF3" s="266"/>
      <c r="AG3" s="73" t="s">
        <v>58</v>
      </c>
      <c r="AH3" s="267" t="s">
        <v>59</v>
      </c>
      <c r="AI3" s="268"/>
      <c r="AJ3" s="48" t="s">
        <v>43</v>
      </c>
      <c r="AL3" s="6"/>
      <c r="AM3" s="6"/>
      <c r="AN3" s="6"/>
      <c r="AO3" s="6"/>
      <c r="AP3" s="6"/>
      <c r="AQ3" s="6"/>
      <c r="AR3" s="6"/>
    </row>
    <row r="4" spans="1:44" ht="14.4" customHeight="1" x14ac:dyDescent="0.45">
      <c r="B4" s="20" t="s">
        <v>10</v>
      </c>
      <c r="C4" s="259" cm="1">
        <f t="array" ref="C4">_FV(Ticker,"Price",TRUE)*10</f>
        <v>915.3</v>
      </c>
      <c r="D4" s="22" t="s">
        <v>11</v>
      </c>
      <c r="E4" s="125">
        <v>0</v>
      </c>
      <c r="F4" s="24"/>
      <c r="G4" s="25"/>
      <c r="H4" s="118" t="s">
        <v>90</v>
      </c>
      <c r="I4" s="127" cm="1">
        <f t="array" aca="1" ref="I4" ca="1">histvol(C3,MAX(7,MIN(1000,C6*days_yr)),FALSE)</f>
        <v>0.10453908373488828</v>
      </c>
      <c r="J4" s="136" t="s">
        <v>95</v>
      </c>
      <c r="K4" s="138"/>
      <c r="L4" s="180"/>
      <c r="M4" s="140"/>
      <c r="N4" s="111"/>
      <c r="O4" s="111"/>
      <c r="P4" s="111"/>
      <c r="Q4" s="116"/>
      <c r="R4" s="116"/>
      <c r="S4" s="11"/>
      <c r="T4" s="20" t="s">
        <v>1</v>
      </c>
      <c r="U4" s="102" t="s">
        <v>7</v>
      </c>
      <c r="V4" s="50" t="s">
        <v>79</v>
      </c>
      <c r="W4" s="51">
        <v>0.25</v>
      </c>
      <c r="X4" s="52"/>
      <c r="Y4" s="53"/>
      <c r="Z4" s="5"/>
      <c r="AA4" s="11"/>
      <c r="AC4" s="20" t="s">
        <v>78</v>
      </c>
      <c r="AD4" s="106" t="s">
        <v>61</v>
      </c>
      <c r="AE4" s="50" t="s">
        <v>83</v>
      </c>
      <c r="AF4" s="68">
        <v>0.15</v>
      </c>
      <c r="AG4" s="71"/>
      <c r="AH4" s="52" t="s">
        <v>100</v>
      </c>
      <c r="AI4" s="143"/>
      <c r="AL4" s="6"/>
      <c r="AM4" s="6"/>
      <c r="AN4" s="6"/>
      <c r="AO4" s="6"/>
      <c r="AP4" s="6"/>
      <c r="AQ4" s="6"/>
      <c r="AR4" s="6"/>
    </row>
    <row r="5" spans="1:44" ht="14.4" customHeight="1" x14ac:dyDescent="0.45">
      <c r="B5" s="20" t="s">
        <v>12</v>
      </c>
      <c r="C5" s="186">
        <v>45737.729166666664</v>
      </c>
      <c r="D5" s="22" t="s">
        <v>2</v>
      </c>
      <c r="E5" s="147" t="s">
        <v>8</v>
      </c>
      <c r="F5" s="24"/>
      <c r="G5" s="25"/>
      <c r="H5" s="118" t="s">
        <v>91</v>
      </c>
      <c r="I5" s="127" cm="1">
        <f t="array" aca="1" ref="I5" ca="1">histvol(C3,MAX(7,MIN(1000,C6*days_yr)),TRUE)</f>
        <v>0.1258558859524137</v>
      </c>
      <c r="J5" s="132" t="s">
        <v>96</v>
      </c>
      <c r="K5" s="183"/>
      <c r="L5" s="181"/>
      <c r="M5" s="141"/>
      <c r="N5" s="168"/>
      <c r="O5" s="168"/>
      <c r="P5" s="111"/>
      <c r="Q5" s="116"/>
      <c r="R5" s="116"/>
      <c r="S5" s="11"/>
      <c r="T5" s="20" t="s">
        <v>2</v>
      </c>
      <c r="U5" s="54" t="s">
        <v>4</v>
      </c>
      <c r="V5" s="100" t="s">
        <v>44</v>
      </c>
      <c r="W5" s="101" t="s">
        <v>21</v>
      </c>
      <c r="X5" s="52"/>
      <c r="Y5" s="49"/>
      <c r="Z5" s="5"/>
      <c r="AA5" s="11"/>
      <c r="AC5" s="20" t="s">
        <v>38</v>
      </c>
      <c r="AD5" s="49" t="s">
        <v>40</v>
      </c>
      <c r="AE5" s="100" t="s">
        <v>62</v>
      </c>
      <c r="AF5" s="104">
        <v>1</v>
      </c>
      <c r="AG5" s="71"/>
      <c r="AH5" s="52" t="s">
        <v>53</v>
      </c>
      <c r="AI5" s="144"/>
      <c r="AL5" s="6"/>
      <c r="AM5" s="6"/>
      <c r="AN5" s="6"/>
      <c r="AO5" s="6"/>
      <c r="AP5" s="6"/>
      <c r="AQ5" s="6"/>
      <c r="AR5" s="6"/>
    </row>
    <row r="6" spans="1:44" ht="15" customHeight="1" thickBot="1" x14ac:dyDescent="0.5">
      <c r="B6" s="29" t="s">
        <v>25</v>
      </c>
      <c r="C6" s="123">
        <f ca="1">IF(C5="","",(C5-NOW())/days_yr)</f>
        <v>0.65085880041574551</v>
      </c>
      <c r="D6" s="31" t="s">
        <v>27</v>
      </c>
      <c r="E6" s="126">
        <v>35</v>
      </c>
      <c r="F6" s="33"/>
      <c r="G6" s="34"/>
      <c r="H6" s="121" t="s">
        <v>92</v>
      </c>
      <c r="I6" s="128">
        <f ca="1">AVERAGE(I4:I5)</f>
        <v>0.115197484843651</v>
      </c>
      <c r="J6" s="133" t="s">
        <v>97</v>
      </c>
      <c r="K6" s="139"/>
      <c r="L6" s="182"/>
      <c r="M6" s="142"/>
      <c r="N6" s="167"/>
      <c r="O6" s="167"/>
      <c r="P6" s="111"/>
      <c r="Q6" s="116"/>
      <c r="R6" s="116"/>
      <c r="S6" s="11"/>
      <c r="T6" s="20" t="s">
        <v>0</v>
      </c>
      <c r="U6" s="49" t="s">
        <v>124</v>
      </c>
      <c r="V6" s="274" t="s">
        <v>59</v>
      </c>
      <c r="W6" s="275"/>
      <c r="Y6" s="49"/>
      <c r="Z6" s="5"/>
      <c r="AA6" s="11"/>
      <c r="AC6" s="20" t="s">
        <v>2</v>
      </c>
      <c r="AD6" s="54" t="s">
        <v>8</v>
      </c>
      <c r="AE6" s="52" t="s">
        <v>74</v>
      </c>
      <c r="AF6" s="69" t="b">
        <v>1</v>
      </c>
      <c r="AG6" s="71"/>
      <c r="AH6" s="100" t="s">
        <v>101</v>
      </c>
      <c r="AI6" s="171"/>
      <c r="AL6" s="6"/>
      <c r="AM6" s="6"/>
      <c r="AN6" s="6"/>
      <c r="AO6" s="6"/>
      <c r="AP6" s="6"/>
      <c r="AQ6" s="6"/>
      <c r="AR6" s="6"/>
    </row>
    <row r="7" spans="1:44" ht="15" customHeight="1" thickBot="1" x14ac:dyDescent="0.5">
      <c r="A7" s="8"/>
      <c r="B7" s="9"/>
      <c r="C7" s="62"/>
      <c r="D7" s="11"/>
      <c r="E7" s="9"/>
      <c r="F7" s="9"/>
      <c r="G7" s="103"/>
      <c r="H7" s="9"/>
      <c r="I7" s="114"/>
      <c r="J7" s="114"/>
      <c r="K7" s="61"/>
      <c r="L7" s="114"/>
      <c r="M7" s="114"/>
      <c r="N7" s="114"/>
      <c r="O7" s="114"/>
      <c r="P7" s="11"/>
      <c r="Q7" s="117"/>
      <c r="R7" s="117"/>
      <c r="S7" s="11"/>
      <c r="T7" s="20" t="s">
        <v>38</v>
      </c>
      <c r="U7" s="49" t="s">
        <v>39</v>
      </c>
      <c r="V7" s="50" t="s">
        <v>87</v>
      </c>
      <c r="W7" s="49" t="str" cm="1">
        <f t="array" ref="W7">IFERROR(BreakEven(U4,U6,U8),"")</f>
        <v>27,50</v>
      </c>
      <c r="X7" s="52"/>
      <c r="Y7" s="49"/>
      <c r="Z7" s="5"/>
      <c r="AA7" s="11"/>
      <c r="AC7" s="20" t="str">
        <f>IF(AD4="Straddle","ATM (blank)",IF($AD$4="Strangle","|Put Delta|",IF(RIGHT($AD$4,10)="TimeSpread","Long |Delta|","High |Delta|")))</f>
        <v>ATM (blank)</v>
      </c>
      <c r="AD7" s="54"/>
      <c r="AE7" s="99" t="s">
        <v>81</v>
      </c>
      <c r="AF7" s="105" t="s">
        <v>16</v>
      </c>
      <c r="AG7" s="71"/>
      <c r="AH7" s="172"/>
      <c r="AI7" s="173"/>
      <c r="AL7" s="6"/>
      <c r="AM7" s="6"/>
      <c r="AN7" s="6"/>
      <c r="AO7" s="6"/>
      <c r="AP7" s="6"/>
      <c r="AQ7" s="6"/>
      <c r="AR7" s="6"/>
    </row>
    <row r="8" spans="1:44" ht="15" customHeight="1" thickBot="1" x14ac:dyDescent="0.35">
      <c r="B8" s="265" t="s">
        <v>7</v>
      </c>
      <c r="C8" s="269"/>
      <c r="D8" s="269"/>
      <c r="E8" s="269"/>
      <c r="F8" s="269"/>
      <c r="G8" s="269"/>
      <c r="H8" s="269"/>
      <c r="I8" s="269"/>
      <c r="J8" s="270" t="s">
        <v>0</v>
      </c>
      <c r="K8" s="269" t="s">
        <v>5</v>
      </c>
      <c r="L8" s="269"/>
      <c r="M8" s="269"/>
      <c r="N8" s="269"/>
      <c r="O8" s="269"/>
      <c r="P8" s="269"/>
      <c r="Q8" s="269"/>
      <c r="R8" s="272"/>
      <c r="S8" s="11"/>
      <c r="T8" s="29" t="s">
        <v>84</v>
      </c>
      <c r="U8" s="55" t="str" cm="1">
        <f t="array" ref="U8">IFERROR(_xlfn.IFS(AND(U4="Put",U7="Short"),INDEX(K10:K1048576,MATCH($U$6,$J$10:$J$1048576,0)),AND(U4="Put",U7="Long"),INDEX(L10:L1048576,MATCH($U$6,$J$10:$J$1048576,0)),AND(U4="Call",U7="Short"),INDEX(I10:I1048576,MATCH($U$6,$J$10:$J$1048576,0)),AND(U4="Call",U7="Long"),INDEX(H10:H1048576,MATCH($U$6,$J$10:$J$1048576,0))),"")</f>
        <v/>
      </c>
      <c r="V8" s="50" t="str">
        <f>IF(U7="Long","IV Ask Price","IV Bid Price")</f>
        <v>IV Bid Price</v>
      </c>
      <c r="W8" s="53" t="str" cm="1">
        <f t="array" ref="W8">IF(U8="","",IFERROR(AmericanVolatility($C$4,$U$6,$C$6,$E$3,$E$4,$U$8,25,$U$4,$U$5),""))</f>
        <v/>
      </c>
      <c r="X8" s="31"/>
      <c r="Y8" s="55"/>
      <c r="Z8" s="169"/>
      <c r="AA8" s="98">
        <f>COUNTA(AA10:AA1048576)</f>
        <v>0</v>
      </c>
      <c r="AC8" s="29" t="str">
        <f>IF(AD4="Straddle","ATM (blank)",IF($AD$4="Strangle","Call Delta",IF(RIGHT($AD$4,10)="TimeSpread","Short |Delta|","Low |Delta|")))</f>
        <v>ATM (blank)</v>
      </c>
      <c r="AD8" s="76"/>
      <c r="AE8" s="56" t="str">
        <f>IF(RIGHT(strategy,10)="TimeSpread",IF(AD5="Short","(T_2-t)/T_2","(T_1-t)/T_1"),"(T-t)/T")</f>
        <v>(T-t)/T</v>
      </c>
      <c r="AF8" s="55">
        <v>1</v>
      </c>
      <c r="AG8" s="72"/>
      <c r="AH8" s="52"/>
      <c r="AI8" s="74"/>
      <c r="AJ8" s="57"/>
      <c r="AL8" s="6"/>
      <c r="AM8" s="6"/>
      <c r="AN8" s="6"/>
      <c r="AO8" s="6"/>
      <c r="AP8" s="6"/>
      <c r="AQ8" s="6"/>
      <c r="AR8" s="6"/>
    </row>
    <row r="9" spans="1:44" ht="15" thickBot="1" x14ac:dyDescent="0.35">
      <c r="B9" s="36" t="s">
        <v>21</v>
      </c>
      <c r="C9" s="37" t="s">
        <v>15</v>
      </c>
      <c r="D9" s="37" t="s">
        <v>20</v>
      </c>
      <c r="E9" s="37" t="s">
        <v>16</v>
      </c>
      <c r="F9" s="37" t="s">
        <v>17</v>
      </c>
      <c r="G9" s="93" t="s">
        <v>46</v>
      </c>
      <c r="H9" s="37" t="s">
        <v>18</v>
      </c>
      <c r="I9" s="37" t="s">
        <v>19</v>
      </c>
      <c r="J9" s="271"/>
      <c r="K9" s="37" t="s">
        <v>19</v>
      </c>
      <c r="L9" s="93" t="s">
        <v>18</v>
      </c>
      <c r="M9" s="37" t="s">
        <v>47</v>
      </c>
      <c r="N9" s="37" t="s">
        <v>17</v>
      </c>
      <c r="O9" s="37" t="s">
        <v>16</v>
      </c>
      <c r="P9" s="37" t="s">
        <v>20</v>
      </c>
      <c r="Q9" s="37" t="s">
        <v>15</v>
      </c>
      <c r="R9" s="38" t="s">
        <v>21</v>
      </c>
      <c r="S9" s="11"/>
      <c r="T9" s="58" t="s">
        <v>3</v>
      </c>
      <c r="U9" s="59" t="s">
        <v>17</v>
      </c>
      <c r="V9" s="59" t="s">
        <v>16</v>
      </c>
      <c r="W9" s="59" t="s">
        <v>20</v>
      </c>
      <c r="X9" s="59" t="s">
        <v>15</v>
      </c>
      <c r="Y9" s="59" t="s">
        <v>21</v>
      </c>
      <c r="Z9" s="60" t="s">
        <v>45</v>
      </c>
      <c r="AA9" s="60" t="s">
        <v>54</v>
      </c>
      <c r="AC9" s="58" t="s">
        <v>3</v>
      </c>
      <c r="AD9" s="59" t="s">
        <v>17</v>
      </c>
      <c r="AE9" s="59" t="s">
        <v>16</v>
      </c>
      <c r="AF9" s="59" t="s">
        <v>20</v>
      </c>
      <c r="AG9" s="59" t="s">
        <v>15</v>
      </c>
      <c r="AH9" s="59" t="s">
        <v>21</v>
      </c>
      <c r="AI9" s="60" t="str">
        <f>IF(RIGHT($AD$4,10)="TimeSpread","Theoretical PayOff","PayOffatT")</f>
        <v>PayOffatT</v>
      </c>
      <c r="AJ9" s="60"/>
      <c r="AL9" s="6"/>
      <c r="AM9" s="6"/>
      <c r="AN9" s="6"/>
      <c r="AO9" s="6"/>
      <c r="AP9" s="6"/>
      <c r="AQ9" s="6"/>
      <c r="AR9" s="6"/>
    </row>
    <row r="10" spans="1:44" x14ac:dyDescent="0.3">
      <c r="A10" s="66"/>
      <c r="C10" s="40"/>
      <c r="E10" s="42"/>
      <c r="F10" s="42"/>
      <c r="J10" s="129"/>
      <c r="M10" s="130"/>
      <c r="N10" s="131"/>
      <c r="O10" s="131"/>
      <c r="Q10" s="40"/>
      <c r="S10" s="65"/>
      <c r="AL10" s="6"/>
      <c r="AM10" s="6"/>
      <c r="AN10" s="6"/>
      <c r="AO10" s="6"/>
      <c r="AP10" s="6"/>
      <c r="AQ10" s="6"/>
      <c r="AR10" s="6"/>
    </row>
    <row r="11" spans="1:44" x14ac:dyDescent="0.3">
      <c r="A11" s="66"/>
      <c r="C11" s="40"/>
      <c r="E11" s="42"/>
      <c r="F11" s="42"/>
      <c r="J11" s="129"/>
      <c r="M11" s="130"/>
      <c r="N11" s="131"/>
      <c r="O11" s="131"/>
      <c r="Q11" s="40"/>
      <c r="S11" s="65"/>
      <c r="AL11" s="6"/>
      <c r="AM11" s="6"/>
      <c r="AN11" s="6"/>
      <c r="AO11" s="6"/>
      <c r="AP11" s="6"/>
      <c r="AQ11" s="6"/>
      <c r="AR11" s="6"/>
    </row>
    <row r="12" spans="1:44" x14ac:dyDescent="0.3">
      <c r="A12" s="66"/>
      <c r="C12" s="40"/>
      <c r="E12" s="42"/>
      <c r="F12" s="42"/>
      <c r="J12" s="129"/>
      <c r="M12" s="130"/>
      <c r="N12" s="131"/>
      <c r="O12" s="131"/>
      <c r="Q12" s="40"/>
      <c r="S12" s="65"/>
      <c r="AL12" s="6"/>
      <c r="AM12" s="6"/>
      <c r="AN12" s="6"/>
      <c r="AO12" s="6"/>
      <c r="AP12" s="6"/>
      <c r="AQ12" s="6"/>
      <c r="AR12" s="6"/>
    </row>
    <row r="13" spans="1:44" x14ac:dyDescent="0.3">
      <c r="A13" s="66"/>
      <c r="C13" s="40"/>
      <c r="E13" s="42"/>
      <c r="F13" s="42"/>
      <c r="J13" s="129"/>
      <c r="M13" s="130"/>
      <c r="N13" s="131"/>
      <c r="O13" s="131"/>
      <c r="Q13" s="40"/>
      <c r="S13" s="65"/>
      <c r="AL13" s="6"/>
      <c r="AM13" s="6"/>
      <c r="AN13" s="6"/>
      <c r="AO13" s="6"/>
      <c r="AP13" s="6"/>
      <c r="AQ13" s="6"/>
      <c r="AR13" s="6"/>
    </row>
    <row r="14" spans="1:44" x14ac:dyDescent="0.3">
      <c r="A14" s="66"/>
      <c r="C14" s="40"/>
      <c r="E14" s="42"/>
      <c r="F14" s="42"/>
      <c r="J14" s="129"/>
      <c r="M14" s="130"/>
      <c r="N14" s="131"/>
      <c r="O14" s="131"/>
      <c r="Q14" s="40"/>
      <c r="S14" s="65"/>
      <c r="AL14" s="6"/>
      <c r="AM14" s="6"/>
      <c r="AN14" s="6"/>
      <c r="AO14" s="6"/>
      <c r="AP14" s="6"/>
      <c r="AQ14" s="6"/>
      <c r="AR14" s="6"/>
    </row>
    <row r="15" spans="1:44" x14ac:dyDescent="0.3">
      <c r="A15" s="66"/>
      <c r="C15" s="40"/>
      <c r="E15" s="42"/>
      <c r="F15" s="42"/>
      <c r="J15" s="129"/>
      <c r="M15" s="130"/>
      <c r="N15" s="131"/>
      <c r="O15" s="131"/>
      <c r="Q15" s="40"/>
      <c r="S15" s="65"/>
      <c r="AL15" s="6"/>
      <c r="AM15" s="6"/>
      <c r="AN15" s="6"/>
      <c r="AO15" s="6"/>
      <c r="AP15" s="6"/>
      <c r="AQ15" s="6"/>
      <c r="AR15" s="6"/>
    </row>
    <row r="16" spans="1:44" x14ac:dyDescent="0.3">
      <c r="A16" s="66"/>
      <c r="E16" s="42"/>
      <c r="F16" s="42"/>
      <c r="S16" s="65"/>
      <c r="AL16" s="6"/>
      <c r="AM16" s="6"/>
      <c r="AN16" s="6"/>
      <c r="AO16" s="6"/>
      <c r="AP16" s="6"/>
      <c r="AQ16" s="6"/>
      <c r="AR16" s="6"/>
    </row>
    <row r="17" spans="1:44" x14ac:dyDescent="0.3">
      <c r="A17" s="66"/>
      <c r="E17" s="42"/>
      <c r="F17" s="42"/>
      <c r="S17" s="65"/>
      <c r="AB17" s="7"/>
      <c r="AL17" s="6"/>
      <c r="AM17" s="6"/>
      <c r="AN17" s="6"/>
      <c r="AO17" s="6"/>
      <c r="AP17" s="6"/>
      <c r="AQ17" s="6"/>
      <c r="AR17" s="6"/>
    </row>
    <row r="18" spans="1:44" x14ac:dyDescent="0.3">
      <c r="A18" s="66"/>
      <c r="E18" s="42"/>
      <c r="F18" s="47"/>
      <c r="S18" s="65"/>
      <c r="AL18" s="6"/>
      <c r="AM18" s="6"/>
      <c r="AN18" s="6"/>
      <c r="AO18" s="6"/>
      <c r="AP18" s="6"/>
      <c r="AQ18" s="6"/>
      <c r="AR18" s="6"/>
    </row>
    <row r="19" spans="1:44" x14ac:dyDescent="0.3">
      <c r="A19" s="70"/>
      <c r="E19" s="42"/>
      <c r="F19" s="47"/>
      <c r="S19" s="65"/>
      <c r="AL19" s="6"/>
      <c r="AM19" s="6"/>
      <c r="AN19" s="6"/>
      <c r="AO19" s="6"/>
      <c r="AP19" s="6"/>
      <c r="AQ19" s="6"/>
      <c r="AR19" s="6"/>
    </row>
    <row r="20" spans="1:44" x14ac:dyDescent="0.3">
      <c r="A20" s="70"/>
      <c r="E20" s="42"/>
      <c r="F20" s="47"/>
      <c r="S20" s="65"/>
      <c r="AL20" s="6"/>
      <c r="AM20" s="6"/>
      <c r="AN20" s="6"/>
      <c r="AO20" s="6"/>
      <c r="AP20" s="6"/>
      <c r="AQ20" s="6"/>
      <c r="AR20" s="6"/>
    </row>
    <row r="21" spans="1:44" x14ac:dyDescent="0.3">
      <c r="A21" s="66"/>
      <c r="E21" s="42"/>
      <c r="F21" s="47"/>
      <c r="S21" s="65"/>
      <c r="AL21" s="6"/>
      <c r="AM21" s="6"/>
      <c r="AN21" s="6"/>
      <c r="AO21" s="6"/>
      <c r="AP21" s="6"/>
      <c r="AQ21" s="6"/>
      <c r="AR21" s="6"/>
    </row>
    <row r="22" spans="1:44" x14ac:dyDescent="0.3">
      <c r="A22" s="66"/>
      <c r="E22" s="42"/>
      <c r="F22" s="47"/>
      <c r="S22" s="65"/>
      <c r="AL22" s="6"/>
      <c r="AM22" s="6"/>
      <c r="AN22" s="6"/>
      <c r="AO22" s="6"/>
      <c r="AP22" s="6"/>
      <c r="AQ22" s="6"/>
      <c r="AR22" s="6"/>
    </row>
    <row r="23" spans="1:44" x14ac:dyDescent="0.3">
      <c r="E23" s="42"/>
      <c r="F23" s="42"/>
      <c r="S23" s="65"/>
      <c r="AL23" s="6"/>
      <c r="AM23" s="6"/>
      <c r="AN23" s="6"/>
      <c r="AO23" s="6"/>
      <c r="AP23" s="6"/>
      <c r="AQ23" s="6"/>
      <c r="AR23" s="6"/>
    </row>
    <row r="24" spans="1:44" x14ac:dyDescent="0.3">
      <c r="F24" s="42"/>
      <c r="S24" s="65"/>
      <c r="AL24" s="6"/>
      <c r="AM24" s="6"/>
      <c r="AN24" s="6"/>
      <c r="AO24" s="6"/>
      <c r="AP24" s="6"/>
      <c r="AQ24" s="6"/>
      <c r="AR24" s="6"/>
    </row>
    <row r="25" spans="1:44" x14ac:dyDescent="0.3">
      <c r="F25" s="42"/>
      <c r="S25" s="65"/>
      <c r="AL25" s="6"/>
      <c r="AM25" s="6"/>
      <c r="AN25" s="6"/>
      <c r="AO25" s="6"/>
      <c r="AP25" s="6"/>
      <c r="AQ25" s="6"/>
      <c r="AR25" s="6"/>
    </row>
    <row r="26" spans="1:44" x14ac:dyDescent="0.3">
      <c r="F26" s="42"/>
      <c r="AL26" s="6"/>
      <c r="AM26" s="6"/>
      <c r="AN26" s="6"/>
      <c r="AO26" s="6"/>
      <c r="AP26" s="6"/>
      <c r="AQ26" s="6"/>
      <c r="AR26" s="6"/>
    </row>
    <row r="27" spans="1:44" x14ac:dyDescent="0.3">
      <c r="F27" s="42"/>
      <c r="AL27" s="6"/>
      <c r="AM27" s="6"/>
      <c r="AN27" s="6"/>
      <c r="AO27" s="6"/>
      <c r="AP27" s="6"/>
      <c r="AQ27" s="6"/>
      <c r="AR27" s="6"/>
    </row>
    <row r="28" spans="1:44" x14ac:dyDescent="0.3">
      <c r="F28" s="42"/>
      <c r="AL28" s="6"/>
      <c r="AM28" s="6"/>
      <c r="AN28" s="6"/>
      <c r="AO28" s="6"/>
      <c r="AP28" s="6"/>
      <c r="AQ28" s="6"/>
      <c r="AR28" s="6"/>
    </row>
    <row r="29" spans="1:44" x14ac:dyDescent="0.3">
      <c r="E29" s="42"/>
      <c r="F29" s="42"/>
    </row>
    <row r="30" spans="1:44" x14ac:dyDescent="0.3">
      <c r="E30" s="42"/>
      <c r="F30" s="42"/>
    </row>
    <row r="31" spans="1:44" x14ac:dyDescent="0.3">
      <c r="E31" s="42"/>
      <c r="F31" s="42"/>
    </row>
    <row r="32" spans="1:44" x14ac:dyDescent="0.3">
      <c r="E32" s="42"/>
      <c r="F32" s="42"/>
    </row>
    <row r="33" spans="5:6" x14ac:dyDescent="0.3">
      <c r="E33" s="42"/>
      <c r="F33" s="42"/>
    </row>
    <row r="34" spans="5:6" x14ac:dyDescent="0.3">
      <c r="E34" s="42"/>
      <c r="F34" s="42"/>
    </row>
    <row r="35" spans="5:6" x14ac:dyDescent="0.3">
      <c r="E35" s="42"/>
      <c r="F35" s="42"/>
    </row>
    <row r="36" spans="5:6" x14ac:dyDescent="0.3">
      <c r="E36" s="42"/>
      <c r="F36" s="42"/>
    </row>
    <row r="37" spans="5:6" x14ac:dyDescent="0.3">
      <c r="E37" s="42"/>
      <c r="F37" s="42"/>
    </row>
    <row r="38" spans="5:6" x14ac:dyDescent="0.3">
      <c r="E38" s="42"/>
      <c r="F38" s="42"/>
    </row>
    <row r="39" spans="5:6" x14ac:dyDescent="0.3">
      <c r="E39" s="42"/>
      <c r="F39" s="42"/>
    </row>
    <row r="40" spans="5:6" x14ac:dyDescent="0.3">
      <c r="E40" s="42"/>
      <c r="F40" s="42"/>
    </row>
    <row r="41" spans="5:6" x14ac:dyDescent="0.3">
      <c r="E41" s="42"/>
      <c r="F41" s="42"/>
    </row>
    <row r="42" spans="5:6" x14ac:dyDescent="0.3">
      <c r="E42" s="42"/>
      <c r="F42" s="42"/>
    </row>
    <row r="43" spans="5:6" x14ac:dyDescent="0.3">
      <c r="E43" s="42"/>
      <c r="F43" s="42"/>
    </row>
    <row r="44" spans="5:6" x14ac:dyDescent="0.3">
      <c r="E44" s="42"/>
      <c r="F44" s="42"/>
    </row>
    <row r="45" spans="5:6" x14ac:dyDescent="0.3">
      <c r="E45" s="42"/>
      <c r="F45" s="42"/>
    </row>
    <row r="46" spans="5:6" x14ac:dyDescent="0.3">
      <c r="E46" s="42"/>
      <c r="F46" s="42"/>
    </row>
    <row r="47" spans="5:6" x14ac:dyDescent="0.3">
      <c r="E47" s="42"/>
      <c r="F47" s="42"/>
    </row>
    <row r="48" spans="5:6" x14ac:dyDescent="0.3">
      <c r="E48" s="42"/>
      <c r="F48" s="42"/>
    </row>
    <row r="49" spans="5:6" x14ac:dyDescent="0.3">
      <c r="E49" s="42"/>
      <c r="F49" s="42"/>
    </row>
    <row r="50" spans="5:6" x14ac:dyDescent="0.3">
      <c r="E50" s="42"/>
      <c r="F50" s="42"/>
    </row>
    <row r="51" spans="5:6" x14ac:dyDescent="0.3">
      <c r="E51" s="42"/>
      <c r="F51" s="42"/>
    </row>
    <row r="52" spans="5:6" x14ac:dyDescent="0.3">
      <c r="E52" s="42"/>
      <c r="F52" s="42"/>
    </row>
    <row r="53" spans="5:6" x14ac:dyDescent="0.3">
      <c r="E53" s="42"/>
      <c r="F53" s="42"/>
    </row>
    <row r="54" spans="5:6" x14ac:dyDescent="0.3">
      <c r="E54" s="42"/>
      <c r="F54" s="42"/>
    </row>
    <row r="55" spans="5:6" x14ac:dyDescent="0.3">
      <c r="E55" s="42"/>
      <c r="F55" s="42"/>
    </row>
    <row r="56" spans="5:6" x14ac:dyDescent="0.3">
      <c r="E56" s="42"/>
      <c r="F56" s="42"/>
    </row>
    <row r="57" spans="5:6" x14ac:dyDescent="0.3">
      <c r="E57" s="42"/>
      <c r="F57" s="42"/>
    </row>
    <row r="58" spans="5:6" x14ac:dyDescent="0.3">
      <c r="E58" s="42"/>
      <c r="F58" s="42"/>
    </row>
    <row r="59" spans="5:6" x14ac:dyDescent="0.3">
      <c r="E59" s="42"/>
      <c r="F59" s="42"/>
    </row>
    <row r="60" spans="5:6" x14ac:dyDescent="0.3">
      <c r="E60" s="42"/>
      <c r="F60" s="42"/>
    </row>
    <row r="61" spans="5:6" x14ac:dyDescent="0.3">
      <c r="E61" s="42"/>
      <c r="F61" s="42"/>
    </row>
    <row r="62" spans="5:6" x14ac:dyDescent="0.3">
      <c r="E62" s="42"/>
      <c r="F62" s="42"/>
    </row>
    <row r="63" spans="5:6" x14ac:dyDescent="0.3">
      <c r="E63" s="42"/>
      <c r="F63" s="42"/>
    </row>
    <row r="64" spans="5:6" x14ac:dyDescent="0.3">
      <c r="E64" s="42"/>
      <c r="F64" s="42"/>
    </row>
    <row r="65" spans="5:6" x14ac:dyDescent="0.3">
      <c r="E65" s="42"/>
      <c r="F65" s="42"/>
    </row>
    <row r="66" spans="5:6" x14ac:dyDescent="0.3">
      <c r="E66" s="42"/>
      <c r="F66" s="42"/>
    </row>
    <row r="67" spans="5:6" x14ac:dyDescent="0.3">
      <c r="E67" s="42"/>
      <c r="F67" s="42"/>
    </row>
    <row r="68" spans="5:6" x14ac:dyDescent="0.3">
      <c r="E68" s="42"/>
      <c r="F68" s="42"/>
    </row>
    <row r="69" spans="5:6" x14ac:dyDescent="0.3">
      <c r="E69" s="42"/>
      <c r="F69" s="42"/>
    </row>
    <row r="70" spans="5:6" x14ac:dyDescent="0.3">
      <c r="E70" s="42"/>
      <c r="F70" s="42"/>
    </row>
    <row r="71" spans="5:6" x14ac:dyDescent="0.3">
      <c r="E71" s="42"/>
      <c r="F71" s="42"/>
    </row>
    <row r="72" spans="5:6" x14ac:dyDescent="0.3">
      <c r="E72" s="42"/>
      <c r="F72" s="42"/>
    </row>
    <row r="73" spans="5:6" x14ac:dyDescent="0.3">
      <c r="E73" s="42"/>
      <c r="F73" s="42"/>
    </row>
    <row r="74" spans="5:6" x14ac:dyDescent="0.3">
      <c r="E74" s="42"/>
      <c r="F74" s="42"/>
    </row>
    <row r="75" spans="5:6" x14ac:dyDescent="0.3">
      <c r="E75" s="42"/>
      <c r="F75" s="42"/>
    </row>
    <row r="76" spans="5:6" x14ac:dyDescent="0.3">
      <c r="E76" s="42"/>
      <c r="F76" s="42"/>
    </row>
    <row r="77" spans="5:6" x14ac:dyDescent="0.3">
      <c r="E77" s="42"/>
      <c r="F77" s="42"/>
    </row>
    <row r="78" spans="5:6" x14ac:dyDescent="0.3">
      <c r="E78" s="42"/>
      <c r="F78" s="42"/>
    </row>
    <row r="79" spans="5:6" x14ac:dyDescent="0.3">
      <c r="E79" s="42"/>
      <c r="F79" s="42"/>
    </row>
    <row r="80" spans="5:6" x14ac:dyDescent="0.3">
      <c r="E80" s="42"/>
      <c r="F80" s="42"/>
    </row>
    <row r="81" spans="5:6" x14ac:dyDescent="0.3">
      <c r="E81" s="42"/>
      <c r="F81" s="42"/>
    </row>
    <row r="82" spans="5:6" x14ac:dyDescent="0.3">
      <c r="E82" s="42"/>
      <c r="F82" s="42"/>
    </row>
    <row r="83" spans="5:6" x14ac:dyDescent="0.3">
      <c r="E83" s="42"/>
      <c r="F83" s="42"/>
    </row>
    <row r="84" spans="5:6" x14ac:dyDescent="0.3">
      <c r="E84" s="42"/>
      <c r="F84" s="42"/>
    </row>
    <row r="85" spans="5:6" x14ac:dyDescent="0.3">
      <c r="E85" s="42"/>
      <c r="F85" s="42"/>
    </row>
    <row r="86" spans="5:6" x14ac:dyDescent="0.3">
      <c r="E86" s="42"/>
      <c r="F86" s="42"/>
    </row>
    <row r="87" spans="5:6" x14ac:dyDescent="0.3">
      <c r="E87" s="42"/>
      <c r="F87" s="42"/>
    </row>
    <row r="88" spans="5:6" x14ac:dyDescent="0.3">
      <c r="E88" s="42"/>
      <c r="F88" s="42"/>
    </row>
    <row r="89" spans="5:6" x14ac:dyDescent="0.3">
      <c r="E89" s="42"/>
      <c r="F89" s="42"/>
    </row>
    <row r="90" spans="5:6" x14ac:dyDescent="0.3">
      <c r="E90" s="42"/>
      <c r="F90" s="42"/>
    </row>
    <row r="91" spans="5:6" x14ac:dyDescent="0.3">
      <c r="E91" s="42"/>
      <c r="F91" s="42"/>
    </row>
    <row r="92" spans="5:6" x14ac:dyDescent="0.3">
      <c r="E92" s="42"/>
      <c r="F92" s="42"/>
    </row>
    <row r="93" spans="5:6" x14ac:dyDescent="0.3">
      <c r="E93" s="42"/>
      <c r="F93" s="42"/>
    </row>
    <row r="94" spans="5:6" x14ac:dyDescent="0.3">
      <c r="E94" s="42"/>
      <c r="F94" s="42"/>
    </row>
    <row r="95" spans="5:6" x14ac:dyDescent="0.3">
      <c r="E95" s="42"/>
      <c r="F95" s="42"/>
    </row>
    <row r="96" spans="5:6" x14ac:dyDescent="0.3">
      <c r="E96" s="42"/>
      <c r="F96" s="42"/>
    </row>
    <row r="97" spans="5:6" x14ac:dyDescent="0.3">
      <c r="E97" s="42"/>
      <c r="F97" s="42"/>
    </row>
    <row r="98" spans="5:6" x14ac:dyDescent="0.3">
      <c r="E98" s="42"/>
      <c r="F98" s="42"/>
    </row>
    <row r="99" spans="5:6" x14ac:dyDescent="0.3">
      <c r="E99" s="42"/>
      <c r="F99" s="42"/>
    </row>
    <row r="100" spans="5:6" x14ac:dyDescent="0.3">
      <c r="E100" s="42"/>
      <c r="F100" s="42"/>
    </row>
    <row r="101" spans="5:6" x14ac:dyDescent="0.3">
      <c r="E101" s="42"/>
      <c r="F101" s="42"/>
    </row>
    <row r="102" spans="5:6" x14ac:dyDescent="0.3">
      <c r="E102" s="42"/>
      <c r="F102" s="42"/>
    </row>
    <row r="103" spans="5:6" x14ac:dyDescent="0.3">
      <c r="E103" s="42"/>
      <c r="F103" s="42"/>
    </row>
    <row r="104" spans="5:6" x14ac:dyDescent="0.3">
      <c r="E104" s="42"/>
      <c r="F104" s="42"/>
    </row>
    <row r="105" spans="5:6" x14ac:dyDescent="0.3">
      <c r="E105" s="42"/>
      <c r="F105" s="42"/>
    </row>
    <row r="106" spans="5:6" x14ac:dyDescent="0.3">
      <c r="E106" s="42"/>
      <c r="F106" s="42"/>
    </row>
    <row r="107" spans="5:6" x14ac:dyDescent="0.3">
      <c r="E107" s="42"/>
      <c r="F107" s="42"/>
    </row>
    <row r="108" spans="5:6" x14ac:dyDescent="0.3">
      <c r="E108" s="42"/>
      <c r="F108" s="42"/>
    </row>
    <row r="109" spans="5:6" x14ac:dyDescent="0.3">
      <c r="E109" s="42"/>
      <c r="F109" s="42"/>
    </row>
    <row r="110" spans="5:6" x14ac:dyDescent="0.3">
      <c r="E110" s="42"/>
      <c r="F110" s="42"/>
    </row>
    <row r="111" spans="5:6" x14ac:dyDescent="0.3">
      <c r="E111" s="42"/>
      <c r="F111" s="42"/>
    </row>
    <row r="112" spans="5:6" x14ac:dyDescent="0.3">
      <c r="E112" s="42"/>
      <c r="F112" s="42"/>
    </row>
    <row r="113" spans="5:6" x14ac:dyDescent="0.3">
      <c r="E113" s="42"/>
      <c r="F113" s="42"/>
    </row>
    <row r="114" spans="5:6" x14ac:dyDescent="0.3">
      <c r="E114" s="42"/>
      <c r="F114" s="42"/>
    </row>
    <row r="115" spans="5:6" x14ac:dyDescent="0.3">
      <c r="E115" s="42"/>
      <c r="F115" s="42"/>
    </row>
    <row r="116" spans="5:6" x14ac:dyDescent="0.3">
      <c r="E116" s="42"/>
      <c r="F116" s="42"/>
    </row>
    <row r="117" spans="5:6" x14ac:dyDescent="0.3">
      <c r="E117" s="42"/>
      <c r="F117" s="42"/>
    </row>
    <row r="118" spans="5:6" x14ac:dyDescent="0.3">
      <c r="E118" s="42"/>
      <c r="F118" s="42"/>
    </row>
    <row r="119" spans="5:6" x14ac:dyDescent="0.3">
      <c r="E119" s="42"/>
      <c r="F119" s="42"/>
    </row>
    <row r="120" spans="5:6" x14ac:dyDescent="0.3">
      <c r="E120" s="42"/>
      <c r="F120" s="42"/>
    </row>
    <row r="121" spans="5:6" x14ac:dyDescent="0.3">
      <c r="E121" s="42"/>
      <c r="F121" s="42"/>
    </row>
    <row r="122" spans="5:6" x14ac:dyDescent="0.3">
      <c r="E122" s="42"/>
      <c r="F122" s="42"/>
    </row>
    <row r="123" spans="5:6" x14ac:dyDescent="0.3">
      <c r="E123" s="42"/>
      <c r="F123" s="42"/>
    </row>
    <row r="124" spans="5:6" x14ac:dyDescent="0.3">
      <c r="E124" s="42"/>
      <c r="F124" s="42"/>
    </row>
    <row r="125" spans="5:6" x14ac:dyDescent="0.3">
      <c r="E125" s="42"/>
      <c r="F125" s="42"/>
    </row>
    <row r="126" spans="5:6" x14ac:dyDescent="0.3">
      <c r="E126" s="42"/>
      <c r="F126" s="42"/>
    </row>
    <row r="127" spans="5:6" x14ac:dyDescent="0.3">
      <c r="E127" s="42"/>
      <c r="F127" s="42"/>
    </row>
    <row r="128" spans="5:6" x14ac:dyDescent="0.3">
      <c r="E128" s="42"/>
      <c r="F128" s="42"/>
    </row>
    <row r="129" spans="5:6" x14ac:dyDescent="0.3">
      <c r="E129" s="42"/>
      <c r="F129" s="42"/>
    </row>
    <row r="130" spans="5:6" x14ac:dyDescent="0.3">
      <c r="E130" s="42"/>
      <c r="F130" s="42"/>
    </row>
    <row r="131" spans="5:6" x14ac:dyDescent="0.3">
      <c r="E131" s="42"/>
      <c r="F131" s="42"/>
    </row>
    <row r="132" spans="5:6" x14ac:dyDescent="0.3">
      <c r="E132" s="42"/>
      <c r="F132" s="42"/>
    </row>
    <row r="133" spans="5:6" x14ac:dyDescent="0.3">
      <c r="E133" s="42"/>
      <c r="F133" s="42"/>
    </row>
    <row r="134" spans="5:6" x14ac:dyDescent="0.3">
      <c r="E134" s="42"/>
      <c r="F134" s="42"/>
    </row>
    <row r="135" spans="5:6" x14ac:dyDescent="0.3">
      <c r="E135" s="42"/>
      <c r="F135" s="42"/>
    </row>
    <row r="136" spans="5:6" x14ac:dyDescent="0.3">
      <c r="E136" s="42"/>
      <c r="F136" s="42"/>
    </row>
    <row r="137" spans="5:6" x14ac:dyDescent="0.3">
      <c r="E137" s="42"/>
      <c r="F137" s="42"/>
    </row>
    <row r="138" spans="5:6" x14ac:dyDescent="0.3">
      <c r="E138" s="42"/>
      <c r="F138" s="42"/>
    </row>
    <row r="139" spans="5:6" x14ac:dyDescent="0.3">
      <c r="E139" s="42"/>
      <c r="F139" s="42"/>
    </row>
    <row r="140" spans="5:6" x14ac:dyDescent="0.3">
      <c r="E140" s="42"/>
      <c r="F140" s="42"/>
    </row>
    <row r="141" spans="5:6" x14ac:dyDescent="0.3">
      <c r="E141" s="42"/>
      <c r="F141" s="42"/>
    </row>
    <row r="142" spans="5:6" x14ac:dyDescent="0.3">
      <c r="E142" s="42"/>
      <c r="F142" s="42"/>
    </row>
    <row r="143" spans="5:6" x14ac:dyDescent="0.3">
      <c r="E143" s="42"/>
      <c r="F143" s="42"/>
    </row>
    <row r="144" spans="5:6" x14ac:dyDescent="0.3">
      <c r="E144" s="42"/>
      <c r="F144" s="42"/>
    </row>
    <row r="145" spans="5:6" x14ac:dyDescent="0.3">
      <c r="E145" s="42"/>
      <c r="F145" s="42"/>
    </row>
    <row r="146" spans="5:6" x14ac:dyDescent="0.3">
      <c r="E146" s="42"/>
      <c r="F146" s="42"/>
    </row>
    <row r="147" spans="5:6" x14ac:dyDescent="0.3">
      <c r="E147" s="42"/>
      <c r="F147" s="42"/>
    </row>
    <row r="148" spans="5:6" x14ac:dyDescent="0.3">
      <c r="E148" s="42"/>
      <c r="F148" s="42"/>
    </row>
    <row r="149" spans="5:6" x14ac:dyDescent="0.3">
      <c r="E149" s="42"/>
      <c r="F149" s="42"/>
    </row>
    <row r="150" spans="5:6" x14ac:dyDescent="0.3">
      <c r="E150" s="42"/>
      <c r="F150" s="42"/>
    </row>
    <row r="151" spans="5:6" x14ac:dyDescent="0.3">
      <c r="E151" s="42"/>
      <c r="F151" s="42"/>
    </row>
    <row r="152" spans="5:6" x14ac:dyDescent="0.3">
      <c r="E152" s="42"/>
      <c r="F152" s="42"/>
    </row>
    <row r="153" spans="5:6" x14ac:dyDescent="0.3">
      <c r="E153" s="42"/>
      <c r="F153" s="42"/>
    </row>
    <row r="154" spans="5:6" x14ac:dyDescent="0.3">
      <c r="E154" s="42"/>
      <c r="F154" s="42"/>
    </row>
    <row r="155" spans="5:6" x14ac:dyDescent="0.3">
      <c r="E155" s="42"/>
      <c r="F155" s="42"/>
    </row>
    <row r="156" spans="5:6" x14ac:dyDescent="0.3">
      <c r="E156" s="42"/>
      <c r="F156" s="42"/>
    </row>
    <row r="157" spans="5:6" x14ac:dyDescent="0.3">
      <c r="E157" s="42"/>
      <c r="F157" s="42"/>
    </row>
    <row r="158" spans="5:6" x14ac:dyDescent="0.3">
      <c r="E158" s="42"/>
      <c r="F158" s="42"/>
    </row>
    <row r="159" spans="5:6" x14ac:dyDescent="0.3">
      <c r="E159" s="42"/>
      <c r="F159" s="42"/>
    </row>
    <row r="160" spans="5:6" x14ac:dyDescent="0.3">
      <c r="E160" s="42"/>
      <c r="F160" s="42"/>
    </row>
    <row r="161" spans="5:6" x14ac:dyDescent="0.3">
      <c r="E161" s="42"/>
      <c r="F161" s="42"/>
    </row>
    <row r="162" spans="5:6" x14ac:dyDescent="0.3">
      <c r="E162" s="42"/>
      <c r="F162" s="42"/>
    </row>
    <row r="163" spans="5:6" x14ac:dyDescent="0.3">
      <c r="E163" s="42"/>
      <c r="F163" s="42"/>
    </row>
    <row r="164" spans="5:6" x14ac:dyDescent="0.3">
      <c r="E164" s="42"/>
      <c r="F164" s="42"/>
    </row>
    <row r="165" spans="5:6" x14ac:dyDescent="0.3">
      <c r="E165" s="42"/>
      <c r="F165" s="42"/>
    </row>
    <row r="166" spans="5:6" x14ac:dyDescent="0.3">
      <c r="E166" s="42"/>
      <c r="F166" s="42"/>
    </row>
    <row r="167" spans="5:6" x14ac:dyDescent="0.3">
      <c r="E167" s="42"/>
      <c r="F167" s="42"/>
    </row>
    <row r="168" spans="5:6" x14ac:dyDescent="0.3">
      <c r="E168" s="42"/>
      <c r="F168" s="42"/>
    </row>
    <row r="169" spans="5:6" x14ac:dyDescent="0.3">
      <c r="E169" s="42"/>
      <c r="F169" s="42"/>
    </row>
    <row r="170" spans="5:6" x14ac:dyDescent="0.3">
      <c r="E170" s="42"/>
      <c r="F170" s="42"/>
    </row>
    <row r="171" spans="5:6" x14ac:dyDescent="0.3">
      <c r="E171" s="42"/>
      <c r="F171" s="42"/>
    </row>
    <row r="172" spans="5:6" x14ac:dyDescent="0.3">
      <c r="E172" s="42"/>
      <c r="F172" s="42"/>
    </row>
    <row r="173" spans="5:6" x14ac:dyDescent="0.3">
      <c r="E173" s="42"/>
      <c r="F173" s="42"/>
    </row>
    <row r="174" spans="5:6" x14ac:dyDescent="0.3">
      <c r="E174" s="42"/>
      <c r="F174" s="42"/>
    </row>
    <row r="175" spans="5:6" x14ac:dyDescent="0.3">
      <c r="E175" s="42"/>
      <c r="F175" s="42"/>
    </row>
    <row r="176" spans="5:6" x14ac:dyDescent="0.3">
      <c r="E176" s="42"/>
      <c r="F176" s="42"/>
    </row>
    <row r="177" spans="5:6" x14ac:dyDescent="0.3">
      <c r="E177" s="42"/>
      <c r="F177" s="42"/>
    </row>
    <row r="178" spans="5:6" x14ac:dyDescent="0.3">
      <c r="E178" s="42"/>
      <c r="F178" s="42"/>
    </row>
    <row r="179" spans="5:6" x14ac:dyDescent="0.3">
      <c r="E179" s="42"/>
      <c r="F179" s="42"/>
    </row>
    <row r="180" spans="5:6" x14ac:dyDescent="0.3">
      <c r="E180" s="42"/>
      <c r="F180" s="42"/>
    </row>
    <row r="181" spans="5:6" x14ac:dyDescent="0.3">
      <c r="E181" s="42"/>
      <c r="F181" s="42"/>
    </row>
    <row r="182" spans="5:6" x14ac:dyDescent="0.3">
      <c r="E182" s="42"/>
      <c r="F182" s="42"/>
    </row>
    <row r="183" spans="5:6" x14ac:dyDescent="0.3">
      <c r="E183" s="42"/>
      <c r="F183" s="42"/>
    </row>
    <row r="184" spans="5:6" x14ac:dyDescent="0.3">
      <c r="E184" s="42"/>
      <c r="F184" s="42"/>
    </row>
    <row r="185" spans="5:6" x14ac:dyDescent="0.3">
      <c r="E185" s="42"/>
      <c r="F185" s="42"/>
    </row>
    <row r="186" spans="5:6" x14ac:dyDescent="0.3">
      <c r="E186" s="42"/>
      <c r="F186" s="42"/>
    </row>
    <row r="187" spans="5:6" x14ac:dyDescent="0.3">
      <c r="E187" s="42"/>
      <c r="F187" s="42"/>
    </row>
    <row r="188" spans="5:6" x14ac:dyDescent="0.3">
      <c r="E188" s="42"/>
      <c r="F188" s="42"/>
    </row>
    <row r="189" spans="5:6" x14ac:dyDescent="0.3">
      <c r="E189" s="42"/>
      <c r="F189" s="42"/>
    </row>
    <row r="190" spans="5:6" x14ac:dyDescent="0.3">
      <c r="E190" s="42"/>
      <c r="F190" s="42"/>
    </row>
    <row r="191" spans="5:6" x14ac:dyDescent="0.3">
      <c r="E191" s="42"/>
      <c r="F191" s="42"/>
    </row>
    <row r="192" spans="5:6" x14ac:dyDescent="0.3">
      <c r="E192" s="42"/>
      <c r="F192" s="42"/>
    </row>
    <row r="193" spans="5:6" x14ac:dyDescent="0.3">
      <c r="E193" s="42"/>
      <c r="F193" s="42"/>
    </row>
    <row r="194" spans="5:6" x14ac:dyDescent="0.3">
      <c r="E194" s="42"/>
      <c r="F194" s="42"/>
    </row>
    <row r="195" spans="5:6" x14ac:dyDescent="0.3">
      <c r="E195" s="42"/>
      <c r="F195" s="42"/>
    </row>
    <row r="196" spans="5:6" x14ac:dyDescent="0.3">
      <c r="E196" s="42"/>
      <c r="F196" s="42"/>
    </row>
    <row r="197" spans="5:6" x14ac:dyDescent="0.3">
      <c r="E197" s="42"/>
      <c r="F197" s="42"/>
    </row>
    <row r="198" spans="5:6" x14ac:dyDescent="0.3">
      <c r="E198" s="42"/>
      <c r="F198" s="42"/>
    </row>
    <row r="199" spans="5:6" x14ac:dyDescent="0.3">
      <c r="E199" s="42"/>
      <c r="F199" s="42"/>
    </row>
    <row r="200" spans="5:6" x14ac:dyDescent="0.3">
      <c r="E200" s="42"/>
      <c r="F200" s="42"/>
    </row>
    <row r="201" spans="5:6" x14ac:dyDescent="0.3">
      <c r="E201" s="42"/>
      <c r="F201" s="42"/>
    </row>
    <row r="202" spans="5:6" x14ac:dyDescent="0.3">
      <c r="E202" s="42"/>
      <c r="F202" s="42"/>
    </row>
    <row r="203" spans="5:6" x14ac:dyDescent="0.3">
      <c r="E203" s="42"/>
      <c r="F203" s="42"/>
    </row>
    <row r="204" spans="5:6" x14ac:dyDescent="0.3">
      <c r="E204" s="42"/>
      <c r="F204" s="42"/>
    </row>
    <row r="205" spans="5:6" x14ac:dyDescent="0.3">
      <c r="E205" s="42"/>
      <c r="F205" s="42"/>
    </row>
    <row r="206" spans="5:6" x14ac:dyDescent="0.3">
      <c r="E206" s="42"/>
      <c r="F206" s="42"/>
    </row>
    <row r="207" spans="5:6" x14ac:dyDescent="0.3">
      <c r="E207" s="42"/>
      <c r="F207" s="42"/>
    </row>
    <row r="208" spans="5:6" x14ac:dyDescent="0.3">
      <c r="E208" s="42"/>
      <c r="F208" s="42"/>
    </row>
    <row r="209" spans="5:6" x14ac:dyDescent="0.3">
      <c r="E209" s="42"/>
      <c r="F209" s="42"/>
    </row>
    <row r="210" spans="5:6" x14ac:dyDescent="0.3">
      <c r="E210" s="42"/>
      <c r="F210" s="42"/>
    </row>
    <row r="211" spans="5:6" x14ac:dyDescent="0.3">
      <c r="E211" s="42"/>
      <c r="F211" s="42"/>
    </row>
    <row r="212" spans="5:6" x14ac:dyDescent="0.3">
      <c r="E212" s="42"/>
      <c r="F212" s="42"/>
    </row>
    <row r="213" spans="5:6" x14ac:dyDescent="0.3">
      <c r="E213" s="42"/>
      <c r="F213" s="42"/>
    </row>
    <row r="214" spans="5:6" x14ac:dyDescent="0.3">
      <c r="E214" s="42"/>
      <c r="F214" s="42"/>
    </row>
    <row r="215" spans="5:6" x14ac:dyDescent="0.3">
      <c r="E215" s="42"/>
      <c r="F215" s="42"/>
    </row>
    <row r="216" spans="5:6" x14ac:dyDescent="0.3">
      <c r="E216" s="42"/>
      <c r="F216" s="42"/>
    </row>
    <row r="217" spans="5:6" x14ac:dyDescent="0.3">
      <c r="E217" s="42"/>
      <c r="F217" s="42"/>
    </row>
    <row r="218" spans="5:6" x14ac:dyDescent="0.3">
      <c r="E218" s="42"/>
      <c r="F218" s="42"/>
    </row>
    <row r="219" spans="5:6" x14ac:dyDescent="0.3">
      <c r="E219" s="42"/>
      <c r="F219" s="42"/>
    </row>
    <row r="220" spans="5:6" x14ac:dyDescent="0.3">
      <c r="E220" s="42"/>
      <c r="F220" s="42"/>
    </row>
    <row r="221" spans="5:6" x14ac:dyDescent="0.3">
      <c r="E221" s="42"/>
      <c r="F221" s="42"/>
    </row>
    <row r="222" spans="5:6" x14ac:dyDescent="0.3">
      <c r="E222" s="42"/>
      <c r="F222" s="42"/>
    </row>
    <row r="223" spans="5:6" x14ac:dyDescent="0.3">
      <c r="E223" s="42"/>
      <c r="F223" s="42"/>
    </row>
    <row r="224" spans="5:6" x14ac:dyDescent="0.3">
      <c r="E224" s="42"/>
      <c r="F224" s="42"/>
    </row>
    <row r="225" spans="5:6" x14ac:dyDescent="0.3">
      <c r="E225" s="42"/>
      <c r="F225" s="42"/>
    </row>
    <row r="226" spans="5:6" x14ac:dyDescent="0.3">
      <c r="E226" s="42"/>
      <c r="F226" s="42"/>
    </row>
    <row r="227" spans="5:6" x14ac:dyDescent="0.3">
      <c r="E227" s="42"/>
      <c r="F227" s="42"/>
    </row>
    <row r="228" spans="5:6" x14ac:dyDescent="0.3">
      <c r="E228" s="42"/>
      <c r="F228" s="42"/>
    </row>
    <row r="229" spans="5:6" x14ac:dyDescent="0.3">
      <c r="E229" s="42"/>
      <c r="F229" s="42"/>
    </row>
    <row r="230" spans="5:6" x14ac:dyDescent="0.3">
      <c r="E230" s="42"/>
      <c r="F230" s="42"/>
    </row>
    <row r="231" spans="5:6" x14ac:dyDescent="0.3">
      <c r="E231" s="42"/>
      <c r="F231" s="42"/>
    </row>
    <row r="232" spans="5:6" x14ac:dyDescent="0.3">
      <c r="E232" s="42"/>
      <c r="F232" s="42"/>
    </row>
    <row r="233" spans="5:6" x14ac:dyDescent="0.3">
      <c r="E233" s="42"/>
      <c r="F233" s="42"/>
    </row>
    <row r="234" spans="5:6" x14ac:dyDescent="0.3">
      <c r="E234" s="42"/>
      <c r="F234" s="42"/>
    </row>
    <row r="235" spans="5:6" x14ac:dyDescent="0.3">
      <c r="E235" s="42"/>
      <c r="F235" s="42"/>
    </row>
    <row r="236" spans="5:6" x14ac:dyDescent="0.3">
      <c r="E236" s="42"/>
      <c r="F236" s="42"/>
    </row>
    <row r="237" spans="5:6" x14ac:dyDescent="0.3">
      <c r="E237" s="42"/>
      <c r="F237" s="42"/>
    </row>
    <row r="238" spans="5:6" x14ac:dyDescent="0.3">
      <c r="E238" s="42"/>
      <c r="F238" s="42"/>
    </row>
    <row r="239" spans="5:6" x14ac:dyDescent="0.3">
      <c r="E239" s="42"/>
      <c r="F239" s="42"/>
    </row>
    <row r="240" spans="5:6" x14ac:dyDescent="0.3">
      <c r="E240" s="42"/>
      <c r="F240" s="42"/>
    </row>
    <row r="241" spans="5:6" x14ac:dyDescent="0.3">
      <c r="E241" s="42"/>
      <c r="F241" s="42"/>
    </row>
    <row r="242" spans="5:6" x14ac:dyDescent="0.3">
      <c r="E242" s="42"/>
      <c r="F242" s="42"/>
    </row>
    <row r="243" spans="5:6" x14ac:dyDescent="0.3">
      <c r="E243" s="42"/>
      <c r="F243" s="42"/>
    </row>
    <row r="244" spans="5:6" x14ac:dyDescent="0.3">
      <c r="E244" s="42"/>
      <c r="F244" s="42"/>
    </row>
    <row r="245" spans="5:6" x14ac:dyDescent="0.3">
      <c r="E245" s="42"/>
      <c r="F245" s="42"/>
    </row>
    <row r="246" spans="5:6" x14ac:dyDescent="0.3">
      <c r="E246" s="42"/>
      <c r="F246" s="42"/>
    </row>
    <row r="247" spans="5:6" x14ac:dyDescent="0.3">
      <c r="E247" s="42"/>
      <c r="F247" s="42"/>
    </row>
    <row r="248" spans="5:6" x14ac:dyDescent="0.3">
      <c r="E248" s="42"/>
      <c r="F248" s="42"/>
    </row>
    <row r="249" spans="5:6" x14ac:dyDescent="0.3">
      <c r="E249" s="42"/>
      <c r="F249" s="42"/>
    </row>
    <row r="250" spans="5:6" x14ac:dyDescent="0.3">
      <c r="E250" s="42"/>
      <c r="F250" s="42"/>
    </row>
    <row r="251" spans="5:6" x14ac:dyDescent="0.3">
      <c r="E251" s="42"/>
      <c r="F251" s="42"/>
    </row>
    <row r="252" spans="5:6" x14ac:dyDescent="0.3">
      <c r="E252" s="42"/>
      <c r="F252" s="42"/>
    </row>
    <row r="253" spans="5:6" x14ac:dyDescent="0.3">
      <c r="E253" s="42"/>
      <c r="F253" s="42"/>
    </row>
    <row r="254" spans="5:6" x14ac:dyDescent="0.3">
      <c r="E254" s="42"/>
      <c r="F254" s="42"/>
    </row>
    <row r="255" spans="5:6" x14ac:dyDescent="0.3">
      <c r="E255" s="42"/>
      <c r="F255" s="42"/>
    </row>
    <row r="256" spans="5:6" x14ac:dyDescent="0.3">
      <c r="E256" s="42"/>
      <c r="F256" s="42"/>
    </row>
    <row r="257" spans="5:6" x14ac:dyDescent="0.3">
      <c r="E257" s="42"/>
      <c r="F257" s="42"/>
    </row>
    <row r="258" spans="5:6" x14ac:dyDescent="0.3">
      <c r="E258" s="42"/>
      <c r="F258" s="42"/>
    </row>
    <row r="259" spans="5:6" x14ac:dyDescent="0.3">
      <c r="E259" s="42"/>
      <c r="F259" s="42"/>
    </row>
    <row r="260" spans="5:6" x14ac:dyDescent="0.3">
      <c r="E260" s="42"/>
      <c r="F260" s="42"/>
    </row>
    <row r="261" spans="5:6" x14ac:dyDescent="0.3">
      <c r="E261" s="42"/>
      <c r="F261" s="42"/>
    </row>
    <row r="262" spans="5:6" x14ac:dyDescent="0.3">
      <c r="E262" s="42"/>
      <c r="F262" s="42"/>
    </row>
    <row r="263" spans="5:6" x14ac:dyDescent="0.3">
      <c r="E263" s="42"/>
      <c r="F263" s="42"/>
    </row>
    <row r="264" spans="5:6" x14ac:dyDescent="0.3">
      <c r="E264" s="42"/>
      <c r="F264" s="42"/>
    </row>
    <row r="265" spans="5:6" x14ac:dyDescent="0.3">
      <c r="E265" s="42"/>
      <c r="F265" s="42"/>
    </row>
    <row r="266" spans="5:6" x14ac:dyDescent="0.3">
      <c r="E266" s="42"/>
      <c r="F266" s="42"/>
    </row>
    <row r="267" spans="5:6" x14ac:dyDescent="0.3">
      <c r="E267" s="42"/>
      <c r="F267" s="42"/>
    </row>
    <row r="268" spans="5:6" x14ac:dyDescent="0.3">
      <c r="E268" s="42"/>
      <c r="F268" s="42"/>
    </row>
    <row r="269" spans="5:6" x14ac:dyDescent="0.3">
      <c r="E269" s="42"/>
      <c r="F269" s="42"/>
    </row>
    <row r="270" spans="5:6" x14ac:dyDescent="0.3">
      <c r="E270" s="42"/>
      <c r="F270" s="42"/>
    </row>
    <row r="271" spans="5:6" x14ac:dyDescent="0.3">
      <c r="E271" s="42"/>
      <c r="F271" s="42"/>
    </row>
    <row r="272" spans="5:6" x14ac:dyDescent="0.3">
      <c r="E272" s="42"/>
      <c r="F272" s="42"/>
    </row>
    <row r="273" spans="5:6" x14ac:dyDescent="0.3">
      <c r="E273" s="42"/>
      <c r="F273" s="42"/>
    </row>
    <row r="274" spans="5:6" x14ac:dyDescent="0.3">
      <c r="E274" s="42"/>
      <c r="F274" s="42"/>
    </row>
    <row r="275" spans="5:6" x14ac:dyDescent="0.3">
      <c r="E275" s="42"/>
      <c r="F275" s="42"/>
    </row>
    <row r="276" spans="5:6" x14ac:dyDescent="0.3">
      <c r="E276" s="42"/>
      <c r="F276" s="42"/>
    </row>
    <row r="277" spans="5:6" x14ac:dyDescent="0.3">
      <c r="E277" s="42"/>
      <c r="F277" s="42"/>
    </row>
    <row r="278" spans="5:6" x14ac:dyDescent="0.3">
      <c r="E278" s="42"/>
      <c r="F278" s="42"/>
    </row>
    <row r="279" spans="5:6" x14ac:dyDescent="0.3">
      <c r="E279" s="42"/>
      <c r="F279" s="42"/>
    </row>
    <row r="280" spans="5:6" x14ac:dyDescent="0.3">
      <c r="E280" s="42"/>
      <c r="F280" s="42"/>
    </row>
    <row r="281" spans="5:6" x14ac:dyDescent="0.3">
      <c r="E281" s="42"/>
      <c r="F281" s="42"/>
    </row>
    <row r="282" spans="5:6" x14ac:dyDescent="0.3">
      <c r="E282" s="42"/>
      <c r="F282" s="42"/>
    </row>
    <row r="283" spans="5:6" x14ac:dyDescent="0.3">
      <c r="E283" s="42"/>
      <c r="F283" s="42"/>
    </row>
    <row r="284" spans="5:6" x14ac:dyDescent="0.3">
      <c r="E284" s="42"/>
      <c r="F284" s="42"/>
    </row>
    <row r="285" spans="5:6" x14ac:dyDescent="0.3">
      <c r="E285" s="42"/>
      <c r="F285" s="42"/>
    </row>
    <row r="286" spans="5:6" x14ac:dyDescent="0.3">
      <c r="E286" s="42"/>
      <c r="F286" s="42"/>
    </row>
    <row r="287" spans="5:6" x14ac:dyDescent="0.3">
      <c r="E287" s="42"/>
      <c r="F287" s="42"/>
    </row>
    <row r="288" spans="5:6" x14ac:dyDescent="0.3">
      <c r="E288" s="42"/>
      <c r="F288" s="42"/>
    </row>
    <row r="289" spans="5:6" x14ac:dyDescent="0.3">
      <c r="E289" s="42"/>
      <c r="F289" s="42"/>
    </row>
    <row r="290" spans="5:6" x14ac:dyDescent="0.3">
      <c r="E290" s="42"/>
      <c r="F290" s="42"/>
    </row>
    <row r="291" spans="5:6" x14ac:dyDescent="0.3">
      <c r="E291" s="42"/>
      <c r="F291" s="42"/>
    </row>
    <row r="292" spans="5:6" x14ac:dyDescent="0.3">
      <c r="E292" s="42"/>
      <c r="F292" s="42"/>
    </row>
    <row r="293" spans="5:6" x14ac:dyDescent="0.3">
      <c r="E293" s="42"/>
      <c r="F293" s="42"/>
    </row>
    <row r="294" spans="5:6" x14ac:dyDescent="0.3">
      <c r="E294" s="42"/>
      <c r="F294" s="42"/>
    </row>
    <row r="295" spans="5:6" x14ac:dyDescent="0.3">
      <c r="E295" s="42"/>
      <c r="F295" s="42"/>
    </row>
    <row r="296" spans="5:6" x14ac:dyDescent="0.3">
      <c r="E296" s="42"/>
      <c r="F296" s="42"/>
    </row>
    <row r="297" spans="5:6" x14ac:dyDescent="0.3">
      <c r="E297" s="42"/>
      <c r="F297" s="42"/>
    </row>
    <row r="298" spans="5:6" x14ac:dyDescent="0.3">
      <c r="E298" s="42"/>
      <c r="F298" s="42"/>
    </row>
    <row r="299" spans="5:6" x14ac:dyDescent="0.3">
      <c r="E299" s="42"/>
      <c r="F299" s="42"/>
    </row>
    <row r="300" spans="5:6" x14ac:dyDescent="0.3">
      <c r="E300" s="42"/>
      <c r="F300" s="42"/>
    </row>
    <row r="301" spans="5:6" x14ac:dyDescent="0.3">
      <c r="E301" s="42"/>
      <c r="F301" s="42"/>
    </row>
    <row r="302" spans="5:6" x14ac:dyDescent="0.3">
      <c r="E302" s="42"/>
      <c r="F302" s="42"/>
    </row>
    <row r="303" spans="5:6" x14ac:dyDescent="0.3">
      <c r="E303" s="42"/>
      <c r="F303" s="42"/>
    </row>
    <row r="304" spans="5:6" x14ac:dyDescent="0.3">
      <c r="E304" s="42"/>
      <c r="F304" s="42"/>
    </row>
    <row r="305" spans="5:6" x14ac:dyDescent="0.3">
      <c r="E305" s="42"/>
      <c r="F305" s="42"/>
    </row>
    <row r="306" spans="5:6" x14ac:dyDescent="0.3">
      <c r="E306" s="42"/>
      <c r="F306" s="42"/>
    </row>
    <row r="307" spans="5:6" x14ac:dyDescent="0.3">
      <c r="E307" s="42"/>
      <c r="F307" s="42"/>
    </row>
    <row r="308" spans="5:6" x14ac:dyDescent="0.3">
      <c r="E308" s="42"/>
      <c r="F308" s="42"/>
    </row>
    <row r="309" spans="5:6" x14ac:dyDescent="0.3">
      <c r="E309" s="42"/>
      <c r="F309" s="42"/>
    </row>
    <row r="310" spans="5:6" x14ac:dyDescent="0.3">
      <c r="E310" s="42"/>
      <c r="F310" s="42"/>
    </row>
    <row r="311" spans="5:6" x14ac:dyDescent="0.3">
      <c r="E311" s="42"/>
      <c r="F311" s="42"/>
    </row>
    <row r="312" spans="5:6" x14ac:dyDescent="0.3">
      <c r="E312" s="42"/>
      <c r="F312" s="42"/>
    </row>
    <row r="313" spans="5:6" x14ac:dyDescent="0.3">
      <c r="E313" s="42"/>
      <c r="F313" s="42"/>
    </row>
    <row r="314" spans="5:6" x14ac:dyDescent="0.3">
      <c r="E314" s="42"/>
      <c r="F314" s="42"/>
    </row>
    <row r="315" spans="5:6" x14ac:dyDescent="0.3">
      <c r="E315" s="42"/>
      <c r="F315" s="42"/>
    </row>
    <row r="316" spans="5:6" x14ac:dyDescent="0.3">
      <c r="E316" s="42"/>
      <c r="F316" s="42"/>
    </row>
    <row r="317" spans="5:6" x14ac:dyDescent="0.3">
      <c r="E317" s="42"/>
      <c r="F317" s="42"/>
    </row>
    <row r="318" spans="5:6" x14ac:dyDescent="0.3">
      <c r="E318" s="42"/>
      <c r="F318" s="42"/>
    </row>
    <row r="319" spans="5:6" x14ac:dyDescent="0.3">
      <c r="E319" s="42"/>
      <c r="F319" s="42"/>
    </row>
    <row r="320" spans="5:6" x14ac:dyDescent="0.3">
      <c r="E320" s="42"/>
      <c r="F320" s="42"/>
    </row>
    <row r="321" spans="5:6" x14ac:dyDescent="0.3">
      <c r="E321" s="42"/>
      <c r="F321" s="42"/>
    </row>
    <row r="322" spans="5:6" x14ac:dyDescent="0.3">
      <c r="E322" s="42"/>
      <c r="F322" s="42"/>
    </row>
    <row r="323" spans="5:6" x14ac:dyDescent="0.3">
      <c r="E323" s="42"/>
      <c r="F323" s="42"/>
    </row>
    <row r="324" spans="5:6" x14ac:dyDescent="0.3">
      <c r="E324" s="42"/>
      <c r="F324" s="42"/>
    </row>
    <row r="325" spans="5:6" x14ac:dyDescent="0.3">
      <c r="E325" s="42"/>
      <c r="F325" s="42"/>
    </row>
    <row r="326" spans="5:6" x14ac:dyDescent="0.3">
      <c r="E326" s="42"/>
      <c r="F326" s="42"/>
    </row>
    <row r="327" spans="5:6" x14ac:dyDescent="0.3">
      <c r="E327" s="42"/>
      <c r="F327" s="42"/>
    </row>
    <row r="328" spans="5:6" x14ac:dyDescent="0.3">
      <c r="E328" s="42"/>
      <c r="F328" s="42"/>
    </row>
    <row r="329" spans="5:6" x14ac:dyDescent="0.3">
      <c r="E329" s="42"/>
      <c r="F329" s="42"/>
    </row>
    <row r="330" spans="5:6" x14ac:dyDescent="0.3">
      <c r="E330" s="42"/>
      <c r="F330" s="42"/>
    </row>
    <row r="331" spans="5:6" x14ac:dyDescent="0.3">
      <c r="E331" s="42"/>
      <c r="F331" s="42"/>
    </row>
    <row r="332" spans="5:6" x14ac:dyDescent="0.3">
      <c r="E332" s="42"/>
      <c r="F332" s="42"/>
    </row>
    <row r="333" spans="5:6" x14ac:dyDescent="0.3">
      <c r="E333" s="42"/>
      <c r="F333" s="42"/>
    </row>
    <row r="334" spans="5:6" x14ac:dyDescent="0.3">
      <c r="E334" s="42"/>
      <c r="F334" s="42"/>
    </row>
    <row r="335" spans="5:6" x14ac:dyDescent="0.3">
      <c r="E335" s="42"/>
      <c r="F335" s="42"/>
    </row>
    <row r="336" spans="5:6" x14ac:dyDescent="0.3">
      <c r="E336" s="42"/>
      <c r="F336" s="42"/>
    </row>
    <row r="337" spans="5:6" x14ac:dyDescent="0.3">
      <c r="E337" s="42"/>
      <c r="F337" s="42"/>
    </row>
    <row r="338" spans="5:6" x14ac:dyDescent="0.3">
      <c r="E338" s="42"/>
      <c r="F338" s="42"/>
    </row>
    <row r="339" spans="5:6" x14ac:dyDescent="0.3">
      <c r="E339" s="42"/>
      <c r="F339" s="42"/>
    </row>
    <row r="340" spans="5:6" x14ac:dyDescent="0.3">
      <c r="E340" s="42"/>
      <c r="F340" s="42"/>
    </row>
    <row r="341" spans="5:6" x14ac:dyDescent="0.3">
      <c r="E341" s="42"/>
      <c r="F341" s="42"/>
    </row>
    <row r="342" spans="5:6" x14ac:dyDescent="0.3">
      <c r="E342" s="42"/>
      <c r="F342" s="42"/>
    </row>
    <row r="343" spans="5:6" x14ac:dyDescent="0.3">
      <c r="E343" s="42"/>
      <c r="F343" s="42"/>
    </row>
    <row r="344" spans="5:6" x14ac:dyDescent="0.3">
      <c r="E344" s="42"/>
      <c r="F344" s="42"/>
    </row>
    <row r="345" spans="5:6" x14ac:dyDescent="0.3">
      <c r="E345" s="42"/>
      <c r="F345" s="42"/>
    </row>
    <row r="346" spans="5:6" x14ac:dyDescent="0.3">
      <c r="E346" s="42"/>
      <c r="F346" s="42"/>
    </row>
    <row r="347" spans="5:6" x14ac:dyDescent="0.3">
      <c r="E347" s="42"/>
      <c r="F347" s="42"/>
    </row>
    <row r="348" spans="5:6" x14ac:dyDescent="0.3">
      <c r="E348" s="42"/>
      <c r="F348" s="42"/>
    </row>
    <row r="349" spans="5:6" x14ac:dyDescent="0.3">
      <c r="E349" s="42"/>
      <c r="F349" s="42"/>
    </row>
    <row r="350" spans="5:6" x14ac:dyDescent="0.3">
      <c r="E350" s="42"/>
      <c r="F350" s="42"/>
    </row>
    <row r="351" spans="5:6" x14ac:dyDescent="0.3">
      <c r="E351" s="42"/>
      <c r="F351" s="42"/>
    </row>
    <row r="352" spans="5:6" x14ac:dyDescent="0.3">
      <c r="E352" s="42"/>
      <c r="F352" s="42"/>
    </row>
    <row r="353" spans="5:6" x14ac:dyDescent="0.3">
      <c r="E353" s="42"/>
      <c r="F353" s="42"/>
    </row>
    <row r="354" spans="5:6" x14ac:dyDescent="0.3">
      <c r="E354" s="42"/>
      <c r="F354" s="42"/>
    </row>
    <row r="355" spans="5:6" x14ac:dyDescent="0.3">
      <c r="E355" s="42"/>
      <c r="F355" s="42"/>
    </row>
    <row r="356" spans="5:6" x14ac:dyDescent="0.3">
      <c r="E356" s="42"/>
      <c r="F356" s="42"/>
    </row>
    <row r="357" spans="5:6" x14ac:dyDescent="0.3">
      <c r="E357" s="42"/>
      <c r="F357" s="42"/>
    </row>
    <row r="358" spans="5:6" x14ac:dyDescent="0.3">
      <c r="E358" s="42"/>
      <c r="F358" s="42"/>
    </row>
    <row r="359" spans="5:6" x14ac:dyDescent="0.3">
      <c r="E359" s="42"/>
      <c r="F359" s="42"/>
    </row>
    <row r="360" spans="5:6" x14ac:dyDescent="0.3">
      <c r="E360" s="42"/>
      <c r="F360" s="42"/>
    </row>
    <row r="361" spans="5:6" x14ac:dyDescent="0.3">
      <c r="E361" s="42"/>
      <c r="F361" s="42"/>
    </row>
    <row r="362" spans="5:6" x14ac:dyDescent="0.3">
      <c r="E362" s="42"/>
      <c r="F362" s="42"/>
    </row>
    <row r="363" spans="5:6" x14ac:dyDescent="0.3">
      <c r="E363" s="42"/>
      <c r="F363" s="42"/>
    </row>
    <row r="364" spans="5:6" x14ac:dyDescent="0.3">
      <c r="E364" s="42"/>
      <c r="F364" s="42"/>
    </row>
    <row r="365" spans="5:6" x14ac:dyDescent="0.3">
      <c r="E365" s="42"/>
      <c r="F365" s="42"/>
    </row>
    <row r="366" spans="5:6" x14ac:dyDescent="0.3">
      <c r="E366" s="42"/>
      <c r="F366" s="42"/>
    </row>
    <row r="367" spans="5:6" x14ac:dyDescent="0.3">
      <c r="E367" s="42"/>
      <c r="F367" s="42"/>
    </row>
    <row r="368" spans="5:6" x14ac:dyDescent="0.3">
      <c r="E368" s="42"/>
      <c r="F368" s="42"/>
    </row>
    <row r="369" spans="5:6" x14ac:dyDescent="0.3">
      <c r="E369" s="42"/>
      <c r="F369" s="42"/>
    </row>
    <row r="370" spans="5:6" x14ac:dyDescent="0.3">
      <c r="E370" s="42"/>
      <c r="F370" s="42"/>
    </row>
    <row r="371" spans="5:6" x14ac:dyDescent="0.3">
      <c r="E371" s="42"/>
      <c r="F371" s="42"/>
    </row>
    <row r="372" spans="5:6" x14ac:dyDescent="0.3">
      <c r="E372" s="42"/>
      <c r="F372" s="42"/>
    </row>
    <row r="373" spans="5:6" x14ac:dyDescent="0.3">
      <c r="E373" s="42"/>
      <c r="F373" s="42"/>
    </row>
    <row r="374" spans="5:6" x14ac:dyDescent="0.3">
      <c r="E374" s="42"/>
      <c r="F374" s="42"/>
    </row>
    <row r="375" spans="5:6" x14ac:dyDescent="0.3">
      <c r="E375" s="42"/>
      <c r="F375" s="42"/>
    </row>
    <row r="376" spans="5:6" x14ac:dyDescent="0.3">
      <c r="E376" s="42"/>
      <c r="F376" s="42"/>
    </row>
    <row r="377" spans="5:6" x14ac:dyDescent="0.3">
      <c r="E377" s="42"/>
      <c r="F377" s="42"/>
    </row>
    <row r="378" spans="5:6" x14ac:dyDescent="0.3">
      <c r="E378" s="42"/>
      <c r="F378" s="42"/>
    </row>
    <row r="379" spans="5:6" x14ac:dyDescent="0.3">
      <c r="E379" s="42"/>
      <c r="F379" s="42"/>
    </row>
    <row r="380" spans="5:6" x14ac:dyDescent="0.3">
      <c r="E380" s="42"/>
      <c r="F380" s="42"/>
    </row>
    <row r="381" spans="5:6" x14ac:dyDescent="0.3">
      <c r="E381" s="42"/>
      <c r="F381" s="42"/>
    </row>
    <row r="382" spans="5:6" x14ac:dyDescent="0.3">
      <c r="E382" s="42"/>
      <c r="F382" s="42"/>
    </row>
    <row r="383" spans="5:6" x14ac:dyDescent="0.3">
      <c r="E383" s="42"/>
      <c r="F383" s="42"/>
    </row>
    <row r="384" spans="5:6" x14ac:dyDescent="0.3">
      <c r="E384" s="42"/>
      <c r="F384" s="42"/>
    </row>
    <row r="385" spans="5:6" x14ac:dyDescent="0.3">
      <c r="E385" s="42"/>
      <c r="F385" s="42"/>
    </row>
    <row r="386" spans="5:6" x14ac:dyDescent="0.3">
      <c r="E386" s="42"/>
      <c r="F386" s="42"/>
    </row>
    <row r="387" spans="5:6" x14ac:dyDescent="0.3">
      <c r="E387" s="42"/>
      <c r="F387" s="42"/>
    </row>
    <row r="388" spans="5:6" x14ac:dyDescent="0.3">
      <c r="E388" s="42"/>
      <c r="F388" s="42"/>
    </row>
    <row r="389" spans="5:6" x14ac:dyDescent="0.3">
      <c r="E389" s="42"/>
      <c r="F389" s="42"/>
    </row>
    <row r="390" spans="5:6" x14ac:dyDescent="0.3">
      <c r="E390" s="42"/>
      <c r="F390" s="42"/>
    </row>
    <row r="391" spans="5:6" x14ac:dyDescent="0.3">
      <c r="E391" s="42"/>
      <c r="F391" s="42"/>
    </row>
    <row r="392" spans="5:6" x14ac:dyDescent="0.3">
      <c r="E392" s="42"/>
      <c r="F392" s="42"/>
    </row>
    <row r="393" spans="5:6" x14ac:dyDescent="0.3">
      <c r="E393" s="42"/>
      <c r="F393" s="42"/>
    </row>
    <row r="394" spans="5:6" x14ac:dyDescent="0.3">
      <c r="E394" s="42"/>
      <c r="F394" s="42"/>
    </row>
    <row r="395" spans="5:6" x14ac:dyDescent="0.3">
      <c r="E395" s="42"/>
      <c r="F395" s="42"/>
    </row>
    <row r="396" spans="5:6" x14ac:dyDescent="0.3">
      <c r="E396" s="42"/>
      <c r="F396" s="42"/>
    </row>
    <row r="397" spans="5:6" x14ac:dyDescent="0.3">
      <c r="E397" s="42"/>
      <c r="F397" s="42"/>
    </row>
    <row r="398" spans="5:6" x14ac:dyDescent="0.3">
      <c r="E398" s="42"/>
      <c r="F398" s="42"/>
    </row>
    <row r="399" spans="5:6" x14ac:dyDescent="0.3">
      <c r="E399" s="42"/>
      <c r="F399" s="42"/>
    </row>
    <row r="400" spans="5:6" x14ac:dyDescent="0.3">
      <c r="E400" s="42"/>
      <c r="F400" s="42"/>
    </row>
    <row r="401" spans="5:6" x14ac:dyDescent="0.3">
      <c r="E401" s="42"/>
      <c r="F401" s="42"/>
    </row>
    <row r="402" spans="5:6" x14ac:dyDescent="0.3">
      <c r="E402" s="42"/>
      <c r="F402" s="42"/>
    </row>
    <row r="403" spans="5:6" x14ac:dyDescent="0.3">
      <c r="E403" s="42"/>
      <c r="F403" s="42"/>
    </row>
    <row r="404" spans="5:6" x14ac:dyDescent="0.3">
      <c r="E404" s="42"/>
      <c r="F404" s="42"/>
    </row>
    <row r="405" spans="5:6" x14ac:dyDescent="0.3">
      <c r="E405" s="42"/>
      <c r="F405" s="42"/>
    </row>
    <row r="406" spans="5:6" x14ac:dyDescent="0.3">
      <c r="E406" s="42"/>
      <c r="F406" s="42"/>
    </row>
    <row r="407" spans="5:6" x14ac:dyDescent="0.3">
      <c r="E407" s="42"/>
      <c r="F407" s="42"/>
    </row>
    <row r="408" spans="5:6" x14ac:dyDescent="0.3">
      <c r="E408" s="42"/>
      <c r="F408" s="42"/>
    </row>
    <row r="409" spans="5:6" x14ac:dyDescent="0.3">
      <c r="E409" s="42"/>
      <c r="F409" s="42"/>
    </row>
    <row r="410" spans="5:6" x14ac:dyDescent="0.3">
      <c r="E410" s="42"/>
      <c r="F410" s="42"/>
    </row>
    <row r="411" spans="5:6" x14ac:dyDescent="0.3">
      <c r="E411" s="42"/>
      <c r="F411" s="42"/>
    </row>
    <row r="412" spans="5:6" x14ac:dyDescent="0.3">
      <c r="E412" s="42"/>
      <c r="F412" s="42"/>
    </row>
    <row r="413" spans="5:6" x14ac:dyDescent="0.3">
      <c r="E413" s="42"/>
      <c r="F413" s="42"/>
    </row>
    <row r="414" spans="5:6" x14ac:dyDescent="0.3">
      <c r="E414" s="42"/>
      <c r="F414" s="42"/>
    </row>
    <row r="415" spans="5:6" x14ac:dyDescent="0.3">
      <c r="E415" s="42"/>
      <c r="F415" s="42"/>
    </row>
    <row r="416" spans="5:6" x14ac:dyDescent="0.3">
      <c r="E416" s="42"/>
      <c r="F416" s="42"/>
    </row>
    <row r="417" spans="5:6" x14ac:dyDescent="0.3">
      <c r="E417" s="42"/>
      <c r="F417" s="42"/>
    </row>
    <row r="418" spans="5:6" x14ac:dyDescent="0.3">
      <c r="E418" s="42"/>
      <c r="F418" s="42"/>
    </row>
    <row r="419" spans="5:6" x14ac:dyDescent="0.3">
      <c r="E419" s="42"/>
      <c r="F419" s="42"/>
    </row>
    <row r="420" spans="5:6" x14ac:dyDescent="0.3">
      <c r="E420" s="42"/>
      <c r="F420" s="42"/>
    </row>
    <row r="421" spans="5:6" x14ac:dyDescent="0.3">
      <c r="E421" s="42"/>
      <c r="F421" s="42"/>
    </row>
    <row r="422" spans="5:6" x14ac:dyDescent="0.3">
      <c r="E422" s="42"/>
      <c r="F422" s="42"/>
    </row>
    <row r="423" spans="5:6" x14ac:dyDescent="0.3">
      <c r="E423" s="42"/>
      <c r="F423" s="42"/>
    </row>
    <row r="424" spans="5:6" x14ac:dyDescent="0.3">
      <c r="E424" s="42"/>
      <c r="F424" s="42"/>
    </row>
    <row r="425" spans="5:6" x14ac:dyDescent="0.3">
      <c r="E425" s="42"/>
      <c r="F425" s="42"/>
    </row>
    <row r="426" spans="5:6" x14ac:dyDescent="0.3">
      <c r="E426" s="42"/>
      <c r="F426" s="42"/>
    </row>
    <row r="427" spans="5:6" x14ac:dyDescent="0.3">
      <c r="E427" s="42"/>
      <c r="F427" s="42"/>
    </row>
    <row r="428" spans="5:6" x14ac:dyDescent="0.3">
      <c r="E428" s="42"/>
      <c r="F428" s="42"/>
    </row>
    <row r="429" spans="5:6" x14ac:dyDescent="0.3">
      <c r="E429" s="42"/>
      <c r="F429" s="42"/>
    </row>
    <row r="430" spans="5:6" x14ac:dyDescent="0.3">
      <c r="E430" s="42"/>
      <c r="F430" s="42"/>
    </row>
    <row r="431" spans="5:6" x14ac:dyDescent="0.3">
      <c r="E431" s="42"/>
      <c r="F431" s="42"/>
    </row>
    <row r="432" spans="5:6" x14ac:dyDescent="0.3">
      <c r="E432" s="42"/>
      <c r="F432" s="42"/>
    </row>
    <row r="433" spans="5:6" x14ac:dyDescent="0.3">
      <c r="E433" s="42"/>
      <c r="F433" s="42"/>
    </row>
    <row r="434" spans="5:6" x14ac:dyDescent="0.3">
      <c r="E434" s="42"/>
      <c r="F434" s="42"/>
    </row>
    <row r="435" spans="5:6" x14ac:dyDescent="0.3">
      <c r="E435" s="42"/>
      <c r="F435" s="42"/>
    </row>
    <row r="436" spans="5:6" x14ac:dyDescent="0.3">
      <c r="E436" s="42"/>
      <c r="F436" s="42"/>
    </row>
    <row r="437" spans="5:6" x14ac:dyDescent="0.3">
      <c r="E437" s="42"/>
      <c r="F437" s="42"/>
    </row>
    <row r="438" spans="5:6" x14ac:dyDescent="0.3">
      <c r="E438" s="42"/>
      <c r="F438" s="42"/>
    </row>
    <row r="439" spans="5:6" x14ac:dyDescent="0.3">
      <c r="E439" s="42"/>
      <c r="F439" s="42"/>
    </row>
    <row r="440" spans="5:6" x14ac:dyDescent="0.3">
      <c r="E440" s="42"/>
      <c r="F440" s="42"/>
    </row>
    <row r="441" spans="5:6" x14ac:dyDescent="0.3">
      <c r="E441" s="42"/>
      <c r="F441" s="42"/>
    </row>
    <row r="442" spans="5:6" x14ac:dyDescent="0.3">
      <c r="E442" s="42"/>
      <c r="F442" s="42"/>
    </row>
    <row r="443" spans="5:6" x14ac:dyDescent="0.3">
      <c r="E443" s="42"/>
      <c r="F443" s="42"/>
    </row>
    <row r="444" spans="5:6" x14ac:dyDescent="0.3">
      <c r="E444" s="42"/>
      <c r="F444" s="42"/>
    </row>
    <row r="445" spans="5:6" x14ac:dyDescent="0.3">
      <c r="E445" s="42"/>
      <c r="F445" s="42"/>
    </row>
    <row r="446" spans="5:6" x14ac:dyDescent="0.3">
      <c r="E446" s="42"/>
      <c r="F446" s="42"/>
    </row>
    <row r="447" spans="5:6" x14ac:dyDescent="0.3">
      <c r="E447" s="42"/>
      <c r="F447" s="42"/>
    </row>
    <row r="448" spans="5:6" x14ac:dyDescent="0.3">
      <c r="E448" s="42"/>
      <c r="F448" s="42"/>
    </row>
    <row r="449" spans="5:6" x14ac:dyDescent="0.3">
      <c r="E449" s="42"/>
      <c r="F449" s="42"/>
    </row>
    <row r="450" spans="5:6" x14ac:dyDescent="0.3">
      <c r="E450" s="42"/>
      <c r="F450" s="42"/>
    </row>
    <row r="451" spans="5:6" x14ac:dyDescent="0.3">
      <c r="E451" s="42"/>
      <c r="F451" s="42"/>
    </row>
    <row r="452" spans="5:6" x14ac:dyDescent="0.3">
      <c r="E452" s="42"/>
      <c r="F452" s="42"/>
    </row>
    <row r="453" spans="5:6" x14ac:dyDescent="0.3">
      <c r="E453" s="42"/>
      <c r="F453" s="42"/>
    </row>
    <row r="454" spans="5:6" x14ac:dyDescent="0.3">
      <c r="E454" s="42"/>
      <c r="F454" s="42"/>
    </row>
    <row r="455" spans="5:6" x14ac:dyDescent="0.3">
      <c r="E455" s="42"/>
      <c r="F455" s="42"/>
    </row>
    <row r="456" spans="5:6" x14ac:dyDescent="0.3">
      <c r="E456" s="42"/>
      <c r="F456" s="42"/>
    </row>
    <row r="457" spans="5:6" x14ac:dyDescent="0.3">
      <c r="E457" s="42"/>
      <c r="F457" s="42"/>
    </row>
    <row r="458" spans="5:6" x14ac:dyDescent="0.3">
      <c r="E458" s="42"/>
      <c r="F458" s="42"/>
    </row>
    <row r="459" spans="5:6" x14ac:dyDescent="0.3">
      <c r="E459" s="42"/>
      <c r="F459" s="42"/>
    </row>
    <row r="460" spans="5:6" x14ac:dyDescent="0.3">
      <c r="E460" s="42"/>
      <c r="F460" s="42"/>
    </row>
    <row r="461" spans="5:6" x14ac:dyDescent="0.3">
      <c r="E461" s="42"/>
      <c r="F461" s="42"/>
    </row>
    <row r="462" spans="5:6" x14ac:dyDescent="0.3">
      <c r="E462" s="42"/>
      <c r="F462" s="42"/>
    </row>
    <row r="463" spans="5:6" x14ac:dyDescent="0.3">
      <c r="E463" s="42"/>
      <c r="F463" s="42"/>
    </row>
    <row r="464" spans="5:6" x14ac:dyDescent="0.3">
      <c r="E464" s="42"/>
      <c r="F464" s="42"/>
    </row>
    <row r="465" spans="5:6" x14ac:dyDescent="0.3">
      <c r="E465" s="42"/>
      <c r="F465" s="42"/>
    </row>
    <row r="466" spans="5:6" x14ac:dyDescent="0.3">
      <c r="E466" s="42"/>
      <c r="F466" s="42"/>
    </row>
    <row r="467" spans="5:6" x14ac:dyDescent="0.3">
      <c r="E467" s="42"/>
      <c r="F467" s="42"/>
    </row>
    <row r="468" spans="5:6" x14ac:dyDescent="0.3">
      <c r="E468" s="42"/>
      <c r="F468" s="42"/>
    </row>
    <row r="469" spans="5:6" x14ac:dyDescent="0.3">
      <c r="E469" s="42"/>
      <c r="F469" s="42"/>
    </row>
    <row r="470" spans="5:6" x14ac:dyDescent="0.3">
      <c r="E470" s="42"/>
      <c r="F470" s="42"/>
    </row>
    <row r="471" spans="5:6" x14ac:dyDescent="0.3">
      <c r="E471" s="42"/>
      <c r="F471" s="42"/>
    </row>
    <row r="472" spans="5:6" x14ac:dyDescent="0.3">
      <c r="E472" s="42"/>
      <c r="F472" s="42"/>
    </row>
    <row r="473" spans="5:6" x14ac:dyDescent="0.3">
      <c r="E473" s="42"/>
      <c r="F473" s="42"/>
    </row>
    <row r="474" spans="5:6" x14ac:dyDescent="0.3">
      <c r="E474" s="42"/>
      <c r="F474" s="42"/>
    </row>
    <row r="475" spans="5:6" x14ac:dyDescent="0.3">
      <c r="E475" s="42"/>
      <c r="F475" s="42"/>
    </row>
    <row r="476" spans="5:6" x14ac:dyDescent="0.3">
      <c r="E476" s="42"/>
      <c r="F476" s="42"/>
    </row>
    <row r="477" spans="5:6" x14ac:dyDescent="0.3">
      <c r="E477" s="42"/>
      <c r="F477" s="42"/>
    </row>
    <row r="478" spans="5:6" x14ac:dyDescent="0.3">
      <c r="E478" s="42"/>
      <c r="F478" s="42"/>
    </row>
    <row r="479" spans="5:6" x14ac:dyDescent="0.3">
      <c r="E479" s="42"/>
      <c r="F479" s="42"/>
    </row>
    <row r="480" spans="5:6" x14ac:dyDescent="0.3">
      <c r="E480" s="42"/>
      <c r="F480" s="42"/>
    </row>
    <row r="481" spans="5:6" x14ac:dyDescent="0.3">
      <c r="E481" s="42"/>
      <c r="F481" s="42"/>
    </row>
    <row r="482" spans="5:6" x14ac:dyDescent="0.3">
      <c r="E482" s="42"/>
      <c r="F482" s="42"/>
    </row>
    <row r="483" spans="5:6" x14ac:dyDescent="0.3">
      <c r="E483" s="42"/>
      <c r="F483" s="42"/>
    </row>
    <row r="484" spans="5:6" x14ac:dyDescent="0.3">
      <c r="E484" s="42"/>
      <c r="F484" s="42"/>
    </row>
    <row r="485" spans="5:6" x14ac:dyDescent="0.3">
      <c r="E485" s="42"/>
      <c r="F485" s="42"/>
    </row>
    <row r="486" spans="5:6" x14ac:dyDescent="0.3">
      <c r="E486" s="42"/>
      <c r="F486" s="42"/>
    </row>
    <row r="487" spans="5:6" x14ac:dyDescent="0.3">
      <c r="E487" s="42"/>
      <c r="F487" s="42"/>
    </row>
    <row r="488" spans="5:6" x14ac:dyDescent="0.3">
      <c r="E488" s="42"/>
      <c r="F488" s="42"/>
    </row>
    <row r="489" spans="5:6" x14ac:dyDescent="0.3">
      <c r="E489" s="42"/>
      <c r="F489" s="42"/>
    </row>
    <row r="490" spans="5:6" x14ac:dyDescent="0.3">
      <c r="E490" s="42"/>
      <c r="F490" s="42"/>
    </row>
    <row r="491" spans="5:6" x14ac:dyDescent="0.3">
      <c r="E491" s="42"/>
      <c r="F491" s="42"/>
    </row>
    <row r="492" spans="5:6" x14ac:dyDescent="0.3">
      <c r="E492" s="42"/>
      <c r="F492" s="42"/>
    </row>
    <row r="493" spans="5:6" x14ac:dyDescent="0.3">
      <c r="E493" s="42"/>
      <c r="F493" s="42"/>
    </row>
    <row r="494" spans="5:6" x14ac:dyDescent="0.3">
      <c r="E494" s="42"/>
      <c r="F494" s="42"/>
    </row>
    <row r="495" spans="5:6" x14ac:dyDescent="0.3">
      <c r="E495" s="42"/>
      <c r="F495" s="42"/>
    </row>
    <row r="496" spans="5:6" x14ac:dyDescent="0.3">
      <c r="E496" s="42"/>
      <c r="F496" s="42"/>
    </row>
    <row r="497" spans="5:6" x14ac:dyDescent="0.3">
      <c r="E497" s="42"/>
      <c r="F497" s="42"/>
    </row>
    <row r="498" spans="5:6" x14ac:dyDescent="0.3">
      <c r="E498" s="42"/>
      <c r="F498" s="42"/>
    </row>
    <row r="499" spans="5:6" x14ac:dyDescent="0.3">
      <c r="E499" s="42"/>
      <c r="F499" s="42"/>
    </row>
    <row r="500" spans="5:6" x14ac:dyDescent="0.3">
      <c r="E500" s="42"/>
      <c r="F500" s="42"/>
    </row>
    <row r="501" spans="5:6" x14ac:dyDescent="0.3">
      <c r="E501" s="42"/>
      <c r="F501" s="42"/>
    </row>
    <row r="502" spans="5:6" x14ac:dyDescent="0.3">
      <c r="E502" s="42"/>
      <c r="F502" s="42"/>
    </row>
    <row r="503" spans="5:6" x14ac:dyDescent="0.3">
      <c r="E503" s="42"/>
      <c r="F503" s="42"/>
    </row>
    <row r="504" spans="5:6" x14ac:dyDescent="0.3">
      <c r="E504" s="42"/>
      <c r="F504" s="42"/>
    </row>
    <row r="505" spans="5:6" x14ac:dyDescent="0.3">
      <c r="E505" s="42"/>
      <c r="F505" s="42"/>
    </row>
    <row r="506" spans="5:6" x14ac:dyDescent="0.3">
      <c r="E506" s="42"/>
      <c r="F506" s="42"/>
    </row>
    <row r="507" spans="5:6" x14ac:dyDescent="0.3">
      <c r="E507" s="42"/>
      <c r="F507" s="42"/>
    </row>
    <row r="508" spans="5:6" x14ac:dyDescent="0.3">
      <c r="E508" s="42"/>
      <c r="F508" s="42"/>
    </row>
    <row r="509" spans="5:6" x14ac:dyDescent="0.3">
      <c r="E509" s="42"/>
      <c r="F509" s="42"/>
    </row>
    <row r="510" spans="5:6" x14ac:dyDescent="0.3">
      <c r="E510" s="42"/>
      <c r="F510" s="42"/>
    </row>
    <row r="511" spans="5:6" x14ac:dyDescent="0.3">
      <c r="E511" s="42"/>
      <c r="F511" s="42"/>
    </row>
    <row r="512" spans="5:6" x14ac:dyDescent="0.3">
      <c r="E512" s="42"/>
      <c r="F512" s="42"/>
    </row>
    <row r="513" spans="5:6" x14ac:dyDescent="0.3">
      <c r="E513" s="42"/>
      <c r="F513" s="42"/>
    </row>
    <row r="514" spans="5:6" x14ac:dyDescent="0.3">
      <c r="E514" s="42"/>
      <c r="F514" s="42"/>
    </row>
    <row r="515" spans="5:6" x14ac:dyDescent="0.3">
      <c r="E515" s="42"/>
      <c r="F515" s="42"/>
    </row>
    <row r="516" spans="5:6" x14ac:dyDescent="0.3">
      <c r="E516" s="42"/>
      <c r="F516" s="42"/>
    </row>
    <row r="517" spans="5:6" x14ac:dyDescent="0.3">
      <c r="E517" s="42"/>
      <c r="F517" s="42"/>
    </row>
    <row r="518" spans="5:6" x14ac:dyDescent="0.3">
      <c r="E518" s="42"/>
      <c r="F518" s="42"/>
    </row>
    <row r="519" spans="5:6" x14ac:dyDescent="0.3">
      <c r="E519" s="42"/>
      <c r="F519" s="42"/>
    </row>
    <row r="520" spans="5:6" x14ac:dyDescent="0.3">
      <c r="E520" s="42"/>
      <c r="F520" s="42"/>
    </row>
    <row r="521" spans="5:6" x14ac:dyDescent="0.3">
      <c r="E521" s="42"/>
      <c r="F521" s="42"/>
    </row>
    <row r="522" spans="5:6" x14ac:dyDescent="0.3">
      <c r="E522" s="42"/>
      <c r="F522" s="42"/>
    </row>
    <row r="523" spans="5:6" x14ac:dyDescent="0.3">
      <c r="E523" s="42"/>
      <c r="F523" s="42"/>
    </row>
    <row r="524" spans="5:6" x14ac:dyDescent="0.3">
      <c r="E524" s="42"/>
      <c r="F524" s="42"/>
    </row>
    <row r="525" spans="5:6" x14ac:dyDescent="0.3">
      <c r="E525" s="42"/>
      <c r="F525" s="42"/>
    </row>
    <row r="526" spans="5:6" x14ac:dyDescent="0.3">
      <c r="E526" s="42"/>
      <c r="F526" s="42"/>
    </row>
    <row r="527" spans="5:6" x14ac:dyDescent="0.3">
      <c r="E527" s="42"/>
      <c r="F527" s="42"/>
    </row>
    <row r="528" spans="5:6" x14ac:dyDescent="0.3">
      <c r="E528" s="42"/>
      <c r="F528" s="42"/>
    </row>
    <row r="529" spans="5:6" x14ac:dyDescent="0.3">
      <c r="E529" s="42"/>
      <c r="F529" s="42"/>
    </row>
    <row r="530" spans="5:6" x14ac:dyDescent="0.3">
      <c r="E530" s="42"/>
      <c r="F530" s="42"/>
    </row>
    <row r="531" spans="5:6" x14ac:dyDescent="0.3">
      <c r="E531" s="42"/>
      <c r="F531" s="42"/>
    </row>
    <row r="532" spans="5:6" x14ac:dyDescent="0.3">
      <c r="E532" s="42"/>
      <c r="F532" s="42"/>
    </row>
    <row r="533" spans="5:6" x14ac:dyDescent="0.3">
      <c r="E533" s="42"/>
      <c r="F533" s="42"/>
    </row>
    <row r="534" spans="5:6" x14ac:dyDescent="0.3">
      <c r="E534" s="42"/>
      <c r="F534" s="42"/>
    </row>
    <row r="535" spans="5:6" x14ac:dyDescent="0.3">
      <c r="E535" s="42"/>
      <c r="F535" s="42"/>
    </row>
    <row r="536" spans="5:6" x14ac:dyDescent="0.3">
      <c r="E536" s="42"/>
      <c r="F536" s="42"/>
    </row>
    <row r="537" spans="5:6" x14ac:dyDescent="0.3">
      <c r="E537" s="42"/>
      <c r="F537" s="42"/>
    </row>
    <row r="538" spans="5:6" x14ac:dyDescent="0.3">
      <c r="E538" s="42"/>
      <c r="F538" s="42"/>
    </row>
    <row r="539" spans="5:6" x14ac:dyDescent="0.3">
      <c r="E539" s="42"/>
      <c r="F539" s="42"/>
    </row>
    <row r="540" spans="5:6" x14ac:dyDescent="0.3">
      <c r="E540" s="42"/>
      <c r="F540" s="42"/>
    </row>
    <row r="541" spans="5:6" x14ac:dyDescent="0.3">
      <c r="E541" s="42"/>
      <c r="F541" s="42"/>
    </row>
    <row r="542" spans="5:6" x14ac:dyDescent="0.3">
      <c r="E542" s="42"/>
      <c r="F542" s="42"/>
    </row>
    <row r="543" spans="5:6" x14ac:dyDescent="0.3">
      <c r="E543" s="42"/>
      <c r="F543" s="42"/>
    </row>
    <row r="544" spans="5:6" x14ac:dyDescent="0.3">
      <c r="E544" s="42"/>
      <c r="F544" s="42"/>
    </row>
    <row r="545" spans="5:6" x14ac:dyDescent="0.3">
      <c r="E545" s="42"/>
      <c r="F545" s="42"/>
    </row>
    <row r="546" spans="5:6" x14ac:dyDescent="0.3">
      <c r="E546" s="42"/>
      <c r="F546" s="42"/>
    </row>
    <row r="547" spans="5:6" x14ac:dyDescent="0.3">
      <c r="E547" s="42"/>
      <c r="F547" s="42"/>
    </row>
    <row r="548" spans="5:6" x14ac:dyDescent="0.3">
      <c r="E548" s="42"/>
      <c r="F548" s="42"/>
    </row>
    <row r="549" spans="5:6" x14ac:dyDescent="0.3">
      <c r="E549" s="42"/>
      <c r="F549" s="42"/>
    </row>
    <row r="550" spans="5:6" x14ac:dyDescent="0.3">
      <c r="E550" s="42"/>
      <c r="F550" s="42"/>
    </row>
    <row r="551" spans="5:6" x14ac:dyDescent="0.3">
      <c r="E551" s="42"/>
      <c r="F551" s="42"/>
    </row>
    <row r="552" spans="5:6" x14ac:dyDescent="0.3">
      <c r="E552" s="42"/>
      <c r="F552" s="42"/>
    </row>
    <row r="553" spans="5:6" x14ac:dyDescent="0.3">
      <c r="E553" s="42"/>
      <c r="F553" s="42"/>
    </row>
    <row r="554" spans="5:6" x14ac:dyDescent="0.3">
      <c r="E554" s="42"/>
      <c r="F554" s="42"/>
    </row>
    <row r="555" spans="5:6" x14ac:dyDescent="0.3">
      <c r="E555" s="42"/>
      <c r="F555" s="42"/>
    </row>
    <row r="556" spans="5:6" x14ac:dyDescent="0.3">
      <c r="E556" s="42"/>
      <c r="F556" s="42"/>
    </row>
    <row r="557" spans="5:6" x14ac:dyDescent="0.3">
      <c r="E557" s="42"/>
      <c r="F557" s="42"/>
    </row>
    <row r="558" spans="5:6" x14ac:dyDescent="0.3">
      <c r="E558" s="42"/>
      <c r="F558" s="42"/>
    </row>
    <row r="559" spans="5:6" x14ac:dyDescent="0.3">
      <c r="E559" s="42"/>
      <c r="F559" s="42"/>
    </row>
    <row r="560" spans="5:6" x14ac:dyDescent="0.3">
      <c r="E560" s="42"/>
      <c r="F560" s="42"/>
    </row>
    <row r="561" spans="5:6" x14ac:dyDescent="0.3">
      <c r="E561" s="42"/>
      <c r="F561" s="42"/>
    </row>
    <row r="562" spans="5:6" x14ac:dyDescent="0.3">
      <c r="E562" s="42"/>
      <c r="F562" s="42"/>
    </row>
    <row r="563" spans="5:6" x14ac:dyDescent="0.3">
      <c r="E563" s="42"/>
      <c r="F563" s="42"/>
    </row>
    <row r="564" spans="5:6" x14ac:dyDescent="0.3">
      <c r="E564" s="42"/>
      <c r="F564" s="42"/>
    </row>
    <row r="565" spans="5:6" x14ac:dyDescent="0.3">
      <c r="E565" s="42"/>
      <c r="F565" s="42"/>
    </row>
    <row r="566" spans="5:6" x14ac:dyDescent="0.3">
      <c r="E566" s="42"/>
      <c r="F566" s="42"/>
    </row>
    <row r="567" spans="5:6" x14ac:dyDescent="0.3">
      <c r="E567" s="42"/>
      <c r="F567" s="42"/>
    </row>
    <row r="568" spans="5:6" x14ac:dyDescent="0.3">
      <c r="E568" s="42"/>
      <c r="F568" s="42"/>
    </row>
    <row r="569" spans="5:6" x14ac:dyDescent="0.3">
      <c r="E569" s="42"/>
      <c r="F569" s="42"/>
    </row>
    <row r="570" spans="5:6" x14ac:dyDescent="0.3">
      <c r="E570" s="42"/>
      <c r="F570" s="42"/>
    </row>
    <row r="571" spans="5:6" x14ac:dyDescent="0.3">
      <c r="E571" s="42"/>
      <c r="F571" s="42"/>
    </row>
    <row r="572" spans="5:6" x14ac:dyDescent="0.3">
      <c r="E572" s="42"/>
      <c r="F572" s="42"/>
    </row>
    <row r="573" spans="5:6" x14ac:dyDescent="0.3">
      <c r="E573" s="42"/>
      <c r="F573" s="42"/>
    </row>
    <row r="574" spans="5:6" x14ac:dyDescent="0.3">
      <c r="E574" s="42"/>
      <c r="F574" s="42"/>
    </row>
    <row r="575" spans="5:6" x14ac:dyDescent="0.3">
      <c r="E575" s="42"/>
      <c r="F575" s="42"/>
    </row>
    <row r="576" spans="5:6" x14ac:dyDescent="0.3">
      <c r="E576" s="42"/>
      <c r="F576" s="42"/>
    </row>
    <row r="577" spans="5:6" x14ac:dyDescent="0.3">
      <c r="E577" s="42"/>
      <c r="F577" s="42"/>
    </row>
    <row r="578" spans="5:6" x14ac:dyDescent="0.3">
      <c r="E578" s="42"/>
      <c r="F578" s="42"/>
    </row>
    <row r="579" spans="5:6" x14ac:dyDescent="0.3">
      <c r="E579" s="42"/>
      <c r="F579" s="42"/>
    </row>
    <row r="580" spans="5:6" x14ac:dyDescent="0.3">
      <c r="E580" s="42"/>
      <c r="F580" s="42"/>
    </row>
    <row r="581" spans="5:6" x14ac:dyDescent="0.3">
      <c r="E581" s="42"/>
      <c r="F581" s="42"/>
    </row>
    <row r="582" spans="5:6" x14ac:dyDescent="0.3">
      <c r="E582" s="42"/>
      <c r="F582" s="42"/>
    </row>
    <row r="583" spans="5:6" x14ac:dyDescent="0.3">
      <c r="E583" s="42"/>
      <c r="F583" s="42"/>
    </row>
    <row r="584" spans="5:6" x14ac:dyDescent="0.3">
      <c r="E584" s="42"/>
      <c r="F584" s="42"/>
    </row>
    <row r="585" spans="5:6" x14ac:dyDescent="0.3">
      <c r="E585" s="42"/>
      <c r="F585" s="42"/>
    </row>
    <row r="586" spans="5:6" x14ac:dyDescent="0.3">
      <c r="E586" s="42"/>
      <c r="F586" s="42"/>
    </row>
    <row r="587" spans="5:6" x14ac:dyDescent="0.3">
      <c r="E587" s="42"/>
      <c r="F587" s="42"/>
    </row>
    <row r="588" spans="5:6" x14ac:dyDescent="0.3">
      <c r="E588" s="42"/>
      <c r="F588" s="42"/>
    </row>
    <row r="589" spans="5:6" x14ac:dyDescent="0.3">
      <c r="E589" s="42"/>
      <c r="F589" s="42"/>
    </row>
    <row r="590" spans="5:6" x14ac:dyDescent="0.3">
      <c r="E590" s="42"/>
      <c r="F590" s="42"/>
    </row>
    <row r="591" spans="5:6" x14ac:dyDescent="0.3">
      <c r="E591" s="42"/>
      <c r="F591" s="42"/>
    </row>
    <row r="592" spans="5:6" x14ac:dyDescent="0.3">
      <c r="E592" s="42"/>
      <c r="F592" s="42"/>
    </row>
    <row r="593" spans="5:6" x14ac:dyDescent="0.3">
      <c r="E593" s="42"/>
      <c r="F593" s="42"/>
    </row>
    <row r="594" spans="5:6" x14ac:dyDescent="0.3">
      <c r="E594" s="42"/>
      <c r="F594" s="42"/>
    </row>
    <row r="595" spans="5:6" x14ac:dyDescent="0.3">
      <c r="E595" s="42"/>
      <c r="F595" s="42"/>
    </row>
    <row r="596" spans="5:6" x14ac:dyDescent="0.3">
      <c r="E596" s="42"/>
      <c r="F596" s="42"/>
    </row>
    <row r="597" spans="5:6" x14ac:dyDescent="0.3">
      <c r="E597" s="42"/>
      <c r="F597" s="42"/>
    </row>
    <row r="598" spans="5:6" x14ac:dyDescent="0.3">
      <c r="E598" s="42"/>
      <c r="F598" s="42"/>
    </row>
    <row r="599" spans="5:6" x14ac:dyDescent="0.3">
      <c r="E599" s="42"/>
      <c r="F599" s="42"/>
    </row>
    <row r="600" spans="5:6" x14ac:dyDescent="0.3">
      <c r="E600" s="42"/>
      <c r="F600" s="42"/>
    </row>
    <row r="601" spans="5:6" x14ac:dyDescent="0.3">
      <c r="E601" s="42"/>
      <c r="F601" s="42"/>
    </row>
    <row r="602" spans="5:6" x14ac:dyDescent="0.3">
      <c r="E602" s="42"/>
      <c r="F602" s="42"/>
    </row>
    <row r="603" spans="5:6" x14ac:dyDescent="0.3">
      <c r="E603" s="42"/>
      <c r="F603" s="42"/>
    </row>
    <row r="604" spans="5:6" x14ac:dyDescent="0.3">
      <c r="E604" s="42"/>
      <c r="F604" s="42"/>
    </row>
    <row r="605" spans="5:6" x14ac:dyDescent="0.3">
      <c r="E605" s="42"/>
      <c r="F605" s="42"/>
    </row>
    <row r="606" spans="5:6" x14ac:dyDescent="0.3">
      <c r="E606" s="42"/>
      <c r="F606" s="42"/>
    </row>
    <row r="607" spans="5:6" x14ac:dyDescent="0.3">
      <c r="E607" s="42"/>
      <c r="F607" s="42"/>
    </row>
    <row r="608" spans="5:6" x14ac:dyDescent="0.3">
      <c r="E608" s="42"/>
      <c r="F608" s="42"/>
    </row>
    <row r="609" spans="5:6" x14ac:dyDescent="0.3">
      <c r="E609" s="42"/>
      <c r="F609" s="42"/>
    </row>
    <row r="610" spans="5:6" x14ac:dyDescent="0.3">
      <c r="E610" s="42"/>
      <c r="F610" s="42"/>
    </row>
    <row r="611" spans="5:6" x14ac:dyDescent="0.3">
      <c r="E611" s="42"/>
      <c r="F611" s="42"/>
    </row>
    <row r="612" spans="5:6" x14ac:dyDescent="0.3">
      <c r="E612" s="42"/>
      <c r="F612" s="42"/>
    </row>
    <row r="613" spans="5:6" x14ac:dyDescent="0.3">
      <c r="E613" s="42"/>
      <c r="F613" s="42"/>
    </row>
    <row r="614" spans="5:6" x14ac:dyDescent="0.3">
      <c r="E614" s="42"/>
      <c r="F614" s="42"/>
    </row>
    <row r="615" spans="5:6" x14ac:dyDescent="0.3">
      <c r="E615" s="42"/>
      <c r="F615" s="42"/>
    </row>
    <row r="616" spans="5:6" x14ac:dyDescent="0.3">
      <c r="E616" s="42"/>
      <c r="F616" s="42"/>
    </row>
    <row r="617" spans="5:6" x14ac:dyDescent="0.3">
      <c r="E617" s="42"/>
      <c r="F617" s="42"/>
    </row>
    <row r="618" spans="5:6" x14ac:dyDescent="0.3">
      <c r="E618" s="42"/>
      <c r="F618" s="42"/>
    </row>
    <row r="619" spans="5:6" x14ac:dyDescent="0.3">
      <c r="E619" s="42"/>
      <c r="F619" s="42"/>
    </row>
    <row r="620" spans="5:6" x14ac:dyDescent="0.3">
      <c r="E620" s="42"/>
      <c r="F620" s="42"/>
    </row>
    <row r="621" spans="5:6" x14ac:dyDescent="0.3">
      <c r="E621" s="42"/>
      <c r="F621" s="42"/>
    </row>
    <row r="622" spans="5:6" x14ac:dyDescent="0.3">
      <c r="E622" s="42"/>
      <c r="F622" s="42"/>
    </row>
    <row r="623" spans="5:6" x14ac:dyDescent="0.3">
      <c r="E623" s="42"/>
      <c r="F623" s="42"/>
    </row>
    <row r="624" spans="5:6" x14ac:dyDescent="0.3">
      <c r="E624" s="42"/>
      <c r="F624" s="42"/>
    </row>
    <row r="625" spans="5:6" x14ac:dyDescent="0.3">
      <c r="E625" s="42"/>
      <c r="F625" s="42"/>
    </row>
    <row r="626" spans="5:6" x14ac:dyDescent="0.3">
      <c r="E626" s="42"/>
      <c r="F626" s="42"/>
    </row>
    <row r="627" spans="5:6" x14ac:dyDescent="0.3">
      <c r="E627" s="42"/>
      <c r="F627" s="42"/>
    </row>
    <row r="628" spans="5:6" x14ac:dyDescent="0.3">
      <c r="E628" s="42"/>
      <c r="F628" s="42"/>
    </row>
    <row r="629" spans="5:6" x14ac:dyDescent="0.3">
      <c r="E629" s="42"/>
      <c r="F629" s="42"/>
    </row>
    <row r="630" spans="5:6" x14ac:dyDescent="0.3">
      <c r="E630" s="42"/>
      <c r="F630" s="42"/>
    </row>
    <row r="631" spans="5:6" x14ac:dyDescent="0.3">
      <c r="E631" s="42"/>
      <c r="F631" s="42"/>
    </row>
    <row r="632" spans="5:6" x14ac:dyDescent="0.3">
      <c r="E632" s="42"/>
      <c r="F632" s="42"/>
    </row>
    <row r="633" spans="5:6" x14ac:dyDescent="0.3">
      <c r="E633" s="42"/>
      <c r="F633" s="42"/>
    </row>
    <row r="634" spans="5:6" x14ac:dyDescent="0.3">
      <c r="E634" s="42"/>
      <c r="F634" s="42"/>
    </row>
    <row r="635" spans="5:6" x14ac:dyDescent="0.3">
      <c r="E635" s="42"/>
      <c r="F635" s="42"/>
    </row>
    <row r="636" spans="5:6" x14ac:dyDescent="0.3">
      <c r="E636" s="42"/>
      <c r="F636" s="42"/>
    </row>
    <row r="637" spans="5:6" x14ac:dyDescent="0.3">
      <c r="E637" s="42"/>
      <c r="F637" s="42"/>
    </row>
    <row r="638" spans="5:6" x14ac:dyDescent="0.3">
      <c r="E638" s="42"/>
      <c r="F638" s="42"/>
    </row>
    <row r="639" spans="5:6" x14ac:dyDescent="0.3">
      <c r="E639" s="42"/>
      <c r="F639" s="42"/>
    </row>
    <row r="640" spans="5:6" x14ac:dyDescent="0.3">
      <c r="E640" s="42"/>
      <c r="F640" s="42"/>
    </row>
    <row r="641" spans="5:6" x14ac:dyDescent="0.3">
      <c r="E641" s="42"/>
      <c r="F641" s="42"/>
    </row>
    <row r="642" spans="5:6" x14ac:dyDescent="0.3">
      <c r="E642" s="42"/>
      <c r="F642" s="42"/>
    </row>
    <row r="643" spans="5:6" x14ac:dyDescent="0.3">
      <c r="E643" s="42"/>
      <c r="F643" s="42"/>
    </row>
    <row r="644" spans="5:6" x14ac:dyDescent="0.3">
      <c r="E644" s="42"/>
      <c r="F644" s="42"/>
    </row>
    <row r="645" spans="5:6" x14ac:dyDescent="0.3">
      <c r="E645" s="42"/>
      <c r="F645" s="42"/>
    </row>
    <row r="646" spans="5:6" x14ac:dyDescent="0.3">
      <c r="E646" s="42"/>
      <c r="F646" s="42"/>
    </row>
    <row r="647" spans="5:6" x14ac:dyDescent="0.3">
      <c r="E647" s="42"/>
      <c r="F647" s="42"/>
    </row>
    <row r="648" spans="5:6" x14ac:dyDescent="0.3">
      <c r="E648" s="42"/>
      <c r="F648" s="42"/>
    </row>
    <row r="649" spans="5:6" x14ac:dyDescent="0.3">
      <c r="E649" s="42"/>
      <c r="F649" s="42"/>
    </row>
    <row r="650" spans="5:6" x14ac:dyDescent="0.3">
      <c r="E650" s="42"/>
      <c r="F650" s="42"/>
    </row>
    <row r="651" spans="5:6" x14ac:dyDescent="0.3">
      <c r="E651" s="42"/>
      <c r="F651" s="42"/>
    </row>
    <row r="652" spans="5:6" x14ac:dyDescent="0.3">
      <c r="E652" s="42"/>
      <c r="F652" s="42"/>
    </row>
    <row r="653" spans="5:6" x14ac:dyDescent="0.3">
      <c r="E653" s="42"/>
      <c r="F653" s="42"/>
    </row>
    <row r="654" spans="5:6" x14ac:dyDescent="0.3">
      <c r="E654" s="42"/>
      <c r="F654" s="42"/>
    </row>
    <row r="655" spans="5:6" x14ac:dyDescent="0.3">
      <c r="E655" s="42"/>
      <c r="F655" s="42"/>
    </row>
    <row r="656" spans="5:6" x14ac:dyDescent="0.3">
      <c r="E656" s="42"/>
      <c r="F656" s="42"/>
    </row>
    <row r="657" spans="5:6" x14ac:dyDescent="0.3">
      <c r="E657" s="42"/>
      <c r="F657" s="42"/>
    </row>
    <row r="658" spans="5:6" x14ac:dyDescent="0.3">
      <c r="E658" s="42"/>
      <c r="F658" s="42"/>
    </row>
    <row r="659" spans="5:6" x14ac:dyDescent="0.3">
      <c r="E659" s="42"/>
      <c r="F659" s="42"/>
    </row>
    <row r="660" spans="5:6" x14ac:dyDescent="0.3">
      <c r="E660" s="42"/>
      <c r="F660" s="42"/>
    </row>
    <row r="661" spans="5:6" x14ac:dyDescent="0.3">
      <c r="E661" s="42"/>
      <c r="F661" s="42"/>
    </row>
    <row r="662" spans="5:6" x14ac:dyDescent="0.3">
      <c r="E662" s="42"/>
      <c r="F662" s="42"/>
    </row>
    <row r="663" spans="5:6" x14ac:dyDescent="0.3">
      <c r="E663" s="42"/>
      <c r="F663" s="42"/>
    </row>
    <row r="664" spans="5:6" x14ac:dyDescent="0.3">
      <c r="E664" s="42"/>
      <c r="F664" s="42"/>
    </row>
    <row r="665" spans="5:6" x14ac:dyDescent="0.3">
      <c r="E665" s="42"/>
      <c r="F665" s="42"/>
    </row>
    <row r="666" spans="5:6" x14ac:dyDescent="0.3">
      <c r="E666" s="42"/>
      <c r="F666" s="42"/>
    </row>
    <row r="667" spans="5:6" x14ac:dyDescent="0.3">
      <c r="E667" s="42"/>
      <c r="F667" s="42"/>
    </row>
    <row r="668" spans="5:6" x14ac:dyDescent="0.3">
      <c r="E668" s="42"/>
      <c r="F668" s="42"/>
    </row>
    <row r="669" spans="5:6" x14ac:dyDescent="0.3">
      <c r="E669" s="42"/>
      <c r="F669" s="42"/>
    </row>
    <row r="670" spans="5:6" x14ac:dyDescent="0.3">
      <c r="E670" s="42"/>
      <c r="F670" s="42"/>
    </row>
    <row r="671" spans="5:6" x14ac:dyDescent="0.3">
      <c r="E671" s="42"/>
      <c r="F671" s="42"/>
    </row>
    <row r="672" spans="5:6" x14ac:dyDescent="0.3">
      <c r="E672" s="42"/>
      <c r="F672" s="42"/>
    </row>
    <row r="673" spans="5:6" x14ac:dyDescent="0.3">
      <c r="E673" s="42"/>
      <c r="F673" s="42"/>
    </row>
    <row r="674" spans="5:6" x14ac:dyDescent="0.3">
      <c r="E674" s="42"/>
      <c r="F674" s="42"/>
    </row>
    <row r="675" spans="5:6" x14ac:dyDescent="0.3">
      <c r="E675" s="42"/>
      <c r="F675" s="42"/>
    </row>
    <row r="676" spans="5:6" x14ac:dyDescent="0.3">
      <c r="E676" s="42"/>
      <c r="F676" s="42"/>
    </row>
    <row r="677" spans="5:6" x14ac:dyDescent="0.3">
      <c r="E677" s="42"/>
      <c r="F677" s="42"/>
    </row>
    <row r="678" spans="5:6" x14ac:dyDescent="0.3">
      <c r="E678" s="42"/>
      <c r="F678" s="42"/>
    </row>
    <row r="679" spans="5:6" x14ac:dyDescent="0.3">
      <c r="E679" s="42"/>
      <c r="F679" s="42"/>
    </row>
    <row r="680" spans="5:6" x14ac:dyDescent="0.3">
      <c r="E680" s="42"/>
      <c r="F680" s="42"/>
    </row>
    <row r="681" spans="5:6" x14ac:dyDescent="0.3">
      <c r="E681" s="42"/>
      <c r="F681" s="42"/>
    </row>
    <row r="682" spans="5:6" x14ac:dyDescent="0.3">
      <c r="E682" s="42"/>
      <c r="F682" s="42"/>
    </row>
    <row r="683" spans="5:6" x14ac:dyDescent="0.3">
      <c r="E683" s="42"/>
      <c r="F683" s="42"/>
    </row>
    <row r="684" spans="5:6" x14ac:dyDescent="0.3">
      <c r="E684" s="42"/>
      <c r="F684" s="42"/>
    </row>
    <row r="685" spans="5:6" x14ac:dyDescent="0.3">
      <c r="E685" s="42"/>
      <c r="F685" s="42"/>
    </row>
    <row r="686" spans="5:6" x14ac:dyDescent="0.3">
      <c r="E686" s="42"/>
      <c r="F686" s="42"/>
    </row>
    <row r="687" spans="5:6" x14ac:dyDescent="0.3">
      <c r="E687" s="42"/>
      <c r="F687" s="42"/>
    </row>
    <row r="688" spans="5:6" x14ac:dyDescent="0.3">
      <c r="E688" s="42"/>
      <c r="F688" s="42"/>
    </row>
    <row r="689" spans="5:6" x14ac:dyDescent="0.3">
      <c r="E689" s="42"/>
      <c r="F689" s="42"/>
    </row>
    <row r="690" spans="5:6" x14ac:dyDescent="0.3">
      <c r="E690" s="42"/>
      <c r="F690" s="42"/>
    </row>
    <row r="691" spans="5:6" x14ac:dyDescent="0.3">
      <c r="E691" s="42"/>
      <c r="F691" s="42"/>
    </row>
    <row r="692" spans="5:6" x14ac:dyDescent="0.3">
      <c r="E692" s="42"/>
      <c r="F692" s="42"/>
    </row>
    <row r="693" spans="5:6" x14ac:dyDescent="0.3">
      <c r="E693" s="42"/>
      <c r="F693" s="42"/>
    </row>
    <row r="694" spans="5:6" x14ac:dyDescent="0.3">
      <c r="E694" s="42"/>
      <c r="F694" s="42"/>
    </row>
    <row r="695" spans="5:6" x14ac:dyDescent="0.3">
      <c r="E695" s="42"/>
      <c r="F695" s="42"/>
    </row>
    <row r="696" spans="5:6" x14ac:dyDescent="0.3">
      <c r="E696" s="42"/>
      <c r="F696" s="42"/>
    </row>
    <row r="697" spans="5:6" x14ac:dyDescent="0.3">
      <c r="E697" s="42"/>
      <c r="F697" s="42"/>
    </row>
    <row r="698" spans="5:6" x14ac:dyDescent="0.3">
      <c r="E698" s="42"/>
      <c r="F698" s="42"/>
    </row>
    <row r="699" spans="5:6" x14ac:dyDescent="0.3">
      <c r="E699" s="42"/>
      <c r="F699" s="42"/>
    </row>
    <row r="700" spans="5:6" x14ac:dyDescent="0.3">
      <c r="E700" s="42"/>
      <c r="F700" s="42"/>
    </row>
    <row r="701" spans="5:6" x14ac:dyDescent="0.3">
      <c r="E701" s="42"/>
      <c r="F701" s="42"/>
    </row>
    <row r="702" spans="5:6" x14ac:dyDescent="0.3">
      <c r="E702" s="42"/>
      <c r="F702" s="42"/>
    </row>
    <row r="703" spans="5:6" x14ac:dyDescent="0.3">
      <c r="E703" s="42"/>
      <c r="F703" s="42"/>
    </row>
    <row r="704" spans="5:6" x14ac:dyDescent="0.3">
      <c r="E704" s="42"/>
      <c r="F704" s="42"/>
    </row>
    <row r="705" spans="5:6" x14ac:dyDescent="0.3">
      <c r="E705" s="42"/>
      <c r="F705" s="42"/>
    </row>
    <row r="706" spans="5:6" x14ac:dyDescent="0.3">
      <c r="E706" s="42"/>
      <c r="F706" s="42"/>
    </row>
    <row r="707" spans="5:6" x14ac:dyDescent="0.3">
      <c r="E707" s="42"/>
      <c r="F707" s="42"/>
    </row>
    <row r="708" spans="5:6" x14ac:dyDescent="0.3">
      <c r="E708" s="42"/>
      <c r="F708" s="42"/>
    </row>
    <row r="709" spans="5:6" x14ac:dyDescent="0.3">
      <c r="E709" s="42"/>
      <c r="F709" s="42"/>
    </row>
    <row r="710" spans="5:6" x14ac:dyDescent="0.3">
      <c r="E710" s="42"/>
      <c r="F710" s="42"/>
    </row>
    <row r="711" spans="5:6" x14ac:dyDescent="0.3">
      <c r="E711" s="42"/>
      <c r="F711" s="42"/>
    </row>
    <row r="712" spans="5:6" x14ac:dyDescent="0.3">
      <c r="E712" s="42"/>
      <c r="F712" s="42"/>
    </row>
    <row r="713" spans="5:6" x14ac:dyDescent="0.3">
      <c r="E713" s="42"/>
      <c r="F713" s="42"/>
    </row>
    <row r="714" spans="5:6" x14ac:dyDescent="0.3">
      <c r="E714" s="42"/>
      <c r="F714" s="42"/>
    </row>
    <row r="715" spans="5:6" x14ac:dyDescent="0.3">
      <c r="E715" s="42"/>
      <c r="F715" s="42"/>
    </row>
    <row r="716" spans="5:6" x14ac:dyDescent="0.3">
      <c r="E716" s="42"/>
      <c r="F716" s="42"/>
    </row>
    <row r="717" spans="5:6" x14ac:dyDescent="0.3">
      <c r="E717" s="42"/>
      <c r="F717" s="42"/>
    </row>
    <row r="718" spans="5:6" x14ac:dyDescent="0.3">
      <c r="E718" s="42"/>
      <c r="F718" s="42"/>
    </row>
    <row r="719" spans="5:6" x14ac:dyDescent="0.3">
      <c r="E719" s="42"/>
      <c r="F719" s="42"/>
    </row>
    <row r="720" spans="5:6" x14ac:dyDescent="0.3">
      <c r="E720" s="42"/>
      <c r="F720" s="42"/>
    </row>
    <row r="721" spans="5:6" x14ac:dyDescent="0.3">
      <c r="E721" s="42"/>
      <c r="F721" s="42"/>
    </row>
    <row r="722" spans="5:6" x14ac:dyDescent="0.3">
      <c r="E722" s="42"/>
      <c r="F722" s="42"/>
    </row>
    <row r="723" spans="5:6" x14ac:dyDescent="0.3">
      <c r="E723" s="42"/>
      <c r="F723" s="42"/>
    </row>
    <row r="724" spans="5:6" x14ac:dyDescent="0.3">
      <c r="E724" s="42"/>
      <c r="F724" s="42"/>
    </row>
    <row r="725" spans="5:6" x14ac:dyDescent="0.3">
      <c r="E725" s="42"/>
      <c r="F725" s="42"/>
    </row>
    <row r="726" spans="5:6" x14ac:dyDescent="0.3">
      <c r="E726" s="42"/>
      <c r="F726" s="42"/>
    </row>
    <row r="727" spans="5:6" x14ac:dyDescent="0.3">
      <c r="E727" s="42"/>
      <c r="F727" s="42"/>
    </row>
    <row r="728" spans="5:6" x14ac:dyDescent="0.3">
      <c r="E728" s="42"/>
      <c r="F728" s="42"/>
    </row>
    <row r="729" spans="5:6" x14ac:dyDescent="0.3">
      <c r="E729" s="42"/>
      <c r="F729" s="42"/>
    </row>
    <row r="730" spans="5:6" x14ac:dyDescent="0.3">
      <c r="E730" s="42"/>
      <c r="F730" s="42"/>
    </row>
    <row r="731" spans="5:6" x14ac:dyDescent="0.3">
      <c r="E731" s="42"/>
      <c r="F731" s="42"/>
    </row>
    <row r="732" spans="5:6" x14ac:dyDescent="0.3">
      <c r="E732" s="42"/>
      <c r="F732" s="42"/>
    </row>
    <row r="733" spans="5:6" x14ac:dyDescent="0.3">
      <c r="E733" s="42"/>
      <c r="F733" s="42"/>
    </row>
    <row r="734" spans="5:6" x14ac:dyDescent="0.3">
      <c r="E734" s="42"/>
      <c r="F734" s="42"/>
    </row>
    <row r="735" spans="5:6" x14ac:dyDescent="0.3">
      <c r="E735" s="42"/>
      <c r="F735" s="42"/>
    </row>
    <row r="736" spans="5:6" x14ac:dyDescent="0.3">
      <c r="E736" s="42"/>
      <c r="F736" s="42"/>
    </row>
    <row r="737" spans="5:6" x14ac:dyDescent="0.3">
      <c r="E737" s="42"/>
      <c r="F737" s="42"/>
    </row>
    <row r="738" spans="5:6" x14ac:dyDescent="0.3">
      <c r="E738" s="42"/>
      <c r="F738" s="42"/>
    </row>
    <row r="739" spans="5:6" x14ac:dyDescent="0.3">
      <c r="E739" s="42"/>
      <c r="F739" s="42"/>
    </row>
    <row r="740" spans="5:6" x14ac:dyDescent="0.3">
      <c r="E740" s="42"/>
      <c r="F740" s="42"/>
    </row>
    <row r="741" spans="5:6" x14ac:dyDescent="0.3">
      <c r="E741" s="42"/>
      <c r="F741" s="42"/>
    </row>
    <row r="742" spans="5:6" x14ac:dyDescent="0.3">
      <c r="E742" s="42"/>
      <c r="F742" s="42"/>
    </row>
    <row r="743" spans="5:6" x14ac:dyDescent="0.3">
      <c r="E743" s="42"/>
      <c r="F743" s="42"/>
    </row>
    <row r="744" spans="5:6" x14ac:dyDescent="0.3">
      <c r="E744" s="42"/>
      <c r="F744" s="42"/>
    </row>
    <row r="745" spans="5:6" x14ac:dyDescent="0.3">
      <c r="E745" s="42"/>
      <c r="F745" s="42"/>
    </row>
    <row r="746" spans="5:6" x14ac:dyDescent="0.3">
      <c r="E746" s="42"/>
      <c r="F746" s="42"/>
    </row>
    <row r="747" spans="5:6" x14ac:dyDescent="0.3">
      <c r="E747" s="42"/>
      <c r="F747" s="42"/>
    </row>
    <row r="748" spans="5:6" x14ac:dyDescent="0.3">
      <c r="E748" s="42"/>
      <c r="F748" s="42"/>
    </row>
    <row r="749" spans="5:6" x14ac:dyDescent="0.3">
      <c r="E749" s="42"/>
      <c r="F749" s="42"/>
    </row>
    <row r="750" spans="5:6" x14ac:dyDescent="0.3">
      <c r="E750" s="42"/>
      <c r="F750" s="42"/>
    </row>
    <row r="751" spans="5:6" x14ac:dyDescent="0.3">
      <c r="E751" s="42"/>
      <c r="F751" s="42"/>
    </row>
    <row r="752" spans="5:6" x14ac:dyDescent="0.3">
      <c r="E752" s="42"/>
      <c r="F752" s="42"/>
    </row>
    <row r="753" spans="5:6" x14ac:dyDescent="0.3">
      <c r="E753" s="42"/>
      <c r="F753" s="42"/>
    </row>
    <row r="754" spans="5:6" x14ac:dyDescent="0.3">
      <c r="E754" s="42"/>
      <c r="F754" s="42"/>
    </row>
    <row r="755" spans="5:6" x14ac:dyDescent="0.3">
      <c r="E755" s="42"/>
      <c r="F755" s="42"/>
    </row>
    <row r="756" spans="5:6" x14ac:dyDescent="0.3">
      <c r="E756" s="42"/>
      <c r="F756" s="42"/>
    </row>
    <row r="757" spans="5:6" x14ac:dyDescent="0.3">
      <c r="E757" s="42"/>
      <c r="F757" s="42"/>
    </row>
    <row r="758" spans="5:6" x14ac:dyDescent="0.3">
      <c r="E758" s="42"/>
      <c r="F758" s="42"/>
    </row>
    <row r="759" spans="5:6" x14ac:dyDescent="0.3">
      <c r="E759" s="42"/>
      <c r="F759" s="42"/>
    </row>
    <row r="760" spans="5:6" x14ac:dyDescent="0.3">
      <c r="E760" s="42"/>
      <c r="F760" s="42"/>
    </row>
    <row r="761" spans="5:6" x14ac:dyDescent="0.3">
      <c r="E761" s="42"/>
      <c r="F761" s="42"/>
    </row>
    <row r="762" spans="5:6" x14ac:dyDescent="0.3">
      <c r="E762" s="42"/>
      <c r="F762" s="42"/>
    </row>
    <row r="763" spans="5:6" x14ac:dyDescent="0.3">
      <c r="E763" s="42"/>
      <c r="F763" s="42"/>
    </row>
    <row r="764" spans="5:6" x14ac:dyDescent="0.3">
      <c r="E764" s="42"/>
      <c r="F764" s="42"/>
    </row>
    <row r="765" spans="5:6" x14ac:dyDescent="0.3">
      <c r="E765" s="42"/>
      <c r="F765" s="42"/>
    </row>
    <row r="766" spans="5:6" x14ac:dyDescent="0.3">
      <c r="E766" s="42"/>
      <c r="F766" s="42"/>
    </row>
    <row r="767" spans="5:6" x14ac:dyDescent="0.3">
      <c r="E767" s="42"/>
      <c r="F767" s="42"/>
    </row>
    <row r="768" spans="5:6" x14ac:dyDescent="0.3">
      <c r="E768" s="42"/>
      <c r="F768" s="42"/>
    </row>
    <row r="769" spans="5:6" x14ac:dyDescent="0.3">
      <c r="E769" s="42"/>
      <c r="F769" s="42"/>
    </row>
    <row r="770" spans="5:6" x14ac:dyDescent="0.3">
      <c r="E770" s="42"/>
      <c r="F770" s="42"/>
    </row>
    <row r="771" spans="5:6" x14ac:dyDescent="0.3">
      <c r="E771" s="42"/>
      <c r="F771" s="42"/>
    </row>
    <row r="772" spans="5:6" x14ac:dyDescent="0.3">
      <c r="E772" s="42"/>
      <c r="F772" s="42"/>
    </row>
    <row r="773" spans="5:6" x14ac:dyDescent="0.3">
      <c r="E773" s="42"/>
      <c r="F773" s="42"/>
    </row>
    <row r="774" spans="5:6" x14ac:dyDescent="0.3">
      <c r="E774" s="42"/>
      <c r="F774" s="42"/>
    </row>
    <row r="775" spans="5:6" x14ac:dyDescent="0.3">
      <c r="E775" s="42"/>
      <c r="F775" s="42"/>
    </row>
    <row r="776" spans="5:6" x14ac:dyDescent="0.3">
      <c r="E776" s="42"/>
      <c r="F776" s="42"/>
    </row>
    <row r="777" spans="5:6" x14ac:dyDescent="0.3">
      <c r="E777" s="42"/>
      <c r="F777" s="42"/>
    </row>
    <row r="778" spans="5:6" x14ac:dyDescent="0.3">
      <c r="E778" s="42"/>
      <c r="F778" s="42"/>
    </row>
    <row r="779" spans="5:6" x14ac:dyDescent="0.3">
      <c r="E779" s="42"/>
      <c r="F779" s="42"/>
    </row>
    <row r="780" spans="5:6" x14ac:dyDescent="0.3">
      <c r="E780" s="42"/>
      <c r="F780" s="42"/>
    </row>
    <row r="781" spans="5:6" x14ac:dyDescent="0.3">
      <c r="E781" s="42"/>
      <c r="F781" s="42"/>
    </row>
    <row r="782" spans="5:6" x14ac:dyDescent="0.3">
      <c r="E782" s="42"/>
      <c r="F782" s="42"/>
    </row>
    <row r="783" spans="5:6" x14ac:dyDescent="0.3">
      <c r="E783" s="42"/>
      <c r="F783" s="42"/>
    </row>
    <row r="784" spans="5:6" x14ac:dyDescent="0.3">
      <c r="E784" s="42"/>
      <c r="F784" s="42"/>
    </row>
    <row r="785" spans="5:6" x14ac:dyDescent="0.3">
      <c r="E785" s="42"/>
      <c r="F785" s="42"/>
    </row>
    <row r="786" spans="5:6" x14ac:dyDescent="0.3">
      <c r="E786" s="42"/>
      <c r="F786" s="42"/>
    </row>
    <row r="787" spans="5:6" x14ac:dyDescent="0.3">
      <c r="E787" s="42"/>
      <c r="F787" s="42"/>
    </row>
    <row r="788" spans="5:6" x14ac:dyDescent="0.3">
      <c r="E788" s="42"/>
      <c r="F788" s="42"/>
    </row>
    <row r="789" spans="5:6" x14ac:dyDescent="0.3">
      <c r="E789" s="42"/>
      <c r="F789" s="42"/>
    </row>
    <row r="790" spans="5:6" x14ac:dyDescent="0.3">
      <c r="E790" s="42"/>
      <c r="F790" s="42"/>
    </row>
    <row r="791" spans="5:6" x14ac:dyDescent="0.3">
      <c r="E791" s="42"/>
      <c r="F791" s="42"/>
    </row>
    <row r="792" spans="5:6" x14ac:dyDescent="0.3">
      <c r="E792" s="42"/>
      <c r="F792" s="42"/>
    </row>
    <row r="793" spans="5:6" x14ac:dyDescent="0.3">
      <c r="E793" s="42"/>
      <c r="F793" s="42"/>
    </row>
    <row r="794" spans="5:6" x14ac:dyDescent="0.3">
      <c r="E794" s="42"/>
      <c r="F794" s="42"/>
    </row>
    <row r="795" spans="5:6" x14ac:dyDescent="0.3">
      <c r="E795" s="42"/>
      <c r="F795" s="42"/>
    </row>
    <row r="796" spans="5:6" x14ac:dyDescent="0.3">
      <c r="E796" s="42"/>
      <c r="F796" s="42"/>
    </row>
    <row r="797" spans="5:6" x14ac:dyDescent="0.3">
      <c r="E797" s="42"/>
      <c r="F797" s="42"/>
    </row>
    <row r="798" spans="5:6" x14ac:dyDescent="0.3">
      <c r="E798" s="42"/>
      <c r="F798" s="42"/>
    </row>
    <row r="799" spans="5:6" x14ac:dyDescent="0.3">
      <c r="E799" s="42"/>
      <c r="F799" s="42"/>
    </row>
    <row r="800" spans="5:6" x14ac:dyDescent="0.3">
      <c r="E800" s="42"/>
      <c r="F800" s="42"/>
    </row>
    <row r="801" spans="5:6" x14ac:dyDescent="0.3">
      <c r="E801" s="42"/>
      <c r="F801" s="42"/>
    </row>
    <row r="802" spans="5:6" x14ac:dyDescent="0.3">
      <c r="E802" s="42"/>
      <c r="F802" s="42"/>
    </row>
    <row r="803" spans="5:6" x14ac:dyDescent="0.3">
      <c r="E803" s="42"/>
      <c r="F803" s="42"/>
    </row>
    <row r="804" spans="5:6" x14ac:dyDescent="0.3">
      <c r="E804" s="42"/>
      <c r="F804" s="42"/>
    </row>
    <row r="805" spans="5:6" x14ac:dyDescent="0.3">
      <c r="E805" s="42"/>
      <c r="F805" s="42"/>
    </row>
    <row r="806" spans="5:6" x14ac:dyDescent="0.3">
      <c r="E806" s="42"/>
      <c r="F806" s="42"/>
    </row>
    <row r="807" spans="5:6" x14ac:dyDescent="0.3">
      <c r="E807" s="42"/>
      <c r="F807" s="42"/>
    </row>
    <row r="808" spans="5:6" x14ac:dyDescent="0.3">
      <c r="E808" s="42"/>
      <c r="F808" s="42"/>
    </row>
    <row r="809" spans="5:6" x14ac:dyDescent="0.3">
      <c r="E809" s="42"/>
      <c r="F809" s="42"/>
    </row>
    <row r="810" spans="5:6" x14ac:dyDescent="0.3">
      <c r="E810" s="42"/>
      <c r="F810" s="42"/>
    </row>
    <row r="811" spans="5:6" x14ac:dyDescent="0.3">
      <c r="E811" s="42"/>
      <c r="F811" s="42"/>
    </row>
    <row r="812" spans="5:6" x14ac:dyDescent="0.3">
      <c r="E812" s="42"/>
      <c r="F812" s="42"/>
    </row>
    <row r="813" spans="5:6" x14ac:dyDescent="0.3">
      <c r="E813" s="42"/>
      <c r="F813" s="42"/>
    </row>
    <row r="814" spans="5:6" x14ac:dyDescent="0.3">
      <c r="E814" s="42"/>
      <c r="F814" s="42"/>
    </row>
    <row r="815" spans="5:6" x14ac:dyDescent="0.3">
      <c r="E815" s="42"/>
      <c r="F815" s="42"/>
    </row>
    <row r="816" spans="5:6" x14ac:dyDescent="0.3">
      <c r="E816" s="42"/>
      <c r="F816" s="42"/>
    </row>
    <row r="817" spans="5:6" x14ac:dyDescent="0.3">
      <c r="E817" s="42"/>
      <c r="F817" s="42"/>
    </row>
    <row r="818" spans="5:6" x14ac:dyDescent="0.3">
      <c r="E818" s="42"/>
      <c r="F818" s="42"/>
    </row>
    <row r="819" spans="5:6" x14ac:dyDescent="0.3">
      <c r="E819" s="42"/>
      <c r="F819" s="42"/>
    </row>
    <row r="820" spans="5:6" x14ac:dyDescent="0.3">
      <c r="E820" s="42"/>
      <c r="F820" s="42"/>
    </row>
    <row r="821" spans="5:6" x14ac:dyDescent="0.3">
      <c r="E821" s="42"/>
      <c r="F821" s="42"/>
    </row>
    <row r="822" spans="5:6" x14ac:dyDescent="0.3">
      <c r="E822" s="42"/>
      <c r="F822" s="42"/>
    </row>
    <row r="823" spans="5:6" x14ac:dyDescent="0.3">
      <c r="E823" s="42"/>
      <c r="F823" s="42"/>
    </row>
    <row r="824" spans="5:6" x14ac:dyDescent="0.3">
      <c r="E824" s="42"/>
      <c r="F824" s="42"/>
    </row>
    <row r="825" spans="5:6" x14ac:dyDescent="0.3">
      <c r="E825" s="42"/>
      <c r="F825" s="42"/>
    </row>
    <row r="826" spans="5:6" x14ac:dyDescent="0.3">
      <c r="E826" s="42"/>
      <c r="F826" s="42"/>
    </row>
    <row r="827" spans="5:6" x14ac:dyDescent="0.3">
      <c r="E827" s="42"/>
      <c r="F827" s="42"/>
    </row>
    <row r="828" spans="5:6" x14ac:dyDescent="0.3">
      <c r="E828" s="42"/>
      <c r="F828" s="42"/>
    </row>
    <row r="829" spans="5:6" x14ac:dyDescent="0.3">
      <c r="E829" s="42"/>
      <c r="F829" s="42"/>
    </row>
    <row r="830" spans="5:6" x14ac:dyDescent="0.3">
      <c r="E830" s="42"/>
      <c r="F830" s="42"/>
    </row>
    <row r="831" spans="5:6" x14ac:dyDescent="0.3">
      <c r="E831" s="42"/>
      <c r="F831" s="42"/>
    </row>
    <row r="832" spans="5:6" x14ac:dyDescent="0.3">
      <c r="E832" s="42"/>
      <c r="F832" s="42"/>
    </row>
    <row r="833" spans="5:6" x14ac:dyDescent="0.3">
      <c r="E833" s="42"/>
      <c r="F833" s="42"/>
    </row>
    <row r="834" spans="5:6" x14ac:dyDescent="0.3">
      <c r="E834" s="42"/>
      <c r="F834" s="42"/>
    </row>
    <row r="835" spans="5:6" x14ac:dyDescent="0.3">
      <c r="E835" s="42"/>
      <c r="F835" s="42"/>
    </row>
    <row r="836" spans="5:6" x14ac:dyDescent="0.3">
      <c r="E836" s="42"/>
      <c r="F836" s="42"/>
    </row>
    <row r="837" spans="5:6" x14ac:dyDescent="0.3">
      <c r="E837" s="42"/>
      <c r="F837" s="42"/>
    </row>
    <row r="838" spans="5:6" x14ac:dyDescent="0.3">
      <c r="E838" s="42"/>
      <c r="F838" s="42"/>
    </row>
    <row r="839" spans="5:6" x14ac:dyDescent="0.3">
      <c r="E839" s="42"/>
      <c r="F839" s="42"/>
    </row>
    <row r="840" spans="5:6" x14ac:dyDescent="0.3">
      <c r="E840" s="42"/>
      <c r="F840" s="42"/>
    </row>
    <row r="841" spans="5:6" x14ac:dyDescent="0.3">
      <c r="E841" s="42"/>
      <c r="F841" s="42"/>
    </row>
    <row r="842" spans="5:6" x14ac:dyDescent="0.3">
      <c r="E842" s="42"/>
      <c r="F842" s="42"/>
    </row>
    <row r="843" spans="5:6" x14ac:dyDescent="0.3">
      <c r="E843" s="42"/>
      <c r="F843" s="42"/>
    </row>
    <row r="844" spans="5:6" x14ac:dyDescent="0.3">
      <c r="E844" s="42"/>
      <c r="F844" s="42"/>
    </row>
    <row r="845" spans="5:6" x14ac:dyDescent="0.3">
      <c r="E845" s="42"/>
      <c r="F845" s="42"/>
    </row>
    <row r="846" spans="5:6" x14ac:dyDescent="0.3">
      <c r="E846" s="42"/>
      <c r="F846" s="42"/>
    </row>
    <row r="847" spans="5:6" x14ac:dyDescent="0.3">
      <c r="E847" s="42"/>
      <c r="F847" s="42"/>
    </row>
    <row r="848" spans="5:6" x14ac:dyDescent="0.3">
      <c r="E848" s="42"/>
      <c r="F848" s="42"/>
    </row>
    <row r="849" spans="5:6" x14ac:dyDescent="0.3">
      <c r="E849" s="42"/>
      <c r="F849" s="42"/>
    </row>
    <row r="850" spans="5:6" x14ac:dyDescent="0.3">
      <c r="E850" s="42"/>
      <c r="F850" s="42"/>
    </row>
    <row r="851" spans="5:6" x14ac:dyDescent="0.3">
      <c r="E851" s="42"/>
      <c r="F851" s="42"/>
    </row>
    <row r="852" spans="5:6" x14ac:dyDescent="0.3">
      <c r="E852" s="42"/>
      <c r="F852" s="42"/>
    </row>
    <row r="853" spans="5:6" x14ac:dyDescent="0.3">
      <c r="E853" s="42"/>
      <c r="F853" s="42"/>
    </row>
    <row r="854" spans="5:6" x14ac:dyDescent="0.3">
      <c r="E854" s="42"/>
      <c r="F854" s="42"/>
    </row>
    <row r="855" spans="5:6" x14ac:dyDescent="0.3">
      <c r="E855" s="42"/>
      <c r="F855" s="42"/>
    </row>
    <row r="856" spans="5:6" x14ac:dyDescent="0.3">
      <c r="E856" s="42"/>
      <c r="F856" s="42"/>
    </row>
    <row r="857" spans="5:6" x14ac:dyDescent="0.3">
      <c r="E857" s="42"/>
      <c r="F857" s="42"/>
    </row>
    <row r="858" spans="5:6" x14ac:dyDescent="0.3">
      <c r="E858" s="42"/>
      <c r="F858" s="42"/>
    </row>
    <row r="859" spans="5:6" x14ac:dyDescent="0.3">
      <c r="E859" s="42"/>
      <c r="F859" s="42"/>
    </row>
    <row r="860" spans="5:6" x14ac:dyDescent="0.3">
      <c r="E860" s="42"/>
      <c r="F860" s="42"/>
    </row>
    <row r="861" spans="5:6" x14ac:dyDescent="0.3">
      <c r="E861" s="42"/>
      <c r="F861" s="42"/>
    </row>
    <row r="862" spans="5:6" x14ac:dyDescent="0.3">
      <c r="E862" s="42"/>
      <c r="F862" s="42"/>
    </row>
    <row r="863" spans="5:6" x14ac:dyDescent="0.3">
      <c r="E863" s="42"/>
      <c r="F863" s="42"/>
    </row>
    <row r="864" spans="5:6" x14ac:dyDescent="0.3">
      <c r="E864" s="42"/>
      <c r="F864" s="42"/>
    </row>
    <row r="865" spans="5:6" x14ac:dyDescent="0.3">
      <c r="E865" s="42"/>
      <c r="F865" s="42"/>
    </row>
    <row r="866" spans="5:6" x14ac:dyDescent="0.3">
      <c r="E866" s="42"/>
      <c r="F866" s="42"/>
    </row>
    <row r="867" spans="5:6" x14ac:dyDescent="0.3">
      <c r="E867" s="42"/>
      <c r="F867" s="42"/>
    </row>
    <row r="868" spans="5:6" x14ac:dyDescent="0.3">
      <c r="E868" s="42"/>
      <c r="F868" s="42"/>
    </row>
    <row r="869" spans="5:6" x14ac:dyDescent="0.3">
      <c r="E869" s="42"/>
      <c r="F869" s="42"/>
    </row>
    <row r="870" spans="5:6" x14ac:dyDescent="0.3">
      <c r="E870" s="42"/>
      <c r="F870" s="42"/>
    </row>
    <row r="871" spans="5:6" x14ac:dyDescent="0.3">
      <c r="E871" s="42"/>
      <c r="F871" s="42"/>
    </row>
    <row r="872" spans="5:6" x14ac:dyDescent="0.3">
      <c r="E872" s="42"/>
      <c r="F872" s="42"/>
    </row>
    <row r="873" spans="5:6" x14ac:dyDescent="0.3">
      <c r="E873" s="42"/>
      <c r="F873" s="42"/>
    </row>
    <row r="874" spans="5:6" x14ac:dyDescent="0.3">
      <c r="E874" s="42"/>
      <c r="F874" s="42"/>
    </row>
    <row r="875" spans="5:6" x14ac:dyDescent="0.3">
      <c r="E875" s="42"/>
      <c r="F875" s="42"/>
    </row>
    <row r="876" spans="5:6" x14ac:dyDescent="0.3">
      <c r="E876" s="42"/>
      <c r="F876" s="42"/>
    </row>
    <row r="877" spans="5:6" x14ac:dyDescent="0.3">
      <c r="E877" s="42"/>
      <c r="F877" s="42"/>
    </row>
    <row r="878" spans="5:6" x14ac:dyDescent="0.3">
      <c r="E878" s="42"/>
      <c r="F878" s="42"/>
    </row>
    <row r="879" spans="5:6" x14ac:dyDescent="0.3">
      <c r="E879" s="42"/>
      <c r="F879" s="42"/>
    </row>
    <row r="880" spans="5:6" x14ac:dyDescent="0.3">
      <c r="E880" s="42"/>
      <c r="F880" s="42"/>
    </row>
    <row r="881" spans="5:6" x14ac:dyDescent="0.3">
      <c r="E881" s="42"/>
      <c r="F881" s="42"/>
    </row>
    <row r="882" spans="5:6" x14ac:dyDescent="0.3">
      <c r="E882" s="42"/>
      <c r="F882" s="42"/>
    </row>
    <row r="883" spans="5:6" x14ac:dyDescent="0.3">
      <c r="E883" s="42"/>
      <c r="F883" s="42"/>
    </row>
    <row r="884" spans="5:6" x14ac:dyDescent="0.3">
      <c r="E884" s="42"/>
      <c r="F884" s="42"/>
    </row>
    <row r="885" spans="5:6" x14ac:dyDescent="0.3">
      <c r="E885" s="42"/>
      <c r="F885" s="42"/>
    </row>
    <row r="886" spans="5:6" x14ac:dyDescent="0.3">
      <c r="E886" s="42"/>
      <c r="F886" s="42"/>
    </row>
    <row r="887" spans="5:6" x14ac:dyDescent="0.3">
      <c r="E887" s="42"/>
      <c r="F887" s="42"/>
    </row>
    <row r="888" spans="5:6" x14ac:dyDescent="0.3">
      <c r="E888" s="42"/>
      <c r="F888" s="42"/>
    </row>
    <row r="889" spans="5:6" x14ac:dyDescent="0.3">
      <c r="E889" s="42"/>
      <c r="F889" s="42"/>
    </row>
    <row r="890" spans="5:6" x14ac:dyDescent="0.3">
      <c r="E890" s="42"/>
      <c r="F890" s="42"/>
    </row>
    <row r="891" spans="5:6" x14ac:dyDescent="0.3">
      <c r="E891" s="42"/>
      <c r="F891" s="42"/>
    </row>
    <row r="892" spans="5:6" x14ac:dyDescent="0.3">
      <c r="E892" s="42"/>
      <c r="F892" s="42"/>
    </row>
    <row r="893" spans="5:6" x14ac:dyDescent="0.3">
      <c r="E893" s="42"/>
      <c r="F893" s="42"/>
    </row>
    <row r="894" spans="5:6" x14ac:dyDescent="0.3">
      <c r="E894" s="42"/>
      <c r="F894" s="42"/>
    </row>
    <row r="895" spans="5:6" x14ac:dyDescent="0.3">
      <c r="E895" s="42"/>
      <c r="F895" s="42"/>
    </row>
    <row r="896" spans="5:6" x14ac:dyDescent="0.3">
      <c r="E896" s="42"/>
      <c r="F896" s="42"/>
    </row>
    <row r="897" spans="5:6" x14ac:dyDescent="0.3">
      <c r="E897" s="42"/>
      <c r="F897" s="42"/>
    </row>
    <row r="898" spans="5:6" x14ac:dyDescent="0.3">
      <c r="E898" s="42"/>
      <c r="F898" s="42"/>
    </row>
    <row r="899" spans="5:6" x14ac:dyDescent="0.3">
      <c r="E899" s="42"/>
      <c r="F899" s="42"/>
    </row>
    <row r="900" spans="5:6" x14ac:dyDescent="0.3">
      <c r="E900" s="42"/>
      <c r="F900" s="42"/>
    </row>
    <row r="901" spans="5:6" x14ac:dyDescent="0.3">
      <c r="E901" s="42"/>
      <c r="F901" s="42"/>
    </row>
    <row r="902" spans="5:6" x14ac:dyDescent="0.3">
      <c r="E902" s="42"/>
      <c r="F902" s="42"/>
    </row>
    <row r="903" spans="5:6" x14ac:dyDescent="0.3">
      <c r="E903" s="42"/>
      <c r="F903" s="42"/>
    </row>
    <row r="904" spans="5:6" x14ac:dyDescent="0.3">
      <c r="E904" s="42"/>
      <c r="F904" s="42"/>
    </row>
    <row r="905" spans="5:6" x14ac:dyDescent="0.3">
      <c r="E905" s="42"/>
      <c r="F905" s="42"/>
    </row>
    <row r="906" spans="5:6" x14ac:dyDescent="0.3">
      <c r="E906" s="42"/>
      <c r="F906" s="42"/>
    </row>
    <row r="907" spans="5:6" x14ac:dyDescent="0.3">
      <c r="E907" s="42"/>
      <c r="F907" s="42"/>
    </row>
    <row r="908" spans="5:6" x14ac:dyDescent="0.3">
      <c r="E908" s="42"/>
      <c r="F908" s="42"/>
    </row>
    <row r="909" spans="5:6" x14ac:dyDescent="0.3">
      <c r="E909" s="42"/>
      <c r="F909" s="42"/>
    </row>
    <row r="910" spans="5:6" x14ac:dyDescent="0.3">
      <c r="E910" s="42"/>
      <c r="F910" s="42"/>
    </row>
    <row r="911" spans="5:6" x14ac:dyDescent="0.3">
      <c r="E911" s="42"/>
      <c r="F911" s="42"/>
    </row>
    <row r="912" spans="5:6" x14ac:dyDescent="0.3">
      <c r="E912" s="42"/>
      <c r="F912" s="42"/>
    </row>
    <row r="913" spans="5:6" x14ac:dyDescent="0.3">
      <c r="E913" s="42"/>
      <c r="F913" s="42"/>
    </row>
    <row r="914" spans="5:6" x14ac:dyDescent="0.3">
      <c r="E914" s="42"/>
      <c r="F914" s="42"/>
    </row>
    <row r="915" spans="5:6" x14ac:dyDescent="0.3">
      <c r="E915" s="42"/>
      <c r="F915" s="42"/>
    </row>
    <row r="916" spans="5:6" x14ac:dyDescent="0.3">
      <c r="E916" s="42"/>
      <c r="F916" s="42"/>
    </row>
    <row r="917" spans="5:6" x14ac:dyDescent="0.3">
      <c r="E917" s="42"/>
      <c r="F917" s="42"/>
    </row>
    <row r="918" spans="5:6" x14ac:dyDescent="0.3">
      <c r="E918" s="42"/>
      <c r="F918" s="42"/>
    </row>
    <row r="919" spans="5:6" x14ac:dyDescent="0.3">
      <c r="E919" s="42"/>
      <c r="F919" s="42"/>
    </row>
    <row r="920" spans="5:6" x14ac:dyDescent="0.3">
      <c r="E920" s="42"/>
      <c r="F920" s="42"/>
    </row>
    <row r="921" spans="5:6" x14ac:dyDescent="0.3">
      <c r="E921" s="42"/>
      <c r="F921" s="42"/>
    </row>
    <row r="922" spans="5:6" x14ac:dyDescent="0.3">
      <c r="E922" s="42"/>
      <c r="F922" s="42"/>
    </row>
    <row r="923" spans="5:6" x14ac:dyDescent="0.3">
      <c r="E923" s="42"/>
      <c r="F923" s="42"/>
    </row>
    <row r="924" spans="5:6" x14ac:dyDescent="0.3">
      <c r="E924" s="42"/>
      <c r="F924" s="42"/>
    </row>
    <row r="925" spans="5:6" x14ac:dyDescent="0.3">
      <c r="E925" s="42"/>
      <c r="F925" s="42"/>
    </row>
    <row r="926" spans="5:6" x14ac:dyDescent="0.3">
      <c r="E926" s="42"/>
      <c r="F926" s="42"/>
    </row>
    <row r="927" spans="5:6" x14ac:dyDescent="0.3">
      <c r="E927" s="42"/>
      <c r="F927" s="42"/>
    </row>
    <row r="928" spans="5:6" x14ac:dyDescent="0.3">
      <c r="E928" s="42"/>
      <c r="F928" s="42"/>
    </row>
    <row r="929" spans="5:6" x14ac:dyDescent="0.3">
      <c r="E929" s="42"/>
      <c r="F929" s="42"/>
    </row>
    <row r="930" spans="5:6" x14ac:dyDescent="0.3">
      <c r="E930" s="42"/>
      <c r="F930" s="42"/>
    </row>
    <row r="931" spans="5:6" x14ac:dyDescent="0.3">
      <c r="E931" s="42"/>
      <c r="F931" s="42"/>
    </row>
    <row r="932" spans="5:6" x14ac:dyDescent="0.3">
      <c r="E932" s="42"/>
      <c r="F932" s="42"/>
    </row>
    <row r="933" spans="5:6" x14ac:dyDescent="0.3">
      <c r="E933" s="42"/>
      <c r="F933" s="42"/>
    </row>
    <row r="934" spans="5:6" x14ac:dyDescent="0.3">
      <c r="E934" s="42"/>
      <c r="F934" s="42"/>
    </row>
    <row r="935" spans="5:6" x14ac:dyDescent="0.3">
      <c r="E935" s="42"/>
      <c r="F935" s="42"/>
    </row>
    <row r="936" spans="5:6" x14ac:dyDescent="0.3">
      <c r="E936" s="42"/>
      <c r="F936" s="42"/>
    </row>
    <row r="937" spans="5:6" x14ac:dyDescent="0.3">
      <c r="E937" s="42"/>
      <c r="F937" s="42"/>
    </row>
    <row r="938" spans="5:6" x14ac:dyDescent="0.3">
      <c r="E938" s="42"/>
      <c r="F938" s="42"/>
    </row>
    <row r="939" spans="5:6" x14ac:dyDescent="0.3">
      <c r="E939" s="42"/>
      <c r="F939" s="42"/>
    </row>
    <row r="940" spans="5:6" x14ac:dyDescent="0.3">
      <c r="E940" s="42"/>
      <c r="F940" s="42"/>
    </row>
    <row r="941" spans="5:6" x14ac:dyDescent="0.3">
      <c r="E941" s="42"/>
      <c r="F941" s="42"/>
    </row>
    <row r="942" spans="5:6" x14ac:dyDescent="0.3">
      <c r="E942" s="42"/>
      <c r="F942" s="42"/>
    </row>
    <row r="943" spans="5:6" x14ac:dyDescent="0.3">
      <c r="E943" s="42"/>
      <c r="F943" s="42"/>
    </row>
    <row r="944" spans="5:6" x14ac:dyDescent="0.3">
      <c r="E944" s="42"/>
      <c r="F944" s="42"/>
    </row>
    <row r="945" spans="5:6" x14ac:dyDescent="0.3">
      <c r="E945" s="42"/>
      <c r="F945" s="42"/>
    </row>
    <row r="946" spans="5:6" x14ac:dyDescent="0.3">
      <c r="E946" s="42"/>
      <c r="F946" s="42"/>
    </row>
    <row r="947" spans="5:6" x14ac:dyDescent="0.3">
      <c r="E947" s="42"/>
      <c r="F947" s="42"/>
    </row>
    <row r="948" spans="5:6" x14ac:dyDescent="0.3">
      <c r="E948" s="42"/>
      <c r="F948" s="42"/>
    </row>
    <row r="949" spans="5:6" x14ac:dyDescent="0.3">
      <c r="E949" s="42"/>
      <c r="F949" s="42"/>
    </row>
    <row r="950" spans="5:6" x14ac:dyDescent="0.3">
      <c r="E950" s="42"/>
      <c r="F950" s="42"/>
    </row>
    <row r="951" spans="5:6" x14ac:dyDescent="0.3">
      <c r="E951" s="42"/>
      <c r="F951" s="42"/>
    </row>
    <row r="952" spans="5:6" x14ac:dyDescent="0.3">
      <c r="E952" s="42"/>
      <c r="F952" s="42"/>
    </row>
    <row r="953" spans="5:6" x14ac:dyDescent="0.3">
      <c r="E953" s="42"/>
      <c r="F953" s="42"/>
    </row>
    <row r="954" spans="5:6" x14ac:dyDescent="0.3">
      <c r="E954" s="42"/>
      <c r="F954" s="42"/>
    </row>
    <row r="955" spans="5:6" x14ac:dyDescent="0.3">
      <c r="E955" s="42"/>
      <c r="F955" s="42"/>
    </row>
    <row r="956" spans="5:6" x14ac:dyDescent="0.3">
      <c r="E956" s="42"/>
      <c r="F956" s="42"/>
    </row>
    <row r="957" spans="5:6" x14ac:dyDescent="0.3">
      <c r="E957" s="42"/>
      <c r="F957" s="42"/>
    </row>
    <row r="958" spans="5:6" x14ac:dyDescent="0.3">
      <c r="E958" s="42"/>
      <c r="F958" s="42"/>
    </row>
    <row r="959" spans="5:6" x14ac:dyDescent="0.3">
      <c r="E959" s="42"/>
      <c r="F959" s="42"/>
    </row>
    <row r="960" spans="5:6" x14ac:dyDescent="0.3">
      <c r="E960" s="42"/>
      <c r="F960" s="42"/>
    </row>
    <row r="961" spans="5:6" x14ac:dyDescent="0.3">
      <c r="E961" s="42"/>
      <c r="F961" s="42"/>
    </row>
    <row r="962" spans="5:6" x14ac:dyDescent="0.3">
      <c r="E962" s="42"/>
      <c r="F962" s="42"/>
    </row>
    <row r="963" spans="5:6" x14ac:dyDescent="0.3">
      <c r="E963" s="42"/>
      <c r="F963" s="42"/>
    </row>
    <row r="964" spans="5:6" x14ac:dyDescent="0.3">
      <c r="E964" s="42"/>
      <c r="F964" s="42"/>
    </row>
    <row r="965" spans="5:6" x14ac:dyDescent="0.3">
      <c r="E965" s="42"/>
      <c r="F965" s="42"/>
    </row>
    <row r="966" spans="5:6" x14ac:dyDescent="0.3">
      <c r="E966" s="42"/>
      <c r="F966" s="42"/>
    </row>
    <row r="967" spans="5:6" x14ac:dyDescent="0.3">
      <c r="E967" s="42"/>
      <c r="F967" s="42"/>
    </row>
    <row r="968" spans="5:6" x14ac:dyDescent="0.3">
      <c r="E968" s="42"/>
      <c r="F968" s="42"/>
    </row>
    <row r="969" spans="5:6" x14ac:dyDescent="0.3">
      <c r="E969" s="42"/>
      <c r="F969" s="42"/>
    </row>
    <row r="970" spans="5:6" x14ac:dyDescent="0.3">
      <c r="E970" s="42"/>
      <c r="F970" s="42"/>
    </row>
    <row r="971" spans="5:6" x14ac:dyDescent="0.3">
      <c r="E971" s="42"/>
      <c r="F971" s="42"/>
    </row>
    <row r="972" spans="5:6" x14ac:dyDescent="0.3">
      <c r="E972" s="42"/>
      <c r="F972" s="42"/>
    </row>
    <row r="973" spans="5:6" x14ac:dyDescent="0.3">
      <c r="E973" s="42"/>
      <c r="F973" s="42"/>
    </row>
    <row r="974" spans="5:6" x14ac:dyDescent="0.3">
      <c r="E974" s="42"/>
      <c r="F974" s="42"/>
    </row>
    <row r="975" spans="5:6" x14ac:dyDescent="0.3">
      <c r="E975" s="42"/>
      <c r="F975" s="42"/>
    </row>
    <row r="976" spans="5:6" x14ac:dyDescent="0.3">
      <c r="E976" s="42"/>
      <c r="F976" s="42"/>
    </row>
    <row r="977" spans="5:6" x14ac:dyDescent="0.3">
      <c r="E977" s="42"/>
      <c r="F977" s="42"/>
    </row>
    <row r="978" spans="5:6" x14ac:dyDescent="0.3">
      <c r="E978" s="42"/>
      <c r="F978" s="42"/>
    </row>
    <row r="979" spans="5:6" x14ac:dyDescent="0.3">
      <c r="E979" s="42"/>
      <c r="F979" s="42"/>
    </row>
    <row r="980" spans="5:6" x14ac:dyDescent="0.3">
      <c r="E980" s="42"/>
      <c r="F980" s="42"/>
    </row>
    <row r="981" spans="5:6" x14ac:dyDescent="0.3">
      <c r="E981" s="42"/>
      <c r="F981" s="42"/>
    </row>
    <row r="982" spans="5:6" x14ac:dyDescent="0.3">
      <c r="E982" s="42"/>
      <c r="F982" s="42"/>
    </row>
    <row r="983" spans="5:6" x14ac:dyDescent="0.3">
      <c r="E983" s="42"/>
      <c r="F983" s="42"/>
    </row>
    <row r="984" spans="5:6" x14ac:dyDescent="0.3">
      <c r="E984" s="42"/>
      <c r="F984" s="42"/>
    </row>
    <row r="985" spans="5:6" x14ac:dyDescent="0.3">
      <c r="E985" s="42"/>
      <c r="F985" s="42"/>
    </row>
    <row r="986" spans="5:6" x14ac:dyDescent="0.3">
      <c r="E986" s="42"/>
      <c r="F986" s="42"/>
    </row>
    <row r="987" spans="5:6" x14ac:dyDescent="0.3">
      <c r="E987" s="42"/>
      <c r="F987" s="42"/>
    </row>
    <row r="988" spans="5:6" x14ac:dyDescent="0.3">
      <c r="E988" s="42"/>
      <c r="F988" s="42"/>
    </row>
    <row r="989" spans="5:6" x14ac:dyDescent="0.3">
      <c r="E989" s="42"/>
      <c r="F989" s="42"/>
    </row>
    <row r="990" spans="5:6" x14ac:dyDescent="0.3">
      <c r="E990" s="42"/>
      <c r="F990" s="42"/>
    </row>
    <row r="991" spans="5:6" x14ac:dyDescent="0.3">
      <c r="E991" s="42"/>
      <c r="F991" s="42"/>
    </row>
    <row r="992" spans="5:6" x14ac:dyDescent="0.3">
      <c r="E992" s="42"/>
      <c r="F992" s="42"/>
    </row>
    <row r="993" spans="5:6" x14ac:dyDescent="0.3">
      <c r="E993" s="42"/>
      <c r="F993" s="42"/>
    </row>
    <row r="994" spans="5:6" x14ac:dyDescent="0.3">
      <c r="E994" s="42"/>
      <c r="F994" s="42"/>
    </row>
    <row r="995" spans="5:6" x14ac:dyDescent="0.3">
      <c r="E995" s="42"/>
      <c r="F995" s="42"/>
    </row>
    <row r="996" spans="5:6" x14ac:dyDescent="0.3">
      <c r="E996" s="42"/>
      <c r="F996" s="42"/>
    </row>
    <row r="997" spans="5:6" x14ac:dyDescent="0.3">
      <c r="E997" s="42"/>
      <c r="F997" s="42"/>
    </row>
    <row r="998" spans="5:6" x14ac:dyDescent="0.3">
      <c r="E998" s="42"/>
      <c r="F998" s="42"/>
    </row>
    <row r="999" spans="5:6" x14ac:dyDescent="0.3">
      <c r="E999" s="42"/>
      <c r="F999" s="42"/>
    </row>
    <row r="1000" spans="5:6" x14ac:dyDescent="0.3">
      <c r="E1000" s="42"/>
      <c r="F1000" s="42"/>
    </row>
    <row r="1001" spans="5:6" x14ac:dyDescent="0.3">
      <c r="E1001" s="42"/>
      <c r="F1001" s="42"/>
    </row>
    <row r="1002" spans="5:6" x14ac:dyDescent="0.3">
      <c r="E1002" s="42"/>
      <c r="F1002" s="42"/>
    </row>
    <row r="1003" spans="5:6" x14ac:dyDescent="0.3">
      <c r="E1003" s="42"/>
      <c r="F1003" s="42"/>
    </row>
    <row r="1004" spans="5:6" x14ac:dyDescent="0.3">
      <c r="E1004" s="42"/>
      <c r="F1004" s="42"/>
    </row>
    <row r="1005" spans="5:6" x14ac:dyDescent="0.3">
      <c r="E1005" s="42"/>
      <c r="F1005" s="42"/>
    </row>
    <row r="1006" spans="5:6" x14ac:dyDescent="0.3">
      <c r="E1006" s="42"/>
      <c r="F1006" s="42"/>
    </row>
    <row r="1007" spans="5:6" x14ac:dyDescent="0.3">
      <c r="E1007" s="42"/>
      <c r="F1007" s="42"/>
    </row>
    <row r="1008" spans="5:6" x14ac:dyDescent="0.3">
      <c r="E1008" s="42"/>
      <c r="F1008" s="42"/>
    </row>
    <row r="1009" spans="5:6" x14ac:dyDescent="0.3">
      <c r="E1009" s="42"/>
      <c r="F1009" s="42"/>
    </row>
  </sheetData>
  <mergeCells count="10">
    <mergeCell ref="AC3:AD3"/>
    <mergeCell ref="AH3:AI3"/>
    <mergeCell ref="T3:U3"/>
    <mergeCell ref="B8:I8"/>
    <mergeCell ref="J8:J9"/>
    <mergeCell ref="K8:R8"/>
    <mergeCell ref="AE3:AF3"/>
    <mergeCell ref="V3:W3"/>
    <mergeCell ref="X3:Y3"/>
    <mergeCell ref="V6:W6"/>
  </mergeCells>
  <dataValidations count="5">
    <dataValidation type="list" allowBlank="1" showInputMessage="1" showErrorMessage="1" sqref="W5" xr:uid="{98A7DAB0-414A-4165-BFF5-40E17F78DD0C}">
      <formula1>$U$9:$AA$9</formula1>
    </dataValidation>
    <dataValidation type="decimal" allowBlank="1" showInputMessage="1" showErrorMessage="1" sqref="W4 AF4" xr:uid="{184E3E32-0700-4E65-B2F8-E9F19423CA53}">
      <formula1>0.01</formula1>
      <formula2>0.99</formula2>
    </dataValidation>
    <dataValidation type="decimal" operator="greaterThan" allowBlank="1" showInputMessage="1" showErrorMessage="1" sqref="AF8" xr:uid="{1A66E318-8DEF-4864-8F5A-E1B03F61299C}">
      <formula1>0</formula1>
    </dataValidation>
    <dataValidation type="list" allowBlank="1" showInputMessage="1" showErrorMessage="1" sqref="AI8" xr:uid="{617AF5C2-8587-448C-AF21-B7AB5808572E}">
      <formula1>SearchEffective</formula1>
    </dataValidation>
    <dataValidation type="list" showInputMessage="1" showErrorMessage="1" sqref="U6" xr:uid="{997FCCAA-0578-42AC-AC90-A0695C4C53BD}">
      <formula1>$J$10:$J$1048576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8" r:id="rId4" name="Button 2">
              <controlPr defaultSize="0" print="0" autoFill="0" autoPict="0" macro="[0]!ClearPrices">
                <anchor moveWithCells="1" sizeWithCells="1">
                  <from>
                    <xdr:col>6</xdr:col>
                    <xdr:colOff>220980</xdr:colOff>
                    <xdr:row>2</xdr:row>
                    <xdr:rowOff>68580</xdr:rowOff>
                  </from>
                  <to>
                    <xdr:col>6</xdr:col>
                    <xdr:colOff>541020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Button 3">
              <controlPr defaultSize="0" print="0" autoFill="0" autoPict="0" macro="[0]!plotting_greeks2">
                <anchor moveWithCells="1" sizeWithCells="1">
                  <from>
                    <xdr:col>23</xdr:col>
                    <xdr:colOff>198120</xdr:colOff>
                    <xdr:row>3</xdr:row>
                    <xdr:rowOff>45720</xdr:rowOff>
                  </from>
                  <to>
                    <xdr:col>24</xdr:col>
                    <xdr:colOff>731520</xdr:colOff>
                    <xdr:row>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6" name="Button 4">
              <controlPr defaultSize="0" print="0" autoFill="0" autoPict="0" macro="[0]!clear_plots">
                <anchor moveWithCells="1" sizeWithCells="1">
                  <from>
                    <xdr:col>23</xdr:col>
                    <xdr:colOff>228600</xdr:colOff>
                    <xdr:row>6</xdr:row>
                    <xdr:rowOff>83820</xdr:rowOff>
                  </from>
                  <to>
                    <xdr:col>24</xdr:col>
                    <xdr:colOff>685800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7" name="Button 5">
              <controlPr defaultSize="0" print="0" autoFill="0" autoPict="0" macro="[0]!CalculateGreeks">
                <anchor moveWithCells="1" sizeWithCells="1">
                  <from>
                    <xdr:col>5</xdr:col>
                    <xdr:colOff>121920</xdr:colOff>
                    <xdr:row>2</xdr:row>
                    <xdr:rowOff>68580</xdr:rowOff>
                  </from>
                  <to>
                    <xdr:col>6</xdr:col>
                    <xdr:colOff>152400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7" r:id="rId8" name="Button 11">
              <controlPr defaultSize="0" print="0" autoFill="0" autoPict="0" macro="[0]!strats">
                <anchor moveWithCells="1" sizeWithCells="1">
                  <from>
                    <xdr:col>35</xdr:col>
                    <xdr:colOff>68580</xdr:colOff>
                    <xdr:row>3</xdr:row>
                    <xdr:rowOff>68580</xdr:rowOff>
                  </from>
                  <to>
                    <xdr:col>35</xdr:col>
                    <xdr:colOff>792480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8" r:id="rId9" name="Button 12">
              <controlPr defaultSize="0" print="0" autoFill="0" autoPict="0" macro="[0]!clear_Strategies">
                <anchor moveWithCells="1" sizeWithCells="1">
                  <from>
                    <xdr:col>35</xdr:col>
                    <xdr:colOff>76200</xdr:colOff>
                    <xdr:row>6</xdr:row>
                    <xdr:rowOff>114300</xdr:rowOff>
                  </from>
                  <to>
                    <xdr:col>35</xdr:col>
                    <xdr:colOff>762000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9" r:id="rId10" name="Button 13">
              <controlPr defaultSize="0" print="0" autoFill="0" autoPict="0" macro="[0]!plotting_contract">
                <anchor moveWithCells="1" sizeWithCells="1">
                  <from>
                    <xdr:col>23</xdr:col>
                    <xdr:colOff>213360</xdr:colOff>
                    <xdr:row>4</xdr:row>
                    <xdr:rowOff>152400</xdr:rowOff>
                  </from>
                  <to>
                    <xdr:col>24</xdr:col>
                    <xdr:colOff>693420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8" r:id="rId11" name="Button 22">
              <controlPr defaultSize="0" print="0" autoFill="0" autoPict="0" macro="[0]!UpdateChartRange">
                <anchor moveWithCells="1" sizeWithCells="1">
                  <from>
                    <xdr:col>35</xdr:col>
                    <xdr:colOff>76200</xdr:colOff>
                    <xdr:row>5</xdr:row>
                    <xdr:rowOff>45720</xdr:rowOff>
                  </from>
                  <to>
                    <xdr:col>35</xdr:col>
                    <xdr:colOff>769620</xdr:colOff>
                    <xdr:row>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2" r:id="rId12" name="Button 26">
              <controlPr defaultSize="0" print="0" autoFill="0" autoPict="0" macro="[0]!AddTButton">
                <anchor moveWithCells="1" sizeWithCells="1">
                  <from>
                    <xdr:col>11</xdr:col>
                    <xdr:colOff>106680</xdr:colOff>
                    <xdr:row>2</xdr:row>
                    <xdr:rowOff>76200</xdr:rowOff>
                  </from>
                  <to>
                    <xdr:col>11</xdr:col>
                    <xdr:colOff>579120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13" name="Button 29">
              <controlPr defaultSize="0" print="0" autoFill="0" autoPict="0" macro="[0]!Hide_Show_Contract_Analysis">
                <anchor moveWithCells="1" sizeWithCells="1">
                  <from>
                    <xdr:col>12</xdr:col>
                    <xdr:colOff>83820</xdr:colOff>
                    <xdr:row>3</xdr:row>
                    <xdr:rowOff>60960</xdr:rowOff>
                  </from>
                  <to>
                    <xdr:col>12</xdr:col>
                    <xdr:colOff>579120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14" name="Button 30">
              <controlPr defaultSize="0" print="0" autoFill="0" autoPict="0" macro="[0]!Hide_Show_Strategy_Analysis">
                <anchor moveWithCells="1" sizeWithCells="1">
                  <from>
                    <xdr:col>12</xdr:col>
                    <xdr:colOff>83820</xdr:colOff>
                    <xdr:row>4</xdr:row>
                    <xdr:rowOff>114300</xdr:rowOff>
                  </from>
                  <to>
                    <xdr:col>12</xdr:col>
                    <xdr:colOff>579120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1812010-3D89-4449-86C0-06716C434918}">
          <x14:formula1>
            <xm:f>'Assumptions &amp; Lists'!$D$16:$E$16</xm:f>
          </x14:formula1>
          <xm:sqref>U4</xm:sqref>
        </x14:dataValidation>
        <x14:dataValidation type="list" allowBlank="1" showInputMessage="1" showErrorMessage="1" xr:uid="{F9985812-DAB3-4EC0-9F12-9A9CE5B7E191}">
          <x14:formula1>
            <xm:f>'Assumptions &amp; Lists'!$D$15:$E$15</xm:f>
          </x14:formula1>
          <xm:sqref>U7 AD5</xm:sqref>
        </x14:dataValidation>
        <x14:dataValidation type="list" allowBlank="1" showInputMessage="1" showErrorMessage="1" xr:uid="{6B5695CF-0454-4A99-BB14-83E3D46C483A}">
          <x14:formula1>
            <xm:f>'Assumptions &amp; Lists'!$D$4:$E$4</xm:f>
          </x14:formula1>
          <xm:sqref>E5 U5 AD6</xm:sqref>
        </x14:dataValidation>
        <x14:dataValidation type="list" allowBlank="1" showInputMessage="1" showErrorMessage="1" xr:uid="{22CB6257-A57B-4868-838D-2C2CA499E531}">
          <x14:formula1>
            <xm:f>'Assumptions &amp; Lists'!$D$18:$K$18</xm:f>
          </x14:formula1>
          <xm:sqref>AD4</xm:sqref>
        </x14:dataValidation>
        <x14:dataValidation type="list" allowBlank="1" showInputMessage="1" showErrorMessage="1" xr:uid="{AC234A1E-A48B-44ED-98D2-8EC05D4AF708}">
          <x14:formula1>
            <xm:f>'Assumptions &amp; Lists'!$D$20:$E$20</xm:f>
          </x14:formula1>
          <xm:sqref>AF6</xm:sqref>
        </x14:dataValidation>
        <x14:dataValidation type="list" allowBlank="1" showInputMessage="1" showErrorMessage="1" xr:uid="{C2A0A58E-ED53-4AC2-89DF-251ED9702AD3}">
          <x14:formula1>
            <xm:f>'Assumptions &amp; Lists'!$D$22:$I$22</xm:f>
          </x14:formula1>
          <xm:sqref>AF7</xm:sqref>
        </x14:dataValidation>
        <x14:dataValidation type="list" allowBlank="1" showInputMessage="1" showErrorMessage="1" xr:uid="{07B3283D-1065-4C85-B9B0-DB9329CDA4F9}">
          <x14:formula1>
            <xm:f>'Assumptions &amp; Lists'!$D$24:$E$24</xm:f>
          </x14:formula1>
          <xm:sqref>K3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C21B3-847C-4D58-A2EE-3888042D9B1C}">
  <sheetPr codeName="Sheet2"/>
  <dimension ref="A1:AA1009"/>
  <sheetViews>
    <sheetView topLeftCell="N1" zoomScaleNormal="100" workbookViewId="0">
      <selection activeCell="U6" sqref="U6"/>
    </sheetView>
  </sheetViews>
  <sheetFormatPr defaultColWidth="8.88671875" defaultRowHeight="14.4" x14ac:dyDescent="0.3"/>
  <cols>
    <col min="1" max="1" width="3.44140625" style="1" customWidth="1"/>
    <col min="2" max="2" width="12.6640625" style="39"/>
    <col min="3" max="3" width="17.44140625" style="41" customWidth="1"/>
    <col min="4" max="4" width="12.6640625" style="41"/>
    <col min="5" max="5" width="9" style="47" customWidth="1"/>
    <col min="6" max="6" width="7.5546875" style="45" customWidth="1"/>
    <col min="7" max="7" width="13.6640625" style="94" customWidth="1"/>
    <col min="8" max="8" width="9" style="41" customWidth="1"/>
    <col min="9" max="9" width="10.109375" style="41" customWidth="1"/>
    <col min="10" max="10" width="12" style="43" bestFit="1" customWidth="1"/>
    <col min="11" max="11" width="10.33203125" style="41" customWidth="1"/>
    <col min="12" max="12" width="9.6640625" style="95" customWidth="1"/>
    <col min="13" max="13" width="12.6640625" style="44"/>
    <col min="14" max="15" width="12.6640625" style="45"/>
    <col min="16" max="17" width="12.6640625" style="41"/>
    <col min="18" max="18" width="12.6640625" style="46"/>
    <col min="19" max="19" width="8.33203125" style="7" customWidth="1"/>
    <col min="20" max="20" width="24.88671875" style="81" bestFit="1" customWidth="1"/>
    <col min="21" max="25" width="11.88671875" style="77" bestFit="1" customWidth="1"/>
    <col min="26" max="26" width="13.5546875" style="79" customWidth="1"/>
    <col min="27" max="16384" width="8.88671875" style="2"/>
  </cols>
  <sheetData>
    <row r="1" spans="1:27" x14ac:dyDescent="0.3">
      <c r="B1" s="2"/>
      <c r="C1" s="1"/>
      <c r="D1" s="2"/>
      <c r="E1" s="1"/>
      <c r="F1" s="2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</row>
    <row r="2" spans="1:27" ht="15" thickBot="1" x14ac:dyDescent="0.35">
      <c r="A2" s="4"/>
      <c r="B2" s="3"/>
      <c r="C2" s="4"/>
      <c r="D2" s="3"/>
      <c r="E2" s="4"/>
      <c r="F2" s="3"/>
      <c r="G2" s="4"/>
      <c r="H2" s="3"/>
      <c r="I2" s="61"/>
      <c r="J2" s="12"/>
      <c r="K2" s="61"/>
      <c r="L2" s="12"/>
      <c r="M2" s="61"/>
      <c r="N2" s="12"/>
      <c r="O2" s="61"/>
      <c r="P2" s="12"/>
      <c r="Q2" s="61"/>
      <c r="R2" s="12"/>
      <c r="S2" s="12"/>
      <c r="T2" s="2"/>
      <c r="U2" s="2"/>
      <c r="V2" s="2"/>
      <c r="W2" s="2"/>
      <c r="X2" s="2"/>
      <c r="Y2" s="2"/>
      <c r="Z2" s="2"/>
    </row>
    <row r="3" spans="1:27" ht="15" thickBot="1" x14ac:dyDescent="0.35">
      <c r="B3" s="14" t="s">
        <v>9</v>
      </c>
      <c r="C3" s="15" t="e" vm="2">
        <v>#VALUE!</v>
      </c>
      <c r="D3" s="16" t="s">
        <v>26</v>
      </c>
      <c r="E3" s="17">
        <v>5.0000000000000001E-4</v>
      </c>
      <c r="F3" s="18"/>
      <c r="G3" s="110">
        <v>0.94</v>
      </c>
      <c r="H3" s="19"/>
      <c r="I3" s="11"/>
      <c r="J3" s="12"/>
      <c r="K3" s="61"/>
      <c r="L3" s="12"/>
      <c r="M3" s="61"/>
      <c r="N3" s="11"/>
      <c r="O3" s="11"/>
      <c r="P3" s="11"/>
      <c r="Q3" s="11"/>
      <c r="R3" s="11"/>
      <c r="S3" s="11"/>
      <c r="T3" s="82"/>
      <c r="U3" s="83" t="s">
        <v>64</v>
      </c>
      <c r="V3" s="83" t="s">
        <v>63</v>
      </c>
      <c r="W3" s="83" t="s">
        <v>65</v>
      </c>
      <c r="X3" s="83" t="s">
        <v>66</v>
      </c>
      <c r="Y3" s="88" t="s">
        <v>67</v>
      </c>
      <c r="Z3" s="89"/>
    </row>
    <row r="4" spans="1:27" ht="14.4" customHeight="1" x14ac:dyDescent="0.3">
      <c r="B4" s="20" t="s">
        <v>10</v>
      </c>
      <c r="C4" s="21" cm="1">
        <f t="array" ref="C4">_FV(C3,"Price")*10</f>
        <v>917.69999999999993</v>
      </c>
      <c r="D4" s="22" t="s">
        <v>11</v>
      </c>
      <c r="E4" s="23">
        <v>0</v>
      </c>
      <c r="F4" s="24"/>
      <c r="G4" s="25"/>
      <c r="H4" s="26"/>
      <c r="I4" s="11"/>
      <c r="J4" s="12"/>
      <c r="K4" s="61"/>
      <c r="L4" s="12"/>
      <c r="M4" s="61"/>
      <c r="N4" s="11"/>
      <c r="O4" s="11"/>
      <c r="P4" s="11"/>
      <c r="Q4" s="276" t="s">
        <v>85</v>
      </c>
      <c r="R4" s="276"/>
      <c r="S4" s="11"/>
      <c r="T4" s="81" t="s">
        <v>1</v>
      </c>
      <c r="U4" s="49"/>
      <c r="V4" s="49"/>
      <c r="W4" s="49"/>
      <c r="X4" s="49"/>
      <c r="Y4" s="49"/>
      <c r="Z4" s="92">
        <f>COUNTA(U4:Y4)</f>
        <v>0</v>
      </c>
    </row>
    <row r="5" spans="1:27" ht="14.4" customHeight="1" x14ac:dyDescent="0.3">
      <c r="B5" s="20" t="s">
        <v>12</v>
      </c>
      <c r="C5" s="27">
        <v>44610.729166666664</v>
      </c>
      <c r="D5" s="22" t="s">
        <v>2</v>
      </c>
      <c r="E5" s="28" t="s">
        <v>8</v>
      </c>
      <c r="F5" s="24"/>
      <c r="G5" s="25"/>
      <c r="H5" s="26"/>
      <c r="I5" s="11"/>
      <c r="J5" s="62"/>
      <c r="K5" s="67"/>
      <c r="L5" s="11"/>
      <c r="M5" s="11"/>
      <c r="N5" s="11"/>
      <c r="O5" s="11"/>
      <c r="P5" s="11"/>
      <c r="Q5" s="276"/>
      <c r="R5" s="276"/>
      <c r="S5" s="11"/>
      <c r="T5" s="81" t="s">
        <v>88</v>
      </c>
      <c r="U5" s="91"/>
      <c r="V5" s="91"/>
      <c r="W5" s="91"/>
      <c r="X5" s="49"/>
      <c r="Y5" s="75"/>
      <c r="Z5" s="92">
        <f>COUNTA(T10:T1048576)</f>
        <v>0</v>
      </c>
    </row>
    <row r="6" spans="1:27" ht="15" customHeight="1" thickBot="1" x14ac:dyDescent="0.35">
      <c r="B6" s="29" t="s">
        <v>25</v>
      </c>
      <c r="C6" s="30">
        <f ca="1">IF(C5="","",(C5-NOW())/days_yr)</f>
        <v>-2.4346990430197555</v>
      </c>
      <c r="D6" s="31" t="s">
        <v>27</v>
      </c>
      <c r="E6" s="32">
        <v>25</v>
      </c>
      <c r="F6" s="33"/>
      <c r="G6" s="34"/>
      <c r="H6" s="35"/>
      <c r="I6" s="11"/>
      <c r="J6" s="63"/>
      <c r="K6" s="11"/>
      <c r="L6" s="7"/>
      <c r="M6" s="11"/>
      <c r="N6" s="11"/>
      <c r="O6" s="11"/>
      <c r="P6" s="11"/>
      <c r="Q6" s="276"/>
      <c r="R6" s="276"/>
      <c r="S6" s="11"/>
      <c r="T6" s="81" t="s">
        <v>76</v>
      </c>
      <c r="U6" s="49"/>
      <c r="V6" s="49"/>
      <c r="W6" s="49"/>
      <c r="X6" s="49"/>
      <c r="Y6" s="75"/>
      <c r="Z6" s="90"/>
    </row>
    <row r="7" spans="1:27" ht="15" thickBot="1" x14ac:dyDescent="0.35">
      <c r="A7" s="8"/>
      <c r="B7" s="9"/>
      <c r="C7" s="10"/>
      <c r="D7" s="11"/>
      <c r="E7" s="9"/>
      <c r="F7" s="9"/>
      <c r="G7" s="9"/>
      <c r="H7" s="9"/>
      <c r="I7" s="11"/>
      <c r="J7" s="113"/>
      <c r="K7" s="64"/>
      <c r="L7" s="7"/>
      <c r="M7" s="11"/>
      <c r="N7" s="11"/>
      <c r="O7" s="11"/>
      <c r="P7" s="11"/>
      <c r="Q7" s="277"/>
      <c r="R7" s="277"/>
      <c r="S7" s="11"/>
      <c r="T7" s="81" t="s">
        <v>86</v>
      </c>
      <c r="U7" s="96" t="str" cm="1">
        <f t="array" ref="U7">IFERROR(_xlfn.IFS(AND(U4="Put",U6="Short"),INDEX($K$10:$K$1048576,MATCH(U$5,J$10:J$1048576,0)),AND(U4="Put",U6="Long"),INDEX($L$10:$L$1048576,MATCH($U$5,$J$10:$J$1048576,0)),AND(U4="Call",U6="Short"),INDEX($I$10:$I$1048576,MATCH($U$5,$J$10:$J$1048576,0)),AND(U4="Call",U6="Long"),INDEX($H$10:$H$1048576,MATCH($U$5,$J$10:$J$1048576,0))),"")</f>
        <v/>
      </c>
      <c r="V7" s="96" t="str" cm="1">
        <f t="array" ref="V7">IFERROR(_xlfn.IFS(AND(V4="Put",V6="Short"),INDEX($K$10:$K$1048576,MATCH(V$5,J$10:J$1048576,0)),AND(V4="Put",V6="Long"),INDEX($L$10:$L$1048576,MATCH($V$5,$J$10:$J$1048576,0)),AND(V4="Call",V6="Short"),INDEX($I$10:$I$1048576,MATCH($V$5,$J$10:$J$1048576,0)),AND(V4="Call",V6="Long"),INDEX($H$10:$H$1048576,MATCH($V$5,$J$10:$J$1048576,0))),"")</f>
        <v/>
      </c>
      <c r="W7" s="96" t="str" cm="1">
        <f t="array" ref="W7">IFERROR(_xlfn.IFS(AND(W4="Put",W6="Short"),INDEX($K$10:$K$1048576,MATCH(W$5,J$10:J$1048576,0)),AND(W4="Put",W6="Long"),INDEX($L$10:$L$1048576,MATCH($W$5,$J$10:$J$1048576,0)),AND(W4="Call",W6="Short"),INDEX($I$10:$I$1048576,MATCH($W$5,$J$10:$J$1048576,0)),AND(W4="Call",W6="Long"),INDEX($H$10:$H$1048576,MATCH($W$5,$J$10:$J$1048576,0))),"")</f>
        <v/>
      </c>
      <c r="X7" s="96" t="str" cm="1">
        <f t="array" ref="X7">IFERROR(_xlfn.IFS(AND(X4="Put",X6="Short"),INDEX($K$10:$K$1048576,MATCH(X$5,J$10:J$1048576,0)),AND(X4="Put",X6="Long"),INDEX($L$10:$L$1048576,MATCH($X$5,$J$10:$J$1048576,0)),AND(X4="Call",X6="Short"),INDEX($I$10:$I$1048576,MATCH($X$5,$J$10:$J$1048576,0)),AND(X4="Call",X6="Long"),INDEX($H$10:$H$1048576,MATCH($X$5,$J$10:$J$1048576,0))),"")</f>
        <v/>
      </c>
      <c r="Y7" s="97" t="str" cm="1">
        <f t="array" ref="Y7">IFERROR(_xlfn.IFS(AND(Y4="Put",Y6="Short"),INDEX($K$10:$K$1048576,MATCH(Y$5,J$10:J$1048576,0)),AND(Y4="Put",Y6="Long"),INDEX($L$10:$L$1048576,MATCH($Y$5,$J$10:$J$1048576,0)),AND(Y4="Call",Y6="Short"),INDEX($I$10:$I$1048576,MATCH($Y$5,$J$10:$J$1048576,0)),AND(Y4="Call",Y6="Long"),INDEX($H$10:$H$1048576,MATCH($Y$5,$J$10:$J$1048576,0))),"")</f>
        <v/>
      </c>
      <c r="Z7" s="90"/>
    </row>
    <row r="8" spans="1:27" ht="15" thickBot="1" x14ac:dyDescent="0.35">
      <c r="B8" s="265" t="s">
        <v>7</v>
      </c>
      <c r="C8" s="269"/>
      <c r="D8" s="269"/>
      <c r="E8" s="269"/>
      <c r="F8" s="269"/>
      <c r="G8" s="269"/>
      <c r="H8" s="269"/>
      <c r="I8" s="269"/>
      <c r="J8" s="270" t="s">
        <v>0</v>
      </c>
      <c r="K8" s="269" t="s">
        <v>5</v>
      </c>
      <c r="L8" s="269"/>
      <c r="M8" s="269"/>
      <c r="N8" s="269"/>
      <c r="O8" s="269"/>
      <c r="P8" s="269"/>
      <c r="Q8" s="269"/>
      <c r="R8" s="272"/>
      <c r="S8" s="11"/>
      <c r="T8" s="81" t="s">
        <v>77</v>
      </c>
      <c r="U8" s="49"/>
      <c r="V8" s="49"/>
      <c r="W8" s="49"/>
      <c r="X8" s="49"/>
      <c r="Y8" s="49"/>
      <c r="Z8" s="78"/>
    </row>
    <row r="9" spans="1:27" ht="15" thickBot="1" x14ac:dyDescent="0.35">
      <c r="B9" s="36" t="s">
        <v>34</v>
      </c>
      <c r="C9" s="37" t="s">
        <v>15</v>
      </c>
      <c r="D9" s="37" t="s">
        <v>35</v>
      </c>
      <c r="E9" s="37" t="s">
        <v>16</v>
      </c>
      <c r="F9" s="37" t="s">
        <v>17</v>
      </c>
      <c r="G9" s="37" t="s">
        <v>46</v>
      </c>
      <c r="H9" s="37" t="s">
        <v>18</v>
      </c>
      <c r="I9" s="37" t="s">
        <v>19</v>
      </c>
      <c r="J9" s="271"/>
      <c r="K9" s="37" t="s">
        <v>19</v>
      </c>
      <c r="L9" s="37" t="s">
        <v>18</v>
      </c>
      <c r="M9" s="37" t="s">
        <v>47</v>
      </c>
      <c r="N9" s="37" t="s">
        <v>17</v>
      </c>
      <c r="O9" s="37" t="s">
        <v>16</v>
      </c>
      <c r="P9" s="37" t="s">
        <v>20</v>
      </c>
      <c r="Q9" s="37" t="s">
        <v>15</v>
      </c>
      <c r="R9" s="38" t="s">
        <v>21</v>
      </c>
      <c r="S9" s="11"/>
      <c r="T9" s="82" t="s">
        <v>3</v>
      </c>
      <c r="U9" s="84" t="s">
        <v>69</v>
      </c>
      <c r="V9" s="84" t="s">
        <v>70</v>
      </c>
      <c r="W9" s="84" t="s">
        <v>71</v>
      </c>
      <c r="X9" s="84" t="s">
        <v>72</v>
      </c>
      <c r="Y9" s="84" t="s">
        <v>73</v>
      </c>
      <c r="Z9" s="80" t="s">
        <v>68</v>
      </c>
    </row>
    <row r="10" spans="1:27" x14ac:dyDescent="0.3">
      <c r="A10" s="66"/>
      <c r="C10" s="40"/>
      <c r="E10" s="42"/>
      <c r="F10" s="42"/>
      <c r="Q10" s="40"/>
      <c r="S10" s="65"/>
      <c r="T10" s="112"/>
      <c r="Z10" s="79" t="str">
        <f>IF(T10&lt;&gt;"",SUM(U10:Y10),"")</f>
        <v/>
      </c>
    </row>
    <row r="11" spans="1:27" x14ac:dyDescent="0.3">
      <c r="A11" s="66"/>
      <c r="C11" s="40"/>
      <c r="E11" s="42"/>
      <c r="F11" s="42"/>
      <c r="Q11" s="40"/>
      <c r="S11" s="65"/>
      <c r="T11" s="112"/>
      <c r="Z11" s="79" t="str">
        <f t="shared" ref="Z11:Z74" si="0">IF(T11&lt;&gt;"",SUM(U11:Y11),"")</f>
        <v/>
      </c>
    </row>
    <row r="12" spans="1:27" x14ac:dyDescent="0.3">
      <c r="A12" s="66"/>
      <c r="C12" s="40"/>
      <c r="E12" s="42"/>
      <c r="F12" s="42"/>
      <c r="Q12" s="40"/>
      <c r="S12" s="65"/>
      <c r="T12" s="112"/>
      <c r="Z12" s="79" t="str">
        <f t="shared" si="0"/>
        <v/>
      </c>
    </row>
    <row r="13" spans="1:27" x14ac:dyDescent="0.3">
      <c r="A13" s="66"/>
      <c r="C13" s="40"/>
      <c r="E13" s="42"/>
      <c r="F13" s="42"/>
      <c r="Q13" s="40"/>
      <c r="S13" s="65"/>
      <c r="T13" s="112"/>
      <c r="Z13" s="79" t="str">
        <f t="shared" si="0"/>
        <v/>
      </c>
    </row>
    <row r="14" spans="1:27" x14ac:dyDescent="0.3">
      <c r="A14" s="66"/>
      <c r="C14" s="40"/>
      <c r="E14" s="42"/>
      <c r="F14" s="42"/>
      <c r="Q14" s="40"/>
      <c r="S14" s="65"/>
      <c r="T14" s="112"/>
      <c r="Z14" s="79" t="str">
        <f t="shared" si="0"/>
        <v/>
      </c>
    </row>
    <row r="15" spans="1:27" x14ac:dyDescent="0.3">
      <c r="A15" s="66"/>
      <c r="C15" s="40"/>
      <c r="E15" s="42"/>
      <c r="F15" s="42"/>
      <c r="Q15" s="40"/>
      <c r="S15" s="65"/>
      <c r="T15" s="112"/>
      <c r="Z15" s="79" t="str">
        <f t="shared" si="0"/>
        <v/>
      </c>
    </row>
    <row r="16" spans="1:27" x14ac:dyDescent="0.3">
      <c r="A16" s="66"/>
      <c r="C16" s="40"/>
      <c r="E16" s="42"/>
      <c r="F16" s="42"/>
      <c r="Q16" s="40"/>
      <c r="S16" s="65"/>
      <c r="T16" s="112"/>
      <c r="Z16" s="79" t="str">
        <f t="shared" si="0"/>
        <v/>
      </c>
    </row>
    <row r="17" spans="1:26" x14ac:dyDescent="0.3">
      <c r="A17" s="66"/>
      <c r="C17" s="40"/>
      <c r="E17" s="42"/>
      <c r="F17" s="42"/>
      <c r="Q17" s="40"/>
      <c r="S17" s="65"/>
      <c r="T17" s="112"/>
      <c r="Z17" s="79" t="str">
        <f t="shared" si="0"/>
        <v/>
      </c>
    </row>
    <row r="18" spans="1:26" x14ac:dyDescent="0.3">
      <c r="A18" s="66"/>
      <c r="C18" s="40"/>
      <c r="E18" s="42"/>
      <c r="F18" s="42"/>
      <c r="Q18" s="40"/>
      <c r="S18" s="65"/>
      <c r="T18" s="112"/>
      <c r="Z18" s="79" t="str">
        <f t="shared" si="0"/>
        <v/>
      </c>
    </row>
    <row r="19" spans="1:26" x14ac:dyDescent="0.3">
      <c r="A19" s="70"/>
      <c r="E19" s="42"/>
      <c r="F19" s="42"/>
      <c r="S19" s="65"/>
      <c r="T19" s="112"/>
      <c r="Z19" s="79" t="str">
        <f t="shared" si="0"/>
        <v/>
      </c>
    </row>
    <row r="20" spans="1:26" x14ac:dyDescent="0.3">
      <c r="A20" s="70"/>
      <c r="E20" s="42"/>
      <c r="F20" s="42"/>
      <c r="S20" s="65"/>
      <c r="T20" s="112"/>
      <c r="Z20" s="79" t="str">
        <f t="shared" si="0"/>
        <v/>
      </c>
    </row>
    <row r="21" spans="1:26" x14ac:dyDescent="0.3">
      <c r="A21" s="66"/>
      <c r="E21" s="42"/>
      <c r="F21" s="42"/>
      <c r="S21" s="65"/>
      <c r="T21" s="112"/>
      <c r="Z21" s="79" t="str">
        <f t="shared" si="0"/>
        <v/>
      </c>
    </row>
    <row r="22" spans="1:26" x14ac:dyDescent="0.3">
      <c r="A22" s="66"/>
      <c r="E22" s="42"/>
      <c r="F22" s="42"/>
      <c r="S22" s="65"/>
      <c r="T22" s="112"/>
      <c r="Z22" s="79" t="str">
        <f t="shared" si="0"/>
        <v/>
      </c>
    </row>
    <row r="23" spans="1:26" x14ac:dyDescent="0.3">
      <c r="E23" s="42"/>
      <c r="F23" s="42"/>
      <c r="S23" s="65"/>
      <c r="T23" s="112"/>
      <c r="Z23" s="79" t="str">
        <f t="shared" si="0"/>
        <v/>
      </c>
    </row>
    <row r="24" spans="1:26" x14ac:dyDescent="0.3">
      <c r="E24" s="42"/>
      <c r="F24" s="42"/>
      <c r="S24" s="65"/>
      <c r="T24" s="112"/>
      <c r="Z24" s="79" t="str">
        <f t="shared" si="0"/>
        <v/>
      </c>
    </row>
    <row r="25" spans="1:26" x14ac:dyDescent="0.3">
      <c r="E25" s="42"/>
      <c r="F25" s="42"/>
      <c r="S25" s="65"/>
      <c r="T25" s="112"/>
      <c r="Z25" s="79" t="str">
        <f t="shared" si="0"/>
        <v/>
      </c>
    </row>
    <row r="26" spans="1:26" x14ac:dyDescent="0.3">
      <c r="E26" s="42"/>
      <c r="F26" s="42"/>
      <c r="T26" s="112"/>
      <c r="Z26" s="79" t="str">
        <f t="shared" si="0"/>
        <v/>
      </c>
    </row>
    <row r="27" spans="1:26" x14ac:dyDescent="0.3">
      <c r="E27" s="42"/>
      <c r="F27" s="42"/>
      <c r="T27" s="112"/>
      <c r="Z27" s="79" t="str">
        <f t="shared" si="0"/>
        <v/>
      </c>
    </row>
    <row r="28" spans="1:26" x14ac:dyDescent="0.3">
      <c r="E28" s="42"/>
      <c r="F28" s="42"/>
      <c r="T28" s="112"/>
      <c r="Z28" s="79" t="str">
        <f t="shared" si="0"/>
        <v/>
      </c>
    </row>
    <row r="29" spans="1:26" x14ac:dyDescent="0.3">
      <c r="E29" s="42"/>
      <c r="F29" s="42"/>
      <c r="T29" s="112"/>
      <c r="Z29" s="79" t="str">
        <f t="shared" si="0"/>
        <v/>
      </c>
    </row>
    <row r="30" spans="1:26" x14ac:dyDescent="0.3">
      <c r="E30" s="42"/>
      <c r="F30" s="42"/>
      <c r="T30" s="112"/>
      <c r="Z30" s="79" t="str">
        <f t="shared" si="0"/>
        <v/>
      </c>
    </row>
    <row r="31" spans="1:26" x14ac:dyDescent="0.3">
      <c r="E31" s="42"/>
      <c r="F31" s="42"/>
      <c r="T31" s="112"/>
      <c r="Z31" s="79" t="str">
        <f t="shared" si="0"/>
        <v/>
      </c>
    </row>
    <row r="32" spans="1:26" x14ac:dyDescent="0.3">
      <c r="E32" s="42"/>
      <c r="F32" s="42"/>
      <c r="T32" s="112"/>
      <c r="Z32" s="79" t="str">
        <f t="shared" si="0"/>
        <v/>
      </c>
    </row>
    <row r="33" spans="5:26" x14ac:dyDescent="0.3">
      <c r="E33" s="42"/>
      <c r="F33" s="42"/>
      <c r="T33" s="112"/>
      <c r="Z33" s="79" t="str">
        <f t="shared" si="0"/>
        <v/>
      </c>
    </row>
    <row r="34" spans="5:26" x14ac:dyDescent="0.3">
      <c r="E34" s="42"/>
      <c r="F34" s="42"/>
      <c r="T34" s="112"/>
      <c r="Z34" s="79" t="str">
        <f t="shared" si="0"/>
        <v/>
      </c>
    </row>
    <row r="35" spans="5:26" x14ac:dyDescent="0.3">
      <c r="E35" s="42"/>
      <c r="F35" s="42"/>
      <c r="T35" s="112"/>
      <c r="Z35" s="79" t="str">
        <f t="shared" si="0"/>
        <v/>
      </c>
    </row>
    <row r="36" spans="5:26" x14ac:dyDescent="0.3">
      <c r="E36" s="42"/>
      <c r="F36" s="42"/>
      <c r="T36" s="112"/>
      <c r="Z36" s="79" t="str">
        <f t="shared" si="0"/>
        <v/>
      </c>
    </row>
    <row r="37" spans="5:26" x14ac:dyDescent="0.3">
      <c r="E37" s="42"/>
      <c r="F37" s="42"/>
      <c r="T37" s="112"/>
      <c r="Z37" s="79" t="str">
        <f t="shared" si="0"/>
        <v/>
      </c>
    </row>
    <row r="38" spans="5:26" x14ac:dyDescent="0.3">
      <c r="E38" s="42"/>
      <c r="F38" s="42"/>
      <c r="T38" s="112"/>
      <c r="Z38" s="79" t="str">
        <f t="shared" si="0"/>
        <v/>
      </c>
    </row>
    <row r="39" spans="5:26" x14ac:dyDescent="0.3">
      <c r="E39" s="42"/>
      <c r="F39" s="42"/>
      <c r="T39" s="112"/>
      <c r="Z39" s="79" t="str">
        <f t="shared" si="0"/>
        <v/>
      </c>
    </row>
    <row r="40" spans="5:26" x14ac:dyDescent="0.3">
      <c r="E40" s="42"/>
      <c r="F40" s="42"/>
      <c r="T40" s="112"/>
      <c r="Z40" s="79" t="str">
        <f t="shared" si="0"/>
        <v/>
      </c>
    </row>
    <row r="41" spans="5:26" x14ac:dyDescent="0.3">
      <c r="E41" s="42"/>
      <c r="F41" s="42"/>
      <c r="T41" s="112"/>
      <c r="Z41" s="79" t="str">
        <f t="shared" si="0"/>
        <v/>
      </c>
    </row>
    <row r="42" spans="5:26" x14ac:dyDescent="0.3">
      <c r="E42" s="42"/>
      <c r="F42" s="42"/>
      <c r="T42" s="112"/>
      <c r="Z42" s="79" t="str">
        <f t="shared" si="0"/>
        <v/>
      </c>
    </row>
    <row r="43" spans="5:26" x14ac:dyDescent="0.3">
      <c r="E43" s="42"/>
      <c r="F43" s="42"/>
      <c r="T43" s="112"/>
      <c r="Z43" s="79" t="str">
        <f t="shared" si="0"/>
        <v/>
      </c>
    </row>
    <row r="44" spans="5:26" x14ac:dyDescent="0.3">
      <c r="E44" s="42"/>
      <c r="F44" s="42"/>
      <c r="T44" s="112"/>
      <c r="Z44" s="79" t="str">
        <f t="shared" si="0"/>
        <v/>
      </c>
    </row>
    <row r="45" spans="5:26" x14ac:dyDescent="0.3">
      <c r="E45" s="42"/>
      <c r="F45" s="42"/>
      <c r="T45" s="112"/>
      <c r="Z45" s="79" t="str">
        <f t="shared" si="0"/>
        <v/>
      </c>
    </row>
    <row r="46" spans="5:26" x14ac:dyDescent="0.3">
      <c r="E46" s="42"/>
      <c r="F46" s="42"/>
      <c r="T46" s="112"/>
      <c r="Z46" s="79" t="str">
        <f t="shared" si="0"/>
        <v/>
      </c>
    </row>
    <row r="47" spans="5:26" x14ac:dyDescent="0.3">
      <c r="E47" s="42"/>
      <c r="F47" s="42"/>
      <c r="T47" s="112"/>
      <c r="Z47" s="79" t="str">
        <f t="shared" si="0"/>
        <v/>
      </c>
    </row>
    <row r="48" spans="5:26" x14ac:dyDescent="0.3">
      <c r="E48" s="42"/>
      <c r="F48" s="42"/>
      <c r="T48" s="112"/>
      <c r="Z48" s="79" t="str">
        <f t="shared" si="0"/>
        <v/>
      </c>
    </row>
    <row r="49" spans="5:26" x14ac:dyDescent="0.3">
      <c r="E49" s="42"/>
      <c r="F49" s="42"/>
      <c r="T49" s="112"/>
      <c r="Z49" s="79" t="str">
        <f t="shared" si="0"/>
        <v/>
      </c>
    </row>
    <row r="50" spans="5:26" x14ac:dyDescent="0.3">
      <c r="E50" s="42"/>
      <c r="F50" s="42"/>
      <c r="T50" s="112"/>
      <c r="Z50" s="79" t="str">
        <f t="shared" si="0"/>
        <v/>
      </c>
    </row>
    <row r="51" spans="5:26" x14ac:dyDescent="0.3">
      <c r="E51" s="42"/>
      <c r="F51" s="42"/>
      <c r="T51" s="112"/>
      <c r="Z51" s="79" t="str">
        <f t="shared" si="0"/>
        <v/>
      </c>
    </row>
    <row r="52" spans="5:26" x14ac:dyDescent="0.3">
      <c r="E52" s="42"/>
      <c r="F52" s="42"/>
      <c r="T52" s="112"/>
      <c r="Z52" s="79" t="str">
        <f t="shared" si="0"/>
        <v/>
      </c>
    </row>
    <row r="53" spans="5:26" x14ac:dyDescent="0.3">
      <c r="E53" s="42"/>
      <c r="F53" s="42"/>
      <c r="T53" s="112"/>
      <c r="Z53" s="79" t="str">
        <f t="shared" si="0"/>
        <v/>
      </c>
    </row>
    <row r="54" spans="5:26" x14ac:dyDescent="0.3">
      <c r="E54" s="42"/>
      <c r="F54" s="42"/>
      <c r="T54" s="112"/>
      <c r="Z54" s="79" t="str">
        <f t="shared" si="0"/>
        <v/>
      </c>
    </row>
    <row r="55" spans="5:26" x14ac:dyDescent="0.3">
      <c r="E55" s="42"/>
      <c r="F55" s="42"/>
      <c r="T55" s="112"/>
      <c r="Z55" s="79" t="str">
        <f t="shared" si="0"/>
        <v/>
      </c>
    </row>
    <row r="56" spans="5:26" x14ac:dyDescent="0.3">
      <c r="E56" s="42"/>
      <c r="F56" s="42"/>
      <c r="T56" s="112"/>
      <c r="Z56" s="79" t="str">
        <f t="shared" si="0"/>
        <v/>
      </c>
    </row>
    <row r="57" spans="5:26" x14ac:dyDescent="0.3">
      <c r="E57" s="42"/>
      <c r="F57" s="42"/>
      <c r="T57" s="112"/>
      <c r="Z57" s="79" t="str">
        <f t="shared" si="0"/>
        <v/>
      </c>
    </row>
    <row r="58" spans="5:26" x14ac:dyDescent="0.3">
      <c r="E58" s="42"/>
      <c r="F58" s="42"/>
      <c r="T58" s="112"/>
      <c r="Z58" s="79" t="str">
        <f t="shared" si="0"/>
        <v/>
      </c>
    </row>
    <row r="59" spans="5:26" x14ac:dyDescent="0.3">
      <c r="E59" s="42"/>
      <c r="F59" s="42"/>
      <c r="T59" s="112"/>
      <c r="Z59" s="79" t="str">
        <f t="shared" si="0"/>
        <v/>
      </c>
    </row>
    <row r="60" spans="5:26" x14ac:dyDescent="0.3">
      <c r="E60" s="42"/>
      <c r="F60" s="42"/>
      <c r="T60" s="112"/>
      <c r="Z60" s="79" t="str">
        <f t="shared" si="0"/>
        <v/>
      </c>
    </row>
    <row r="61" spans="5:26" x14ac:dyDescent="0.3">
      <c r="E61" s="42"/>
      <c r="F61" s="42"/>
      <c r="T61" s="112"/>
      <c r="Z61" s="79" t="str">
        <f t="shared" si="0"/>
        <v/>
      </c>
    </row>
    <row r="62" spans="5:26" x14ac:dyDescent="0.3">
      <c r="E62" s="42"/>
      <c r="F62" s="42"/>
      <c r="T62" s="112"/>
      <c r="Z62" s="79" t="str">
        <f t="shared" si="0"/>
        <v/>
      </c>
    </row>
    <row r="63" spans="5:26" x14ac:dyDescent="0.3">
      <c r="E63" s="42"/>
      <c r="F63" s="42"/>
      <c r="T63" s="112"/>
      <c r="Z63" s="79" t="str">
        <f t="shared" si="0"/>
        <v/>
      </c>
    </row>
    <row r="64" spans="5:26" x14ac:dyDescent="0.3">
      <c r="E64" s="42"/>
      <c r="F64" s="42"/>
      <c r="T64" s="112"/>
      <c r="Z64" s="79" t="str">
        <f t="shared" si="0"/>
        <v/>
      </c>
    </row>
    <row r="65" spans="5:26" x14ac:dyDescent="0.3">
      <c r="E65" s="42"/>
      <c r="F65" s="42"/>
      <c r="T65" s="112"/>
      <c r="Z65" s="79" t="str">
        <f t="shared" si="0"/>
        <v/>
      </c>
    </row>
    <row r="66" spans="5:26" x14ac:dyDescent="0.3">
      <c r="E66" s="42"/>
      <c r="F66" s="42"/>
      <c r="T66" s="112"/>
      <c r="Z66" s="79" t="str">
        <f t="shared" si="0"/>
        <v/>
      </c>
    </row>
    <row r="67" spans="5:26" x14ac:dyDescent="0.3">
      <c r="E67" s="42"/>
      <c r="F67" s="42"/>
      <c r="T67" s="112"/>
      <c r="Z67" s="79" t="str">
        <f t="shared" si="0"/>
        <v/>
      </c>
    </row>
    <row r="68" spans="5:26" x14ac:dyDescent="0.3">
      <c r="E68" s="42"/>
      <c r="F68" s="42"/>
      <c r="T68" s="112"/>
      <c r="Z68" s="79" t="str">
        <f t="shared" si="0"/>
        <v/>
      </c>
    </row>
    <row r="69" spans="5:26" x14ac:dyDescent="0.3">
      <c r="E69" s="42"/>
      <c r="F69" s="42"/>
      <c r="T69" s="112"/>
      <c r="Z69" s="79" t="str">
        <f t="shared" si="0"/>
        <v/>
      </c>
    </row>
    <row r="70" spans="5:26" x14ac:dyDescent="0.3">
      <c r="E70" s="42"/>
      <c r="F70" s="42"/>
      <c r="T70" s="112"/>
      <c r="Z70" s="79" t="str">
        <f t="shared" si="0"/>
        <v/>
      </c>
    </row>
    <row r="71" spans="5:26" x14ac:dyDescent="0.3">
      <c r="E71" s="42"/>
      <c r="F71" s="42"/>
      <c r="T71" s="112"/>
      <c r="Z71" s="79" t="str">
        <f t="shared" si="0"/>
        <v/>
      </c>
    </row>
    <row r="72" spans="5:26" x14ac:dyDescent="0.3">
      <c r="E72" s="42"/>
      <c r="F72" s="42"/>
      <c r="T72" s="112"/>
      <c r="Z72" s="79" t="str">
        <f t="shared" si="0"/>
        <v/>
      </c>
    </row>
    <row r="73" spans="5:26" x14ac:dyDescent="0.3">
      <c r="E73" s="42"/>
      <c r="F73" s="42"/>
      <c r="T73" s="112"/>
      <c r="Z73" s="79" t="str">
        <f t="shared" si="0"/>
        <v/>
      </c>
    </row>
    <row r="74" spans="5:26" x14ac:dyDescent="0.3">
      <c r="E74" s="42"/>
      <c r="F74" s="42"/>
      <c r="T74" s="112"/>
      <c r="Z74" s="79" t="str">
        <f t="shared" si="0"/>
        <v/>
      </c>
    </row>
    <row r="75" spans="5:26" x14ac:dyDescent="0.3">
      <c r="E75" s="42"/>
      <c r="F75" s="42"/>
      <c r="T75" s="112"/>
      <c r="Z75" s="79" t="str">
        <f t="shared" ref="Z75:Z109" si="1">IF(T75&lt;&gt;"",SUM(U75:Y75),"")</f>
        <v/>
      </c>
    </row>
    <row r="76" spans="5:26" x14ac:dyDescent="0.3">
      <c r="E76" s="42"/>
      <c r="F76" s="42"/>
      <c r="T76" s="112"/>
      <c r="Z76" s="79" t="str">
        <f t="shared" si="1"/>
        <v/>
      </c>
    </row>
    <row r="77" spans="5:26" x14ac:dyDescent="0.3">
      <c r="E77" s="42"/>
      <c r="F77" s="42"/>
      <c r="T77" s="112"/>
      <c r="Z77" s="79" t="str">
        <f t="shared" si="1"/>
        <v/>
      </c>
    </row>
    <row r="78" spans="5:26" x14ac:dyDescent="0.3">
      <c r="E78" s="42"/>
      <c r="F78" s="42"/>
      <c r="T78" s="112"/>
      <c r="Z78" s="79" t="str">
        <f t="shared" si="1"/>
        <v/>
      </c>
    </row>
    <row r="79" spans="5:26" x14ac:dyDescent="0.3">
      <c r="E79" s="42"/>
      <c r="F79" s="42"/>
      <c r="T79" s="112"/>
      <c r="Z79" s="79" t="str">
        <f t="shared" si="1"/>
        <v/>
      </c>
    </row>
    <row r="80" spans="5:26" x14ac:dyDescent="0.3">
      <c r="E80" s="42"/>
      <c r="F80" s="42"/>
      <c r="T80" s="112"/>
      <c r="Z80" s="79" t="str">
        <f t="shared" si="1"/>
        <v/>
      </c>
    </row>
    <row r="81" spans="5:26" x14ac:dyDescent="0.3">
      <c r="E81" s="42"/>
      <c r="F81" s="42"/>
      <c r="T81" s="112"/>
      <c r="Z81" s="79" t="str">
        <f t="shared" si="1"/>
        <v/>
      </c>
    </row>
    <row r="82" spans="5:26" x14ac:dyDescent="0.3">
      <c r="E82" s="42"/>
      <c r="F82" s="42"/>
      <c r="T82" s="112"/>
      <c r="Z82" s="79" t="str">
        <f t="shared" si="1"/>
        <v/>
      </c>
    </row>
    <row r="83" spans="5:26" x14ac:dyDescent="0.3">
      <c r="E83" s="42"/>
      <c r="F83" s="42"/>
      <c r="T83" s="112"/>
      <c r="Z83" s="79" t="str">
        <f t="shared" si="1"/>
        <v/>
      </c>
    </row>
    <row r="84" spans="5:26" x14ac:dyDescent="0.3">
      <c r="E84" s="42"/>
      <c r="F84" s="42"/>
      <c r="T84" s="112"/>
      <c r="Z84" s="79" t="str">
        <f t="shared" si="1"/>
        <v/>
      </c>
    </row>
    <row r="85" spans="5:26" x14ac:dyDescent="0.3">
      <c r="E85" s="42"/>
      <c r="F85" s="42"/>
      <c r="T85" s="112"/>
      <c r="Z85" s="79" t="str">
        <f t="shared" si="1"/>
        <v/>
      </c>
    </row>
    <row r="86" spans="5:26" x14ac:dyDescent="0.3">
      <c r="E86" s="42"/>
      <c r="F86" s="42"/>
      <c r="T86" s="112"/>
      <c r="Z86" s="79" t="str">
        <f t="shared" si="1"/>
        <v/>
      </c>
    </row>
    <row r="87" spans="5:26" x14ac:dyDescent="0.3">
      <c r="E87" s="42"/>
      <c r="F87" s="42"/>
      <c r="T87" s="112"/>
      <c r="Z87" s="79" t="str">
        <f t="shared" si="1"/>
        <v/>
      </c>
    </row>
    <row r="88" spans="5:26" x14ac:dyDescent="0.3">
      <c r="E88" s="42"/>
      <c r="F88" s="42"/>
      <c r="T88" s="112"/>
      <c r="Z88" s="79" t="str">
        <f t="shared" si="1"/>
        <v/>
      </c>
    </row>
    <row r="89" spans="5:26" x14ac:dyDescent="0.3">
      <c r="E89" s="42"/>
      <c r="F89" s="42"/>
      <c r="T89" s="112"/>
      <c r="Z89" s="79" t="str">
        <f t="shared" si="1"/>
        <v/>
      </c>
    </row>
    <row r="90" spans="5:26" x14ac:dyDescent="0.3">
      <c r="E90" s="42"/>
      <c r="F90" s="42"/>
      <c r="T90" s="112"/>
      <c r="Z90" s="79" t="str">
        <f t="shared" si="1"/>
        <v/>
      </c>
    </row>
    <row r="91" spans="5:26" x14ac:dyDescent="0.3">
      <c r="E91" s="42"/>
      <c r="F91" s="42"/>
      <c r="T91" s="112"/>
      <c r="Z91" s="79" t="str">
        <f t="shared" si="1"/>
        <v/>
      </c>
    </row>
    <row r="92" spans="5:26" x14ac:dyDescent="0.3">
      <c r="E92" s="42"/>
      <c r="F92" s="42"/>
      <c r="T92" s="112"/>
      <c r="Z92" s="79" t="str">
        <f t="shared" si="1"/>
        <v/>
      </c>
    </row>
    <row r="93" spans="5:26" x14ac:dyDescent="0.3">
      <c r="E93" s="42"/>
      <c r="F93" s="42"/>
      <c r="T93" s="112"/>
      <c r="Z93" s="79" t="str">
        <f t="shared" si="1"/>
        <v/>
      </c>
    </row>
    <row r="94" spans="5:26" x14ac:dyDescent="0.3">
      <c r="E94" s="42"/>
      <c r="F94" s="42"/>
      <c r="T94" s="112"/>
      <c r="Z94" s="79" t="str">
        <f t="shared" si="1"/>
        <v/>
      </c>
    </row>
    <row r="95" spans="5:26" x14ac:dyDescent="0.3">
      <c r="E95" s="42"/>
      <c r="F95" s="42"/>
      <c r="T95" s="112"/>
      <c r="Z95" s="79" t="str">
        <f t="shared" si="1"/>
        <v/>
      </c>
    </row>
    <row r="96" spans="5:26" x14ac:dyDescent="0.3">
      <c r="E96" s="42"/>
      <c r="F96" s="42"/>
      <c r="T96" s="112"/>
      <c r="Z96" s="79" t="str">
        <f t="shared" si="1"/>
        <v/>
      </c>
    </row>
    <row r="97" spans="5:26" x14ac:dyDescent="0.3">
      <c r="E97" s="42"/>
      <c r="F97" s="42"/>
      <c r="T97" s="112"/>
      <c r="Z97" s="79" t="str">
        <f t="shared" si="1"/>
        <v/>
      </c>
    </row>
    <row r="98" spans="5:26" x14ac:dyDescent="0.3">
      <c r="E98" s="42"/>
      <c r="F98" s="42"/>
      <c r="T98" s="112"/>
      <c r="Z98" s="79" t="str">
        <f t="shared" si="1"/>
        <v/>
      </c>
    </row>
    <row r="99" spans="5:26" x14ac:dyDescent="0.3">
      <c r="E99" s="42"/>
      <c r="F99" s="42"/>
      <c r="T99" s="112"/>
      <c r="Z99" s="79" t="str">
        <f t="shared" si="1"/>
        <v/>
      </c>
    </row>
    <row r="100" spans="5:26" x14ac:dyDescent="0.3">
      <c r="E100" s="42"/>
      <c r="F100" s="42"/>
      <c r="T100" s="112"/>
      <c r="Z100" s="79" t="str">
        <f t="shared" si="1"/>
        <v/>
      </c>
    </row>
    <row r="101" spans="5:26" x14ac:dyDescent="0.3">
      <c r="E101" s="42"/>
      <c r="F101" s="42"/>
      <c r="T101" s="112"/>
      <c r="Z101" s="79" t="str">
        <f t="shared" si="1"/>
        <v/>
      </c>
    </row>
    <row r="102" spans="5:26" x14ac:dyDescent="0.3">
      <c r="E102" s="42"/>
      <c r="F102" s="42"/>
      <c r="T102" s="112"/>
      <c r="Z102" s="79" t="str">
        <f t="shared" si="1"/>
        <v/>
      </c>
    </row>
    <row r="103" spans="5:26" x14ac:dyDescent="0.3">
      <c r="E103" s="42"/>
      <c r="F103" s="42"/>
      <c r="T103" s="112"/>
      <c r="Z103" s="79" t="str">
        <f t="shared" si="1"/>
        <v/>
      </c>
    </row>
    <row r="104" spans="5:26" x14ac:dyDescent="0.3">
      <c r="E104" s="42"/>
      <c r="F104" s="42"/>
      <c r="T104" s="112"/>
      <c r="Z104" s="79" t="str">
        <f t="shared" si="1"/>
        <v/>
      </c>
    </row>
    <row r="105" spans="5:26" x14ac:dyDescent="0.3">
      <c r="E105" s="42"/>
      <c r="F105" s="42"/>
      <c r="T105" s="112"/>
      <c r="Z105" s="79" t="str">
        <f t="shared" si="1"/>
        <v/>
      </c>
    </row>
    <row r="106" spans="5:26" x14ac:dyDescent="0.3">
      <c r="E106" s="42"/>
      <c r="F106" s="42"/>
      <c r="T106" s="112"/>
      <c r="Z106" s="79" t="str">
        <f t="shared" si="1"/>
        <v/>
      </c>
    </row>
    <row r="107" spans="5:26" x14ac:dyDescent="0.3">
      <c r="E107" s="42"/>
      <c r="F107" s="42"/>
      <c r="T107" s="112"/>
      <c r="Z107" s="79" t="str">
        <f t="shared" si="1"/>
        <v/>
      </c>
    </row>
    <row r="108" spans="5:26" x14ac:dyDescent="0.3">
      <c r="E108" s="42"/>
      <c r="F108" s="42"/>
      <c r="T108" s="112"/>
      <c r="Z108" s="79" t="str">
        <f t="shared" si="1"/>
        <v/>
      </c>
    </row>
    <row r="109" spans="5:26" x14ac:dyDescent="0.3">
      <c r="E109" s="42"/>
      <c r="F109" s="42"/>
      <c r="T109" s="112"/>
      <c r="Z109" s="79" t="str">
        <f t="shared" si="1"/>
        <v/>
      </c>
    </row>
    <row r="110" spans="5:26" x14ac:dyDescent="0.3">
      <c r="E110" s="42"/>
      <c r="F110" s="42"/>
      <c r="T110" s="112"/>
    </row>
    <row r="111" spans="5:26" x14ac:dyDescent="0.3">
      <c r="E111" s="42"/>
      <c r="F111" s="42"/>
    </row>
    <row r="112" spans="5:26" x14ac:dyDescent="0.3">
      <c r="E112" s="42"/>
      <c r="F112" s="42"/>
    </row>
    <row r="113" spans="5:6" x14ac:dyDescent="0.3">
      <c r="E113" s="42"/>
      <c r="F113" s="42"/>
    </row>
    <row r="114" spans="5:6" x14ac:dyDescent="0.3">
      <c r="E114" s="42"/>
      <c r="F114" s="42"/>
    </row>
    <row r="115" spans="5:6" x14ac:dyDescent="0.3">
      <c r="E115" s="42"/>
      <c r="F115" s="42"/>
    </row>
    <row r="116" spans="5:6" x14ac:dyDescent="0.3">
      <c r="E116" s="42"/>
      <c r="F116" s="42"/>
    </row>
    <row r="117" spans="5:6" x14ac:dyDescent="0.3">
      <c r="E117" s="42"/>
      <c r="F117" s="42"/>
    </row>
    <row r="118" spans="5:6" x14ac:dyDescent="0.3">
      <c r="E118" s="42"/>
      <c r="F118" s="42"/>
    </row>
    <row r="119" spans="5:6" x14ac:dyDescent="0.3">
      <c r="E119" s="42"/>
      <c r="F119" s="42"/>
    </row>
    <row r="120" spans="5:6" x14ac:dyDescent="0.3">
      <c r="E120" s="42"/>
      <c r="F120" s="42"/>
    </row>
    <row r="121" spans="5:6" x14ac:dyDescent="0.3">
      <c r="E121" s="42"/>
      <c r="F121" s="42"/>
    </row>
    <row r="122" spans="5:6" x14ac:dyDescent="0.3">
      <c r="E122" s="42"/>
      <c r="F122" s="42"/>
    </row>
    <row r="123" spans="5:6" x14ac:dyDescent="0.3">
      <c r="E123" s="42"/>
      <c r="F123" s="42"/>
    </row>
    <row r="124" spans="5:6" x14ac:dyDescent="0.3">
      <c r="E124" s="42"/>
      <c r="F124" s="42"/>
    </row>
    <row r="125" spans="5:6" x14ac:dyDescent="0.3">
      <c r="E125" s="42"/>
      <c r="F125" s="42"/>
    </row>
    <row r="126" spans="5:6" x14ac:dyDescent="0.3">
      <c r="E126" s="42"/>
      <c r="F126" s="42"/>
    </row>
    <row r="127" spans="5:6" x14ac:dyDescent="0.3">
      <c r="E127" s="42"/>
      <c r="F127" s="42"/>
    </row>
    <row r="128" spans="5:6" x14ac:dyDescent="0.3">
      <c r="E128" s="42"/>
      <c r="F128" s="42"/>
    </row>
    <row r="129" spans="5:6" x14ac:dyDescent="0.3">
      <c r="E129" s="42"/>
      <c r="F129" s="42"/>
    </row>
    <row r="130" spans="5:6" x14ac:dyDescent="0.3">
      <c r="E130" s="42"/>
      <c r="F130" s="42"/>
    </row>
    <row r="131" spans="5:6" x14ac:dyDescent="0.3">
      <c r="E131" s="42"/>
      <c r="F131" s="42"/>
    </row>
    <row r="132" spans="5:6" x14ac:dyDescent="0.3">
      <c r="E132" s="42"/>
      <c r="F132" s="42"/>
    </row>
    <row r="133" spans="5:6" x14ac:dyDescent="0.3">
      <c r="E133" s="42"/>
      <c r="F133" s="42"/>
    </row>
    <row r="134" spans="5:6" x14ac:dyDescent="0.3">
      <c r="E134" s="42"/>
      <c r="F134" s="42"/>
    </row>
    <row r="135" spans="5:6" x14ac:dyDescent="0.3">
      <c r="E135" s="42"/>
      <c r="F135" s="42"/>
    </row>
    <row r="136" spans="5:6" x14ac:dyDescent="0.3">
      <c r="E136" s="42"/>
      <c r="F136" s="42"/>
    </row>
    <row r="137" spans="5:6" x14ac:dyDescent="0.3">
      <c r="E137" s="42"/>
      <c r="F137" s="42"/>
    </row>
    <row r="138" spans="5:6" x14ac:dyDescent="0.3">
      <c r="E138" s="42"/>
      <c r="F138" s="42"/>
    </row>
    <row r="139" spans="5:6" x14ac:dyDescent="0.3">
      <c r="E139" s="42"/>
      <c r="F139" s="42"/>
    </row>
    <row r="140" spans="5:6" x14ac:dyDescent="0.3">
      <c r="E140" s="42"/>
      <c r="F140" s="42"/>
    </row>
    <row r="141" spans="5:6" x14ac:dyDescent="0.3">
      <c r="E141" s="42"/>
      <c r="F141" s="42"/>
    </row>
    <row r="142" spans="5:6" x14ac:dyDescent="0.3">
      <c r="E142" s="42"/>
      <c r="F142" s="42"/>
    </row>
    <row r="143" spans="5:6" x14ac:dyDescent="0.3">
      <c r="E143" s="42"/>
      <c r="F143" s="42"/>
    </row>
    <row r="144" spans="5:6" x14ac:dyDescent="0.3">
      <c r="E144" s="42"/>
      <c r="F144" s="42"/>
    </row>
    <row r="145" spans="5:6" x14ac:dyDescent="0.3">
      <c r="E145" s="42"/>
      <c r="F145" s="42"/>
    </row>
    <row r="146" spans="5:6" x14ac:dyDescent="0.3">
      <c r="E146" s="42"/>
      <c r="F146" s="42"/>
    </row>
    <row r="147" spans="5:6" x14ac:dyDescent="0.3">
      <c r="E147" s="42"/>
      <c r="F147" s="42"/>
    </row>
    <row r="148" spans="5:6" x14ac:dyDescent="0.3">
      <c r="E148" s="42"/>
      <c r="F148" s="42"/>
    </row>
    <row r="149" spans="5:6" x14ac:dyDescent="0.3">
      <c r="E149" s="42"/>
      <c r="F149" s="42"/>
    </row>
    <row r="150" spans="5:6" x14ac:dyDescent="0.3">
      <c r="E150" s="42"/>
      <c r="F150" s="42"/>
    </row>
    <row r="151" spans="5:6" x14ac:dyDescent="0.3">
      <c r="E151" s="42"/>
      <c r="F151" s="42"/>
    </row>
    <row r="152" spans="5:6" x14ac:dyDescent="0.3">
      <c r="E152" s="42"/>
      <c r="F152" s="42"/>
    </row>
    <row r="153" spans="5:6" x14ac:dyDescent="0.3">
      <c r="E153" s="42"/>
      <c r="F153" s="42"/>
    </row>
    <row r="154" spans="5:6" x14ac:dyDescent="0.3">
      <c r="E154" s="42"/>
      <c r="F154" s="42"/>
    </row>
    <row r="155" spans="5:6" x14ac:dyDescent="0.3">
      <c r="E155" s="42"/>
      <c r="F155" s="42"/>
    </row>
    <row r="156" spans="5:6" x14ac:dyDescent="0.3">
      <c r="E156" s="42"/>
      <c r="F156" s="42"/>
    </row>
    <row r="157" spans="5:6" x14ac:dyDescent="0.3">
      <c r="E157" s="42"/>
      <c r="F157" s="42"/>
    </row>
    <row r="158" spans="5:6" x14ac:dyDescent="0.3">
      <c r="E158" s="42"/>
      <c r="F158" s="42"/>
    </row>
    <row r="159" spans="5:6" x14ac:dyDescent="0.3">
      <c r="E159" s="42"/>
      <c r="F159" s="42"/>
    </row>
    <row r="160" spans="5:6" x14ac:dyDescent="0.3">
      <c r="E160" s="42"/>
      <c r="F160" s="42"/>
    </row>
    <row r="161" spans="5:6" x14ac:dyDescent="0.3">
      <c r="E161" s="42"/>
      <c r="F161" s="42"/>
    </row>
    <row r="162" spans="5:6" x14ac:dyDescent="0.3">
      <c r="E162" s="42"/>
      <c r="F162" s="42"/>
    </row>
    <row r="163" spans="5:6" x14ac:dyDescent="0.3">
      <c r="E163" s="42"/>
      <c r="F163" s="42"/>
    </row>
    <row r="164" spans="5:6" x14ac:dyDescent="0.3">
      <c r="E164" s="42"/>
      <c r="F164" s="42"/>
    </row>
    <row r="165" spans="5:6" x14ac:dyDescent="0.3">
      <c r="E165" s="42"/>
      <c r="F165" s="42"/>
    </row>
    <row r="166" spans="5:6" x14ac:dyDescent="0.3">
      <c r="E166" s="42"/>
      <c r="F166" s="42"/>
    </row>
    <row r="167" spans="5:6" x14ac:dyDescent="0.3">
      <c r="E167" s="42"/>
      <c r="F167" s="42"/>
    </row>
    <row r="168" spans="5:6" x14ac:dyDescent="0.3">
      <c r="E168" s="42"/>
      <c r="F168" s="42"/>
    </row>
    <row r="169" spans="5:6" x14ac:dyDescent="0.3">
      <c r="E169" s="42"/>
      <c r="F169" s="42"/>
    </row>
    <row r="170" spans="5:6" x14ac:dyDescent="0.3">
      <c r="E170" s="42"/>
      <c r="F170" s="42"/>
    </row>
    <row r="171" spans="5:6" x14ac:dyDescent="0.3">
      <c r="E171" s="42"/>
      <c r="F171" s="42"/>
    </row>
    <row r="172" spans="5:6" x14ac:dyDescent="0.3">
      <c r="E172" s="42"/>
      <c r="F172" s="42"/>
    </row>
    <row r="173" spans="5:6" x14ac:dyDescent="0.3">
      <c r="E173" s="42"/>
      <c r="F173" s="42"/>
    </row>
    <row r="174" spans="5:6" x14ac:dyDescent="0.3">
      <c r="E174" s="42"/>
      <c r="F174" s="42"/>
    </row>
    <row r="175" spans="5:6" x14ac:dyDescent="0.3">
      <c r="E175" s="42"/>
      <c r="F175" s="42"/>
    </row>
    <row r="176" spans="5:6" x14ac:dyDescent="0.3">
      <c r="E176" s="42"/>
      <c r="F176" s="42"/>
    </row>
    <row r="177" spans="5:6" x14ac:dyDescent="0.3">
      <c r="E177" s="42"/>
      <c r="F177" s="42"/>
    </row>
    <row r="178" spans="5:6" x14ac:dyDescent="0.3">
      <c r="E178" s="42"/>
      <c r="F178" s="42"/>
    </row>
    <row r="179" spans="5:6" x14ac:dyDescent="0.3">
      <c r="E179" s="42"/>
      <c r="F179" s="42"/>
    </row>
    <row r="180" spans="5:6" x14ac:dyDescent="0.3">
      <c r="E180" s="42"/>
      <c r="F180" s="42"/>
    </row>
    <row r="181" spans="5:6" x14ac:dyDescent="0.3">
      <c r="E181" s="42"/>
      <c r="F181" s="42"/>
    </row>
    <row r="182" spans="5:6" x14ac:dyDescent="0.3">
      <c r="E182" s="42"/>
      <c r="F182" s="42"/>
    </row>
    <row r="183" spans="5:6" x14ac:dyDescent="0.3">
      <c r="E183" s="42"/>
      <c r="F183" s="42"/>
    </row>
    <row r="184" spans="5:6" x14ac:dyDescent="0.3">
      <c r="E184" s="42"/>
      <c r="F184" s="42"/>
    </row>
    <row r="185" spans="5:6" x14ac:dyDescent="0.3">
      <c r="E185" s="42"/>
      <c r="F185" s="42"/>
    </row>
    <row r="186" spans="5:6" x14ac:dyDescent="0.3">
      <c r="E186" s="42"/>
      <c r="F186" s="42"/>
    </row>
    <row r="187" spans="5:6" x14ac:dyDescent="0.3">
      <c r="E187" s="42"/>
      <c r="F187" s="42"/>
    </row>
    <row r="188" spans="5:6" x14ac:dyDescent="0.3">
      <c r="E188" s="42"/>
      <c r="F188" s="42"/>
    </row>
    <row r="189" spans="5:6" x14ac:dyDescent="0.3">
      <c r="E189" s="42"/>
      <c r="F189" s="42"/>
    </row>
    <row r="190" spans="5:6" x14ac:dyDescent="0.3">
      <c r="E190" s="42"/>
      <c r="F190" s="42"/>
    </row>
    <row r="191" spans="5:6" x14ac:dyDescent="0.3">
      <c r="E191" s="42"/>
      <c r="F191" s="42"/>
    </row>
    <row r="192" spans="5:6" x14ac:dyDescent="0.3">
      <c r="E192" s="42"/>
      <c r="F192" s="42"/>
    </row>
    <row r="193" spans="5:6" x14ac:dyDescent="0.3">
      <c r="E193" s="42"/>
      <c r="F193" s="42"/>
    </row>
    <row r="194" spans="5:6" x14ac:dyDescent="0.3">
      <c r="E194" s="42"/>
      <c r="F194" s="42"/>
    </row>
    <row r="195" spans="5:6" x14ac:dyDescent="0.3">
      <c r="E195" s="42"/>
      <c r="F195" s="42"/>
    </row>
    <row r="196" spans="5:6" x14ac:dyDescent="0.3">
      <c r="E196" s="42"/>
      <c r="F196" s="42"/>
    </row>
    <row r="197" spans="5:6" x14ac:dyDescent="0.3">
      <c r="E197" s="42"/>
      <c r="F197" s="42"/>
    </row>
    <row r="198" spans="5:6" x14ac:dyDescent="0.3">
      <c r="E198" s="42"/>
      <c r="F198" s="42"/>
    </row>
    <row r="199" spans="5:6" x14ac:dyDescent="0.3">
      <c r="E199" s="42"/>
      <c r="F199" s="42"/>
    </row>
    <row r="200" spans="5:6" x14ac:dyDescent="0.3">
      <c r="E200" s="42"/>
      <c r="F200" s="42"/>
    </row>
    <row r="201" spans="5:6" x14ac:dyDescent="0.3">
      <c r="E201" s="42"/>
      <c r="F201" s="42"/>
    </row>
    <row r="202" spans="5:6" x14ac:dyDescent="0.3">
      <c r="E202" s="42"/>
      <c r="F202" s="42"/>
    </row>
    <row r="203" spans="5:6" x14ac:dyDescent="0.3">
      <c r="E203" s="42"/>
      <c r="F203" s="42"/>
    </row>
    <row r="204" spans="5:6" x14ac:dyDescent="0.3">
      <c r="E204" s="42"/>
      <c r="F204" s="42"/>
    </row>
    <row r="205" spans="5:6" x14ac:dyDescent="0.3">
      <c r="E205" s="42"/>
      <c r="F205" s="42"/>
    </row>
    <row r="206" spans="5:6" x14ac:dyDescent="0.3">
      <c r="E206" s="42"/>
      <c r="F206" s="42"/>
    </row>
    <row r="207" spans="5:6" x14ac:dyDescent="0.3">
      <c r="E207" s="42"/>
      <c r="F207" s="42"/>
    </row>
    <row r="208" spans="5:6" x14ac:dyDescent="0.3">
      <c r="E208" s="42"/>
      <c r="F208" s="42"/>
    </row>
    <row r="209" spans="5:6" x14ac:dyDescent="0.3">
      <c r="E209" s="42"/>
      <c r="F209" s="42"/>
    </row>
    <row r="210" spans="5:6" x14ac:dyDescent="0.3">
      <c r="E210" s="42"/>
      <c r="F210" s="42"/>
    </row>
    <row r="211" spans="5:6" x14ac:dyDescent="0.3">
      <c r="E211" s="42"/>
      <c r="F211" s="42"/>
    </row>
    <row r="212" spans="5:6" x14ac:dyDescent="0.3">
      <c r="E212" s="42"/>
      <c r="F212" s="42"/>
    </row>
    <row r="213" spans="5:6" x14ac:dyDescent="0.3">
      <c r="E213" s="42"/>
      <c r="F213" s="42"/>
    </row>
    <row r="214" spans="5:6" x14ac:dyDescent="0.3">
      <c r="E214" s="42"/>
      <c r="F214" s="42"/>
    </row>
    <row r="215" spans="5:6" x14ac:dyDescent="0.3">
      <c r="E215" s="42"/>
      <c r="F215" s="42"/>
    </row>
    <row r="216" spans="5:6" x14ac:dyDescent="0.3">
      <c r="E216" s="42"/>
      <c r="F216" s="42"/>
    </row>
    <row r="217" spans="5:6" x14ac:dyDescent="0.3">
      <c r="E217" s="42"/>
      <c r="F217" s="42"/>
    </row>
    <row r="218" spans="5:6" x14ac:dyDescent="0.3">
      <c r="E218" s="42"/>
      <c r="F218" s="42"/>
    </row>
    <row r="219" spans="5:6" x14ac:dyDescent="0.3">
      <c r="E219" s="42"/>
      <c r="F219" s="42"/>
    </row>
    <row r="220" spans="5:6" x14ac:dyDescent="0.3">
      <c r="E220" s="42"/>
      <c r="F220" s="42"/>
    </row>
    <row r="221" spans="5:6" x14ac:dyDescent="0.3">
      <c r="E221" s="42"/>
      <c r="F221" s="42"/>
    </row>
    <row r="222" spans="5:6" x14ac:dyDescent="0.3">
      <c r="E222" s="42"/>
      <c r="F222" s="42"/>
    </row>
    <row r="223" spans="5:6" x14ac:dyDescent="0.3">
      <c r="E223" s="42"/>
      <c r="F223" s="42"/>
    </row>
    <row r="224" spans="5:6" x14ac:dyDescent="0.3">
      <c r="E224" s="42"/>
      <c r="F224" s="42"/>
    </row>
    <row r="225" spans="5:6" x14ac:dyDescent="0.3">
      <c r="E225" s="42"/>
      <c r="F225" s="42"/>
    </row>
    <row r="226" spans="5:6" x14ac:dyDescent="0.3">
      <c r="E226" s="42"/>
      <c r="F226" s="42"/>
    </row>
    <row r="227" spans="5:6" x14ac:dyDescent="0.3">
      <c r="E227" s="42"/>
      <c r="F227" s="42"/>
    </row>
    <row r="228" spans="5:6" x14ac:dyDescent="0.3">
      <c r="E228" s="42"/>
      <c r="F228" s="42"/>
    </row>
    <row r="229" spans="5:6" x14ac:dyDescent="0.3">
      <c r="E229" s="42"/>
      <c r="F229" s="42"/>
    </row>
    <row r="230" spans="5:6" x14ac:dyDescent="0.3">
      <c r="E230" s="42"/>
      <c r="F230" s="42"/>
    </row>
    <row r="231" spans="5:6" x14ac:dyDescent="0.3">
      <c r="E231" s="42"/>
      <c r="F231" s="42"/>
    </row>
    <row r="232" spans="5:6" x14ac:dyDescent="0.3">
      <c r="E232" s="42"/>
      <c r="F232" s="42"/>
    </row>
    <row r="233" spans="5:6" x14ac:dyDescent="0.3">
      <c r="E233" s="42"/>
      <c r="F233" s="42"/>
    </row>
    <row r="234" spans="5:6" x14ac:dyDescent="0.3">
      <c r="E234" s="42"/>
      <c r="F234" s="42"/>
    </row>
    <row r="235" spans="5:6" x14ac:dyDescent="0.3">
      <c r="E235" s="42"/>
      <c r="F235" s="42"/>
    </row>
    <row r="236" spans="5:6" x14ac:dyDescent="0.3">
      <c r="E236" s="42"/>
      <c r="F236" s="42"/>
    </row>
    <row r="237" spans="5:6" x14ac:dyDescent="0.3">
      <c r="E237" s="42"/>
      <c r="F237" s="42"/>
    </row>
    <row r="238" spans="5:6" x14ac:dyDescent="0.3">
      <c r="E238" s="42"/>
      <c r="F238" s="42"/>
    </row>
    <row r="239" spans="5:6" x14ac:dyDescent="0.3">
      <c r="E239" s="42"/>
      <c r="F239" s="42"/>
    </row>
    <row r="240" spans="5:6" x14ac:dyDescent="0.3">
      <c r="E240" s="42"/>
      <c r="F240" s="42"/>
    </row>
    <row r="241" spans="5:6" x14ac:dyDescent="0.3">
      <c r="E241" s="42"/>
      <c r="F241" s="42"/>
    </row>
    <row r="242" spans="5:6" x14ac:dyDescent="0.3">
      <c r="E242" s="42"/>
      <c r="F242" s="42"/>
    </row>
    <row r="243" spans="5:6" x14ac:dyDescent="0.3">
      <c r="E243" s="42"/>
      <c r="F243" s="42"/>
    </row>
    <row r="244" spans="5:6" x14ac:dyDescent="0.3">
      <c r="E244" s="42"/>
      <c r="F244" s="42"/>
    </row>
    <row r="245" spans="5:6" x14ac:dyDescent="0.3">
      <c r="E245" s="42"/>
      <c r="F245" s="42"/>
    </row>
    <row r="246" spans="5:6" x14ac:dyDescent="0.3">
      <c r="E246" s="42"/>
      <c r="F246" s="42"/>
    </row>
    <row r="247" spans="5:6" x14ac:dyDescent="0.3">
      <c r="E247" s="42"/>
      <c r="F247" s="42"/>
    </row>
    <row r="248" spans="5:6" x14ac:dyDescent="0.3">
      <c r="E248" s="42"/>
      <c r="F248" s="42"/>
    </row>
    <row r="249" spans="5:6" x14ac:dyDescent="0.3">
      <c r="E249" s="42"/>
      <c r="F249" s="42"/>
    </row>
    <row r="250" spans="5:6" x14ac:dyDescent="0.3">
      <c r="E250" s="42"/>
      <c r="F250" s="42"/>
    </row>
    <row r="251" spans="5:6" x14ac:dyDescent="0.3">
      <c r="E251" s="42"/>
      <c r="F251" s="42"/>
    </row>
    <row r="252" spans="5:6" x14ac:dyDescent="0.3">
      <c r="E252" s="42"/>
      <c r="F252" s="42"/>
    </row>
    <row r="253" spans="5:6" x14ac:dyDescent="0.3">
      <c r="E253" s="42"/>
      <c r="F253" s="42"/>
    </row>
    <row r="254" spans="5:6" x14ac:dyDescent="0.3">
      <c r="E254" s="42"/>
      <c r="F254" s="42"/>
    </row>
    <row r="255" spans="5:6" x14ac:dyDescent="0.3">
      <c r="E255" s="42"/>
      <c r="F255" s="42"/>
    </row>
    <row r="256" spans="5:6" x14ac:dyDescent="0.3">
      <c r="E256" s="42"/>
      <c r="F256" s="42"/>
    </row>
    <row r="257" spans="5:6" x14ac:dyDescent="0.3">
      <c r="E257" s="42"/>
      <c r="F257" s="42"/>
    </row>
    <row r="258" spans="5:6" x14ac:dyDescent="0.3">
      <c r="E258" s="42"/>
      <c r="F258" s="42"/>
    </row>
    <row r="259" spans="5:6" x14ac:dyDescent="0.3">
      <c r="E259" s="42"/>
      <c r="F259" s="42"/>
    </row>
    <row r="260" spans="5:6" x14ac:dyDescent="0.3">
      <c r="E260" s="42"/>
      <c r="F260" s="42"/>
    </row>
    <row r="261" spans="5:6" x14ac:dyDescent="0.3">
      <c r="E261" s="42"/>
      <c r="F261" s="42"/>
    </row>
    <row r="262" spans="5:6" x14ac:dyDescent="0.3">
      <c r="E262" s="42"/>
      <c r="F262" s="42"/>
    </row>
    <row r="263" spans="5:6" x14ac:dyDescent="0.3">
      <c r="E263" s="42"/>
      <c r="F263" s="42"/>
    </row>
    <row r="264" spans="5:6" x14ac:dyDescent="0.3">
      <c r="E264" s="42"/>
      <c r="F264" s="42"/>
    </row>
    <row r="265" spans="5:6" x14ac:dyDescent="0.3">
      <c r="E265" s="42"/>
      <c r="F265" s="42"/>
    </row>
    <row r="266" spans="5:6" x14ac:dyDescent="0.3">
      <c r="E266" s="42"/>
      <c r="F266" s="42"/>
    </row>
    <row r="267" spans="5:6" x14ac:dyDescent="0.3">
      <c r="E267" s="42"/>
      <c r="F267" s="42"/>
    </row>
    <row r="268" spans="5:6" x14ac:dyDescent="0.3">
      <c r="E268" s="42"/>
      <c r="F268" s="42"/>
    </row>
    <row r="269" spans="5:6" x14ac:dyDescent="0.3">
      <c r="E269" s="42"/>
      <c r="F269" s="42"/>
    </row>
    <row r="270" spans="5:6" x14ac:dyDescent="0.3">
      <c r="E270" s="42"/>
      <c r="F270" s="42"/>
    </row>
    <row r="271" spans="5:6" x14ac:dyDescent="0.3">
      <c r="E271" s="42"/>
      <c r="F271" s="42"/>
    </row>
    <row r="272" spans="5:6" x14ac:dyDescent="0.3">
      <c r="E272" s="42"/>
      <c r="F272" s="42"/>
    </row>
    <row r="273" spans="5:6" x14ac:dyDescent="0.3">
      <c r="E273" s="42"/>
      <c r="F273" s="42"/>
    </row>
    <row r="274" spans="5:6" x14ac:dyDescent="0.3">
      <c r="E274" s="42"/>
      <c r="F274" s="42"/>
    </row>
    <row r="275" spans="5:6" x14ac:dyDescent="0.3">
      <c r="E275" s="42"/>
      <c r="F275" s="42"/>
    </row>
    <row r="276" spans="5:6" x14ac:dyDescent="0.3">
      <c r="E276" s="42"/>
      <c r="F276" s="42"/>
    </row>
    <row r="277" spans="5:6" x14ac:dyDescent="0.3">
      <c r="E277" s="42"/>
      <c r="F277" s="42"/>
    </row>
    <row r="278" spans="5:6" x14ac:dyDescent="0.3">
      <c r="E278" s="42"/>
      <c r="F278" s="42"/>
    </row>
    <row r="279" spans="5:6" x14ac:dyDescent="0.3">
      <c r="E279" s="42"/>
      <c r="F279" s="42"/>
    </row>
    <row r="280" spans="5:6" x14ac:dyDescent="0.3">
      <c r="E280" s="42"/>
      <c r="F280" s="42"/>
    </row>
    <row r="281" spans="5:6" x14ac:dyDescent="0.3">
      <c r="E281" s="42"/>
      <c r="F281" s="42"/>
    </row>
    <row r="282" spans="5:6" x14ac:dyDescent="0.3">
      <c r="E282" s="42"/>
      <c r="F282" s="42"/>
    </row>
    <row r="283" spans="5:6" x14ac:dyDescent="0.3">
      <c r="E283" s="42"/>
      <c r="F283" s="42"/>
    </row>
    <row r="284" spans="5:6" x14ac:dyDescent="0.3">
      <c r="E284" s="42"/>
      <c r="F284" s="42"/>
    </row>
    <row r="285" spans="5:6" x14ac:dyDescent="0.3">
      <c r="E285" s="42"/>
      <c r="F285" s="42"/>
    </row>
    <row r="286" spans="5:6" x14ac:dyDescent="0.3">
      <c r="E286" s="42"/>
      <c r="F286" s="42"/>
    </row>
    <row r="287" spans="5:6" x14ac:dyDescent="0.3">
      <c r="E287" s="42"/>
      <c r="F287" s="42"/>
    </row>
    <row r="288" spans="5:6" x14ac:dyDescent="0.3">
      <c r="E288" s="42"/>
      <c r="F288" s="42"/>
    </row>
    <row r="289" spans="5:6" x14ac:dyDescent="0.3">
      <c r="E289" s="42"/>
      <c r="F289" s="42"/>
    </row>
    <row r="290" spans="5:6" x14ac:dyDescent="0.3">
      <c r="E290" s="42"/>
      <c r="F290" s="42"/>
    </row>
    <row r="291" spans="5:6" x14ac:dyDescent="0.3">
      <c r="E291" s="42"/>
      <c r="F291" s="42"/>
    </row>
    <row r="292" spans="5:6" x14ac:dyDescent="0.3">
      <c r="E292" s="42"/>
      <c r="F292" s="42"/>
    </row>
    <row r="293" spans="5:6" x14ac:dyDescent="0.3">
      <c r="E293" s="42"/>
      <c r="F293" s="42"/>
    </row>
    <row r="294" spans="5:6" x14ac:dyDescent="0.3">
      <c r="E294" s="42"/>
      <c r="F294" s="42"/>
    </row>
    <row r="295" spans="5:6" x14ac:dyDescent="0.3">
      <c r="E295" s="42"/>
      <c r="F295" s="42"/>
    </row>
    <row r="296" spans="5:6" x14ac:dyDescent="0.3">
      <c r="E296" s="42"/>
      <c r="F296" s="42"/>
    </row>
    <row r="297" spans="5:6" x14ac:dyDescent="0.3">
      <c r="E297" s="42"/>
      <c r="F297" s="42"/>
    </row>
    <row r="298" spans="5:6" x14ac:dyDescent="0.3">
      <c r="E298" s="42"/>
      <c r="F298" s="42"/>
    </row>
    <row r="299" spans="5:6" x14ac:dyDescent="0.3">
      <c r="E299" s="42"/>
      <c r="F299" s="42"/>
    </row>
    <row r="300" spans="5:6" x14ac:dyDescent="0.3">
      <c r="E300" s="42"/>
      <c r="F300" s="42"/>
    </row>
    <row r="301" spans="5:6" x14ac:dyDescent="0.3">
      <c r="E301" s="42"/>
      <c r="F301" s="42"/>
    </row>
    <row r="302" spans="5:6" x14ac:dyDescent="0.3">
      <c r="E302" s="42"/>
      <c r="F302" s="42"/>
    </row>
    <row r="303" spans="5:6" x14ac:dyDescent="0.3">
      <c r="E303" s="42"/>
      <c r="F303" s="42"/>
    </row>
    <row r="304" spans="5:6" x14ac:dyDescent="0.3">
      <c r="E304" s="42"/>
      <c r="F304" s="42"/>
    </row>
    <row r="305" spans="5:6" x14ac:dyDescent="0.3">
      <c r="E305" s="42"/>
      <c r="F305" s="42"/>
    </row>
    <row r="306" spans="5:6" x14ac:dyDescent="0.3">
      <c r="E306" s="42"/>
      <c r="F306" s="42"/>
    </row>
    <row r="307" spans="5:6" x14ac:dyDescent="0.3">
      <c r="E307" s="42"/>
      <c r="F307" s="42"/>
    </row>
    <row r="308" spans="5:6" x14ac:dyDescent="0.3">
      <c r="E308" s="42"/>
      <c r="F308" s="42"/>
    </row>
    <row r="309" spans="5:6" x14ac:dyDescent="0.3">
      <c r="E309" s="42"/>
      <c r="F309" s="42"/>
    </row>
    <row r="310" spans="5:6" x14ac:dyDescent="0.3">
      <c r="E310" s="42"/>
      <c r="F310" s="42"/>
    </row>
    <row r="311" spans="5:6" x14ac:dyDescent="0.3">
      <c r="E311" s="42"/>
      <c r="F311" s="42"/>
    </row>
    <row r="312" spans="5:6" x14ac:dyDescent="0.3">
      <c r="E312" s="42"/>
      <c r="F312" s="42"/>
    </row>
    <row r="313" spans="5:6" x14ac:dyDescent="0.3">
      <c r="E313" s="42"/>
      <c r="F313" s="42"/>
    </row>
    <row r="314" spans="5:6" x14ac:dyDescent="0.3">
      <c r="E314" s="42"/>
      <c r="F314" s="42"/>
    </row>
    <row r="315" spans="5:6" x14ac:dyDescent="0.3">
      <c r="E315" s="42"/>
      <c r="F315" s="42"/>
    </row>
    <row r="316" spans="5:6" x14ac:dyDescent="0.3">
      <c r="E316" s="42"/>
      <c r="F316" s="42"/>
    </row>
    <row r="317" spans="5:6" x14ac:dyDescent="0.3">
      <c r="E317" s="42"/>
      <c r="F317" s="42"/>
    </row>
    <row r="318" spans="5:6" x14ac:dyDescent="0.3">
      <c r="E318" s="42"/>
      <c r="F318" s="42"/>
    </row>
    <row r="319" spans="5:6" x14ac:dyDescent="0.3">
      <c r="E319" s="42"/>
      <c r="F319" s="42"/>
    </row>
    <row r="320" spans="5:6" x14ac:dyDescent="0.3">
      <c r="E320" s="42"/>
      <c r="F320" s="42"/>
    </row>
    <row r="321" spans="5:6" x14ac:dyDescent="0.3">
      <c r="E321" s="42"/>
      <c r="F321" s="42"/>
    </row>
    <row r="322" spans="5:6" x14ac:dyDescent="0.3">
      <c r="E322" s="42"/>
      <c r="F322" s="42"/>
    </row>
    <row r="323" spans="5:6" x14ac:dyDescent="0.3">
      <c r="E323" s="42"/>
      <c r="F323" s="42"/>
    </row>
    <row r="324" spans="5:6" x14ac:dyDescent="0.3">
      <c r="E324" s="42"/>
      <c r="F324" s="42"/>
    </row>
    <row r="325" spans="5:6" x14ac:dyDescent="0.3">
      <c r="E325" s="42"/>
      <c r="F325" s="42"/>
    </row>
    <row r="326" spans="5:6" x14ac:dyDescent="0.3">
      <c r="E326" s="42"/>
      <c r="F326" s="42"/>
    </row>
    <row r="327" spans="5:6" x14ac:dyDescent="0.3">
      <c r="E327" s="42"/>
      <c r="F327" s="42"/>
    </row>
    <row r="328" spans="5:6" x14ac:dyDescent="0.3">
      <c r="E328" s="42"/>
      <c r="F328" s="42"/>
    </row>
    <row r="329" spans="5:6" x14ac:dyDescent="0.3">
      <c r="E329" s="42"/>
      <c r="F329" s="42"/>
    </row>
    <row r="330" spans="5:6" x14ac:dyDescent="0.3">
      <c r="E330" s="42"/>
      <c r="F330" s="42"/>
    </row>
    <row r="331" spans="5:6" x14ac:dyDescent="0.3">
      <c r="E331" s="42"/>
      <c r="F331" s="42"/>
    </row>
    <row r="332" spans="5:6" x14ac:dyDescent="0.3">
      <c r="E332" s="42"/>
      <c r="F332" s="42"/>
    </row>
    <row r="333" spans="5:6" x14ac:dyDescent="0.3">
      <c r="E333" s="42"/>
      <c r="F333" s="42"/>
    </row>
    <row r="334" spans="5:6" x14ac:dyDescent="0.3">
      <c r="E334" s="42"/>
      <c r="F334" s="42"/>
    </row>
    <row r="335" spans="5:6" x14ac:dyDescent="0.3">
      <c r="E335" s="42"/>
      <c r="F335" s="42"/>
    </row>
    <row r="336" spans="5:6" x14ac:dyDescent="0.3">
      <c r="E336" s="42"/>
      <c r="F336" s="42"/>
    </row>
    <row r="337" spans="5:6" x14ac:dyDescent="0.3">
      <c r="E337" s="42"/>
      <c r="F337" s="42"/>
    </row>
    <row r="338" spans="5:6" x14ac:dyDescent="0.3">
      <c r="E338" s="42"/>
      <c r="F338" s="42"/>
    </row>
    <row r="339" spans="5:6" x14ac:dyDescent="0.3">
      <c r="E339" s="42"/>
      <c r="F339" s="42"/>
    </row>
    <row r="340" spans="5:6" x14ac:dyDescent="0.3">
      <c r="E340" s="42"/>
      <c r="F340" s="42"/>
    </row>
    <row r="341" spans="5:6" x14ac:dyDescent="0.3">
      <c r="E341" s="42"/>
      <c r="F341" s="42"/>
    </row>
    <row r="342" spans="5:6" x14ac:dyDescent="0.3">
      <c r="E342" s="42"/>
      <c r="F342" s="42"/>
    </row>
    <row r="343" spans="5:6" x14ac:dyDescent="0.3">
      <c r="E343" s="42"/>
      <c r="F343" s="42"/>
    </row>
    <row r="344" spans="5:6" x14ac:dyDescent="0.3">
      <c r="E344" s="42"/>
      <c r="F344" s="42"/>
    </row>
    <row r="345" spans="5:6" x14ac:dyDescent="0.3">
      <c r="E345" s="42"/>
      <c r="F345" s="42"/>
    </row>
    <row r="346" spans="5:6" x14ac:dyDescent="0.3">
      <c r="E346" s="42"/>
      <c r="F346" s="42"/>
    </row>
    <row r="347" spans="5:6" x14ac:dyDescent="0.3">
      <c r="E347" s="42"/>
      <c r="F347" s="42"/>
    </row>
    <row r="348" spans="5:6" x14ac:dyDescent="0.3">
      <c r="E348" s="42"/>
      <c r="F348" s="42"/>
    </row>
    <row r="349" spans="5:6" x14ac:dyDescent="0.3">
      <c r="E349" s="42"/>
      <c r="F349" s="42"/>
    </row>
    <row r="350" spans="5:6" x14ac:dyDescent="0.3">
      <c r="E350" s="42"/>
      <c r="F350" s="42"/>
    </row>
    <row r="351" spans="5:6" x14ac:dyDescent="0.3">
      <c r="E351" s="42"/>
      <c r="F351" s="42"/>
    </row>
    <row r="352" spans="5:6" x14ac:dyDescent="0.3">
      <c r="E352" s="42"/>
      <c r="F352" s="42"/>
    </row>
    <row r="353" spans="5:6" x14ac:dyDescent="0.3">
      <c r="E353" s="42"/>
      <c r="F353" s="42"/>
    </row>
    <row r="354" spans="5:6" x14ac:dyDescent="0.3">
      <c r="E354" s="42"/>
      <c r="F354" s="42"/>
    </row>
    <row r="355" spans="5:6" x14ac:dyDescent="0.3">
      <c r="E355" s="42"/>
      <c r="F355" s="42"/>
    </row>
    <row r="356" spans="5:6" x14ac:dyDescent="0.3">
      <c r="E356" s="42"/>
      <c r="F356" s="42"/>
    </row>
    <row r="357" spans="5:6" x14ac:dyDescent="0.3">
      <c r="E357" s="42"/>
      <c r="F357" s="42"/>
    </row>
    <row r="358" spans="5:6" x14ac:dyDescent="0.3">
      <c r="E358" s="42"/>
      <c r="F358" s="42"/>
    </row>
    <row r="359" spans="5:6" x14ac:dyDescent="0.3">
      <c r="E359" s="42"/>
      <c r="F359" s="42"/>
    </row>
    <row r="360" spans="5:6" x14ac:dyDescent="0.3">
      <c r="E360" s="42"/>
      <c r="F360" s="42"/>
    </row>
    <row r="361" spans="5:6" x14ac:dyDescent="0.3">
      <c r="E361" s="42"/>
      <c r="F361" s="42"/>
    </row>
    <row r="362" spans="5:6" x14ac:dyDescent="0.3">
      <c r="E362" s="42"/>
      <c r="F362" s="42"/>
    </row>
    <row r="363" spans="5:6" x14ac:dyDescent="0.3">
      <c r="E363" s="42"/>
      <c r="F363" s="42"/>
    </row>
    <row r="364" spans="5:6" x14ac:dyDescent="0.3">
      <c r="E364" s="42"/>
      <c r="F364" s="42"/>
    </row>
    <row r="365" spans="5:6" x14ac:dyDescent="0.3">
      <c r="E365" s="42"/>
      <c r="F365" s="42"/>
    </row>
    <row r="366" spans="5:6" x14ac:dyDescent="0.3">
      <c r="E366" s="42"/>
      <c r="F366" s="42"/>
    </row>
    <row r="367" spans="5:6" x14ac:dyDescent="0.3">
      <c r="E367" s="42"/>
      <c r="F367" s="42"/>
    </row>
    <row r="368" spans="5:6" x14ac:dyDescent="0.3">
      <c r="E368" s="42"/>
      <c r="F368" s="42"/>
    </row>
    <row r="369" spans="5:6" x14ac:dyDescent="0.3">
      <c r="E369" s="42"/>
      <c r="F369" s="42"/>
    </row>
    <row r="370" spans="5:6" x14ac:dyDescent="0.3">
      <c r="E370" s="42"/>
      <c r="F370" s="42"/>
    </row>
    <row r="371" spans="5:6" x14ac:dyDescent="0.3">
      <c r="E371" s="42"/>
      <c r="F371" s="42"/>
    </row>
    <row r="372" spans="5:6" x14ac:dyDescent="0.3">
      <c r="E372" s="42"/>
      <c r="F372" s="42"/>
    </row>
    <row r="373" spans="5:6" x14ac:dyDescent="0.3">
      <c r="E373" s="42"/>
      <c r="F373" s="42"/>
    </row>
    <row r="374" spans="5:6" x14ac:dyDescent="0.3">
      <c r="E374" s="42"/>
      <c r="F374" s="42"/>
    </row>
    <row r="375" spans="5:6" x14ac:dyDescent="0.3">
      <c r="E375" s="42"/>
      <c r="F375" s="42"/>
    </row>
    <row r="376" spans="5:6" x14ac:dyDescent="0.3">
      <c r="E376" s="42"/>
      <c r="F376" s="42"/>
    </row>
    <row r="377" spans="5:6" x14ac:dyDescent="0.3">
      <c r="E377" s="42"/>
      <c r="F377" s="42"/>
    </row>
    <row r="378" spans="5:6" x14ac:dyDescent="0.3">
      <c r="E378" s="42"/>
      <c r="F378" s="42"/>
    </row>
    <row r="379" spans="5:6" x14ac:dyDescent="0.3">
      <c r="E379" s="42"/>
      <c r="F379" s="42"/>
    </row>
    <row r="380" spans="5:6" x14ac:dyDescent="0.3">
      <c r="E380" s="42"/>
      <c r="F380" s="42"/>
    </row>
    <row r="381" spans="5:6" x14ac:dyDescent="0.3">
      <c r="E381" s="42"/>
      <c r="F381" s="42"/>
    </row>
    <row r="382" spans="5:6" x14ac:dyDescent="0.3">
      <c r="E382" s="42"/>
      <c r="F382" s="42"/>
    </row>
    <row r="383" spans="5:6" x14ac:dyDescent="0.3">
      <c r="E383" s="42"/>
      <c r="F383" s="42"/>
    </row>
    <row r="384" spans="5:6" x14ac:dyDescent="0.3">
      <c r="E384" s="42"/>
      <c r="F384" s="42"/>
    </row>
    <row r="385" spans="5:6" x14ac:dyDescent="0.3">
      <c r="E385" s="42"/>
      <c r="F385" s="42"/>
    </row>
    <row r="386" spans="5:6" x14ac:dyDescent="0.3">
      <c r="E386" s="42"/>
      <c r="F386" s="42"/>
    </row>
    <row r="387" spans="5:6" x14ac:dyDescent="0.3">
      <c r="E387" s="42"/>
      <c r="F387" s="42"/>
    </row>
    <row r="388" spans="5:6" x14ac:dyDescent="0.3">
      <c r="E388" s="42"/>
      <c r="F388" s="42"/>
    </row>
    <row r="389" spans="5:6" x14ac:dyDescent="0.3">
      <c r="E389" s="42"/>
      <c r="F389" s="42"/>
    </row>
    <row r="390" spans="5:6" x14ac:dyDescent="0.3">
      <c r="E390" s="42"/>
      <c r="F390" s="42"/>
    </row>
    <row r="391" spans="5:6" x14ac:dyDescent="0.3">
      <c r="E391" s="42"/>
      <c r="F391" s="42"/>
    </row>
    <row r="392" spans="5:6" x14ac:dyDescent="0.3">
      <c r="E392" s="42"/>
      <c r="F392" s="42"/>
    </row>
    <row r="393" spans="5:6" x14ac:dyDescent="0.3">
      <c r="E393" s="42"/>
      <c r="F393" s="42"/>
    </row>
    <row r="394" spans="5:6" x14ac:dyDescent="0.3">
      <c r="E394" s="42"/>
      <c r="F394" s="42"/>
    </row>
    <row r="395" spans="5:6" x14ac:dyDescent="0.3">
      <c r="E395" s="42"/>
      <c r="F395" s="42"/>
    </row>
    <row r="396" spans="5:6" x14ac:dyDescent="0.3">
      <c r="E396" s="42"/>
      <c r="F396" s="42"/>
    </row>
    <row r="397" spans="5:6" x14ac:dyDescent="0.3">
      <c r="E397" s="42"/>
      <c r="F397" s="42"/>
    </row>
    <row r="398" spans="5:6" x14ac:dyDescent="0.3">
      <c r="E398" s="42"/>
      <c r="F398" s="42"/>
    </row>
    <row r="399" spans="5:6" x14ac:dyDescent="0.3">
      <c r="E399" s="42"/>
      <c r="F399" s="42"/>
    </row>
    <row r="400" spans="5:6" x14ac:dyDescent="0.3">
      <c r="E400" s="42"/>
      <c r="F400" s="42"/>
    </row>
    <row r="401" spans="5:6" x14ac:dyDescent="0.3">
      <c r="E401" s="42"/>
      <c r="F401" s="42"/>
    </row>
    <row r="402" spans="5:6" x14ac:dyDescent="0.3">
      <c r="E402" s="42"/>
      <c r="F402" s="42"/>
    </row>
    <row r="403" spans="5:6" x14ac:dyDescent="0.3">
      <c r="E403" s="42"/>
      <c r="F403" s="42"/>
    </row>
    <row r="404" spans="5:6" x14ac:dyDescent="0.3">
      <c r="E404" s="42"/>
      <c r="F404" s="42"/>
    </row>
    <row r="405" spans="5:6" x14ac:dyDescent="0.3">
      <c r="E405" s="42"/>
      <c r="F405" s="42"/>
    </row>
    <row r="406" spans="5:6" x14ac:dyDescent="0.3">
      <c r="E406" s="42"/>
      <c r="F406" s="42"/>
    </row>
    <row r="407" spans="5:6" x14ac:dyDescent="0.3">
      <c r="E407" s="42"/>
      <c r="F407" s="42"/>
    </row>
    <row r="408" spans="5:6" x14ac:dyDescent="0.3">
      <c r="E408" s="42"/>
      <c r="F408" s="42"/>
    </row>
    <row r="409" spans="5:6" x14ac:dyDescent="0.3">
      <c r="E409" s="42"/>
      <c r="F409" s="42"/>
    </row>
    <row r="410" spans="5:6" x14ac:dyDescent="0.3">
      <c r="E410" s="42"/>
      <c r="F410" s="42"/>
    </row>
    <row r="411" spans="5:6" x14ac:dyDescent="0.3">
      <c r="E411" s="42"/>
      <c r="F411" s="42"/>
    </row>
    <row r="412" spans="5:6" x14ac:dyDescent="0.3">
      <c r="E412" s="42"/>
      <c r="F412" s="42"/>
    </row>
    <row r="413" spans="5:6" x14ac:dyDescent="0.3">
      <c r="E413" s="42"/>
      <c r="F413" s="42"/>
    </row>
    <row r="414" spans="5:6" x14ac:dyDescent="0.3">
      <c r="E414" s="42"/>
      <c r="F414" s="42"/>
    </row>
    <row r="415" spans="5:6" x14ac:dyDescent="0.3">
      <c r="E415" s="42"/>
      <c r="F415" s="42"/>
    </row>
    <row r="416" spans="5:6" x14ac:dyDescent="0.3">
      <c r="E416" s="42"/>
      <c r="F416" s="42"/>
    </row>
    <row r="417" spans="5:6" x14ac:dyDescent="0.3">
      <c r="E417" s="42"/>
      <c r="F417" s="42"/>
    </row>
    <row r="418" spans="5:6" x14ac:dyDescent="0.3">
      <c r="E418" s="42"/>
      <c r="F418" s="42"/>
    </row>
    <row r="419" spans="5:6" x14ac:dyDescent="0.3">
      <c r="E419" s="42"/>
      <c r="F419" s="42"/>
    </row>
    <row r="420" spans="5:6" x14ac:dyDescent="0.3">
      <c r="E420" s="42"/>
      <c r="F420" s="42"/>
    </row>
    <row r="421" spans="5:6" x14ac:dyDescent="0.3">
      <c r="E421" s="42"/>
      <c r="F421" s="42"/>
    </row>
    <row r="422" spans="5:6" x14ac:dyDescent="0.3">
      <c r="E422" s="42"/>
      <c r="F422" s="42"/>
    </row>
    <row r="423" spans="5:6" x14ac:dyDescent="0.3">
      <c r="E423" s="42"/>
      <c r="F423" s="42"/>
    </row>
    <row r="424" spans="5:6" x14ac:dyDescent="0.3">
      <c r="E424" s="42"/>
      <c r="F424" s="42"/>
    </row>
    <row r="425" spans="5:6" x14ac:dyDescent="0.3">
      <c r="E425" s="42"/>
      <c r="F425" s="42"/>
    </row>
    <row r="426" spans="5:6" x14ac:dyDescent="0.3">
      <c r="E426" s="42"/>
      <c r="F426" s="42"/>
    </row>
    <row r="427" spans="5:6" x14ac:dyDescent="0.3">
      <c r="E427" s="42"/>
      <c r="F427" s="42"/>
    </row>
    <row r="428" spans="5:6" x14ac:dyDescent="0.3">
      <c r="E428" s="42"/>
      <c r="F428" s="42"/>
    </row>
    <row r="429" spans="5:6" x14ac:dyDescent="0.3">
      <c r="E429" s="42"/>
      <c r="F429" s="42"/>
    </row>
    <row r="430" spans="5:6" x14ac:dyDescent="0.3">
      <c r="E430" s="42"/>
      <c r="F430" s="42"/>
    </row>
    <row r="431" spans="5:6" x14ac:dyDescent="0.3">
      <c r="E431" s="42"/>
      <c r="F431" s="42"/>
    </row>
    <row r="432" spans="5:6" x14ac:dyDescent="0.3">
      <c r="E432" s="42"/>
      <c r="F432" s="42"/>
    </row>
    <row r="433" spans="5:6" x14ac:dyDescent="0.3">
      <c r="E433" s="42"/>
      <c r="F433" s="42"/>
    </row>
    <row r="434" spans="5:6" x14ac:dyDescent="0.3">
      <c r="E434" s="42"/>
      <c r="F434" s="42"/>
    </row>
    <row r="435" spans="5:6" x14ac:dyDescent="0.3">
      <c r="E435" s="42"/>
      <c r="F435" s="42"/>
    </row>
    <row r="436" spans="5:6" x14ac:dyDescent="0.3">
      <c r="E436" s="42"/>
      <c r="F436" s="42"/>
    </row>
    <row r="437" spans="5:6" x14ac:dyDescent="0.3">
      <c r="E437" s="42"/>
      <c r="F437" s="42"/>
    </row>
    <row r="438" spans="5:6" x14ac:dyDescent="0.3">
      <c r="E438" s="42"/>
      <c r="F438" s="42"/>
    </row>
    <row r="439" spans="5:6" x14ac:dyDescent="0.3">
      <c r="E439" s="42"/>
      <c r="F439" s="42"/>
    </row>
    <row r="440" spans="5:6" x14ac:dyDescent="0.3">
      <c r="E440" s="42"/>
      <c r="F440" s="42"/>
    </row>
    <row r="441" spans="5:6" x14ac:dyDescent="0.3">
      <c r="E441" s="42"/>
      <c r="F441" s="42"/>
    </row>
    <row r="442" spans="5:6" x14ac:dyDescent="0.3">
      <c r="E442" s="42"/>
      <c r="F442" s="42"/>
    </row>
    <row r="443" spans="5:6" x14ac:dyDescent="0.3">
      <c r="E443" s="42"/>
      <c r="F443" s="42"/>
    </row>
    <row r="444" spans="5:6" x14ac:dyDescent="0.3">
      <c r="E444" s="42"/>
      <c r="F444" s="42"/>
    </row>
    <row r="445" spans="5:6" x14ac:dyDescent="0.3">
      <c r="E445" s="42"/>
      <c r="F445" s="42"/>
    </row>
    <row r="446" spans="5:6" x14ac:dyDescent="0.3">
      <c r="E446" s="42"/>
      <c r="F446" s="42"/>
    </row>
    <row r="447" spans="5:6" x14ac:dyDescent="0.3">
      <c r="E447" s="42"/>
      <c r="F447" s="42"/>
    </row>
    <row r="448" spans="5:6" x14ac:dyDescent="0.3">
      <c r="E448" s="42"/>
      <c r="F448" s="42"/>
    </row>
    <row r="449" spans="5:6" x14ac:dyDescent="0.3">
      <c r="E449" s="42"/>
      <c r="F449" s="42"/>
    </row>
    <row r="450" spans="5:6" x14ac:dyDescent="0.3">
      <c r="E450" s="42"/>
      <c r="F450" s="42"/>
    </row>
    <row r="451" spans="5:6" x14ac:dyDescent="0.3">
      <c r="E451" s="42"/>
      <c r="F451" s="42"/>
    </row>
    <row r="452" spans="5:6" x14ac:dyDescent="0.3">
      <c r="E452" s="42"/>
      <c r="F452" s="42"/>
    </row>
    <row r="453" spans="5:6" x14ac:dyDescent="0.3">
      <c r="E453" s="42"/>
      <c r="F453" s="42"/>
    </row>
    <row r="454" spans="5:6" x14ac:dyDescent="0.3">
      <c r="E454" s="42"/>
      <c r="F454" s="42"/>
    </row>
    <row r="455" spans="5:6" x14ac:dyDescent="0.3">
      <c r="E455" s="42"/>
      <c r="F455" s="42"/>
    </row>
    <row r="456" spans="5:6" x14ac:dyDescent="0.3">
      <c r="E456" s="42"/>
      <c r="F456" s="42"/>
    </row>
    <row r="457" spans="5:6" x14ac:dyDescent="0.3">
      <c r="E457" s="42"/>
      <c r="F457" s="42"/>
    </row>
    <row r="458" spans="5:6" x14ac:dyDescent="0.3">
      <c r="E458" s="42"/>
      <c r="F458" s="42"/>
    </row>
    <row r="459" spans="5:6" x14ac:dyDescent="0.3">
      <c r="E459" s="42"/>
      <c r="F459" s="42"/>
    </row>
    <row r="460" spans="5:6" x14ac:dyDescent="0.3">
      <c r="E460" s="42"/>
      <c r="F460" s="42"/>
    </row>
    <row r="461" spans="5:6" x14ac:dyDescent="0.3">
      <c r="E461" s="42"/>
      <c r="F461" s="42"/>
    </row>
    <row r="462" spans="5:6" x14ac:dyDescent="0.3">
      <c r="E462" s="42"/>
      <c r="F462" s="42"/>
    </row>
    <row r="463" spans="5:6" x14ac:dyDescent="0.3">
      <c r="E463" s="42"/>
      <c r="F463" s="42"/>
    </row>
    <row r="464" spans="5:6" x14ac:dyDescent="0.3">
      <c r="E464" s="42"/>
      <c r="F464" s="42"/>
    </row>
    <row r="465" spans="5:6" x14ac:dyDescent="0.3">
      <c r="E465" s="42"/>
      <c r="F465" s="42"/>
    </row>
    <row r="466" spans="5:6" x14ac:dyDescent="0.3">
      <c r="E466" s="42"/>
      <c r="F466" s="42"/>
    </row>
    <row r="467" spans="5:6" x14ac:dyDescent="0.3">
      <c r="E467" s="42"/>
      <c r="F467" s="42"/>
    </row>
    <row r="468" spans="5:6" x14ac:dyDescent="0.3">
      <c r="E468" s="42"/>
      <c r="F468" s="42"/>
    </row>
    <row r="469" spans="5:6" x14ac:dyDescent="0.3">
      <c r="E469" s="42"/>
      <c r="F469" s="42"/>
    </row>
    <row r="470" spans="5:6" x14ac:dyDescent="0.3">
      <c r="E470" s="42"/>
      <c r="F470" s="42"/>
    </row>
    <row r="471" spans="5:6" x14ac:dyDescent="0.3">
      <c r="E471" s="42"/>
      <c r="F471" s="42"/>
    </row>
    <row r="472" spans="5:6" x14ac:dyDescent="0.3">
      <c r="E472" s="42"/>
      <c r="F472" s="42"/>
    </row>
    <row r="473" spans="5:6" x14ac:dyDescent="0.3">
      <c r="E473" s="42"/>
      <c r="F473" s="42"/>
    </row>
    <row r="474" spans="5:6" x14ac:dyDescent="0.3">
      <c r="E474" s="42"/>
      <c r="F474" s="42"/>
    </row>
    <row r="475" spans="5:6" x14ac:dyDescent="0.3">
      <c r="E475" s="42"/>
      <c r="F475" s="42"/>
    </row>
    <row r="476" spans="5:6" x14ac:dyDescent="0.3">
      <c r="E476" s="42"/>
      <c r="F476" s="42"/>
    </row>
    <row r="477" spans="5:6" x14ac:dyDescent="0.3">
      <c r="E477" s="42"/>
      <c r="F477" s="42"/>
    </row>
    <row r="478" spans="5:6" x14ac:dyDescent="0.3">
      <c r="E478" s="42"/>
      <c r="F478" s="42"/>
    </row>
    <row r="479" spans="5:6" x14ac:dyDescent="0.3">
      <c r="E479" s="42"/>
      <c r="F479" s="42"/>
    </row>
    <row r="480" spans="5:6" x14ac:dyDescent="0.3">
      <c r="E480" s="42"/>
      <c r="F480" s="42"/>
    </row>
    <row r="481" spans="5:6" x14ac:dyDescent="0.3">
      <c r="E481" s="42"/>
      <c r="F481" s="42"/>
    </row>
    <row r="482" spans="5:6" x14ac:dyDescent="0.3">
      <c r="E482" s="42"/>
      <c r="F482" s="42"/>
    </row>
    <row r="483" spans="5:6" x14ac:dyDescent="0.3">
      <c r="E483" s="42"/>
      <c r="F483" s="42"/>
    </row>
    <row r="484" spans="5:6" x14ac:dyDescent="0.3">
      <c r="E484" s="42"/>
      <c r="F484" s="42"/>
    </row>
    <row r="485" spans="5:6" x14ac:dyDescent="0.3">
      <c r="E485" s="42"/>
      <c r="F485" s="42"/>
    </row>
    <row r="486" spans="5:6" x14ac:dyDescent="0.3">
      <c r="E486" s="42"/>
      <c r="F486" s="42"/>
    </row>
    <row r="487" spans="5:6" x14ac:dyDescent="0.3">
      <c r="E487" s="42"/>
      <c r="F487" s="42"/>
    </row>
    <row r="488" spans="5:6" x14ac:dyDescent="0.3">
      <c r="E488" s="42"/>
      <c r="F488" s="42"/>
    </row>
    <row r="489" spans="5:6" x14ac:dyDescent="0.3">
      <c r="E489" s="42"/>
      <c r="F489" s="42"/>
    </row>
    <row r="490" spans="5:6" x14ac:dyDescent="0.3">
      <c r="E490" s="42"/>
      <c r="F490" s="42"/>
    </row>
    <row r="491" spans="5:6" x14ac:dyDescent="0.3">
      <c r="E491" s="42"/>
      <c r="F491" s="42"/>
    </row>
    <row r="492" spans="5:6" x14ac:dyDescent="0.3">
      <c r="E492" s="42"/>
      <c r="F492" s="42"/>
    </row>
    <row r="493" spans="5:6" x14ac:dyDescent="0.3">
      <c r="E493" s="42"/>
      <c r="F493" s="42"/>
    </row>
    <row r="494" spans="5:6" x14ac:dyDescent="0.3">
      <c r="E494" s="42"/>
      <c r="F494" s="42"/>
    </row>
    <row r="495" spans="5:6" x14ac:dyDescent="0.3">
      <c r="E495" s="42"/>
      <c r="F495" s="42"/>
    </row>
    <row r="496" spans="5:6" x14ac:dyDescent="0.3">
      <c r="E496" s="42"/>
      <c r="F496" s="42"/>
    </row>
    <row r="497" spans="5:6" x14ac:dyDescent="0.3">
      <c r="E497" s="42"/>
      <c r="F497" s="42"/>
    </row>
    <row r="498" spans="5:6" x14ac:dyDescent="0.3">
      <c r="E498" s="42"/>
      <c r="F498" s="42"/>
    </row>
    <row r="499" spans="5:6" x14ac:dyDescent="0.3">
      <c r="E499" s="42"/>
      <c r="F499" s="42"/>
    </row>
    <row r="500" spans="5:6" x14ac:dyDescent="0.3">
      <c r="E500" s="42"/>
      <c r="F500" s="42"/>
    </row>
    <row r="501" spans="5:6" x14ac:dyDescent="0.3">
      <c r="E501" s="42"/>
      <c r="F501" s="42"/>
    </row>
    <row r="502" spans="5:6" x14ac:dyDescent="0.3">
      <c r="E502" s="42"/>
      <c r="F502" s="42"/>
    </row>
    <row r="503" spans="5:6" x14ac:dyDescent="0.3">
      <c r="E503" s="42"/>
      <c r="F503" s="42"/>
    </row>
    <row r="504" spans="5:6" x14ac:dyDescent="0.3">
      <c r="E504" s="42"/>
      <c r="F504" s="42"/>
    </row>
    <row r="505" spans="5:6" x14ac:dyDescent="0.3">
      <c r="E505" s="42"/>
      <c r="F505" s="42"/>
    </row>
    <row r="506" spans="5:6" x14ac:dyDescent="0.3">
      <c r="E506" s="42"/>
      <c r="F506" s="42"/>
    </row>
    <row r="507" spans="5:6" x14ac:dyDescent="0.3">
      <c r="E507" s="42"/>
      <c r="F507" s="42"/>
    </row>
    <row r="508" spans="5:6" x14ac:dyDescent="0.3">
      <c r="E508" s="42"/>
      <c r="F508" s="42"/>
    </row>
    <row r="509" spans="5:6" x14ac:dyDescent="0.3">
      <c r="E509" s="42"/>
      <c r="F509" s="42"/>
    </row>
    <row r="510" spans="5:6" x14ac:dyDescent="0.3">
      <c r="E510" s="42"/>
      <c r="F510" s="42"/>
    </row>
    <row r="511" spans="5:6" x14ac:dyDescent="0.3">
      <c r="E511" s="42"/>
      <c r="F511" s="42"/>
    </row>
    <row r="512" spans="5:6" x14ac:dyDescent="0.3">
      <c r="E512" s="42"/>
      <c r="F512" s="42"/>
    </row>
    <row r="513" spans="5:6" x14ac:dyDescent="0.3">
      <c r="E513" s="42"/>
      <c r="F513" s="42"/>
    </row>
    <row r="514" spans="5:6" x14ac:dyDescent="0.3">
      <c r="E514" s="42"/>
      <c r="F514" s="42"/>
    </row>
    <row r="515" spans="5:6" x14ac:dyDescent="0.3">
      <c r="E515" s="42"/>
      <c r="F515" s="42"/>
    </row>
    <row r="516" spans="5:6" x14ac:dyDescent="0.3">
      <c r="E516" s="42"/>
      <c r="F516" s="42"/>
    </row>
    <row r="517" spans="5:6" x14ac:dyDescent="0.3">
      <c r="E517" s="42"/>
      <c r="F517" s="42"/>
    </row>
    <row r="518" spans="5:6" x14ac:dyDescent="0.3">
      <c r="E518" s="42"/>
      <c r="F518" s="42"/>
    </row>
    <row r="519" spans="5:6" x14ac:dyDescent="0.3">
      <c r="E519" s="42"/>
      <c r="F519" s="42"/>
    </row>
    <row r="520" spans="5:6" x14ac:dyDescent="0.3">
      <c r="E520" s="42"/>
      <c r="F520" s="42"/>
    </row>
    <row r="521" spans="5:6" x14ac:dyDescent="0.3">
      <c r="E521" s="42"/>
      <c r="F521" s="42"/>
    </row>
    <row r="522" spans="5:6" x14ac:dyDescent="0.3">
      <c r="E522" s="42"/>
      <c r="F522" s="42"/>
    </row>
    <row r="523" spans="5:6" x14ac:dyDescent="0.3">
      <c r="E523" s="42"/>
      <c r="F523" s="42"/>
    </row>
    <row r="524" spans="5:6" x14ac:dyDescent="0.3">
      <c r="E524" s="42"/>
      <c r="F524" s="42"/>
    </row>
    <row r="525" spans="5:6" x14ac:dyDescent="0.3">
      <c r="E525" s="42"/>
      <c r="F525" s="42"/>
    </row>
    <row r="526" spans="5:6" x14ac:dyDescent="0.3">
      <c r="E526" s="42"/>
      <c r="F526" s="42"/>
    </row>
    <row r="527" spans="5:6" x14ac:dyDescent="0.3">
      <c r="E527" s="42"/>
      <c r="F527" s="42"/>
    </row>
    <row r="528" spans="5:6" x14ac:dyDescent="0.3">
      <c r="E528" s="42"/>
      <c r="F528" s="42"/>
    </row>
    <row r="529" spans="5:6" x14ac:dyDescent="0.3">
      <c r="E529" s="42"/>
      <c r="F529" s="42"/>
    </row>
    <row r="530" spans="5:6" x14ac:dyDescent="0.3">
      <c r="E530" s="42"/>
      <c r="F530" s="42"/>
    </row>
    <row r="531" spans="5:6" x14ac:dyDescent="0.3">
      <c r="E531" s="42"/>
      <c r="F531" s="42"/>
    </row>
    <row r="532" spans="5:6" x14ac:dyDescent="0.3">
      <c r="E532" s="42"/>
      <c r="F532" s="42"/>
    </row>
    <row r="533" spans="5:6" x14ac:dyDescent="0.3">
      <c r="E533" s="42"/>
      <c r="F533" s="42"/>
    </row>
    <row r="534" spans="5:6" x14ac:dyDescent="0.3">
      <c r="E534" s="42"/>
      <c r="F534" s="42"/>
    </row>
    <row r="535" spans="5:6" x14ac:dyDescent="0.3">
      <c r="E535" s="42"/>
      <c r="F535" s="42"/>
    </row>
    <row r="536" spans="5:6" x14ac:dyDescent="0.3">
      <c r="E536" s="42"/>
      <c r="F536" s="42"/>
    </row>
    <row r="537" spans="5:6" x14ac:dyDescent="0.3">
      <c r="E537" s="42"/>
      <c r="F537" s="42"/>
    </row>
    <row r="538" spans="5:6" x14ac:dyDescent="0.3">
      <c r="E538" s="42"/>
      <c r="F538" s="42"/>
    </row>
    <row r="539" spans="5:6" x14ac:dyDescent="0.3">
      <c r="E539" s="42"/>
      <c r="F539" s="42"/>
    </row>
    <row r="540" spans="5:6" x14ac:dyDescent="0.3">
      <c r="E540" s="42"/>
      <c r="F540" s="42"/>
    </row>
    <row r="541" spans="5:6" x14ac:dyDescent="0.3">
      <c r="E541" s="42"/>
      <c r="F541" s="42"/>
    </row>
    <row r="542" spans="5:6" x14ac:dyDescent="0.3">
      <c r="E542" s="42"/>
      <c r="F542" s="42"/>
    </row>
    <row r="543" spans="5:6" x14ac:dyDescent="0.3">
      <c r="E543" s="42"/>
      <c r="F543" s="42"/>
    </row>
    <row r="544" spans="5:6" x14ac:dyDescent="0.3">
      <c r="E544" s="42"/>
      <c r="F544" s="42"/>
    </row>
    <row r="545" spans="5:6" x14ac:dyDescent="0.3">
      <c r="E545" s="42"/>
      <c r="F545" s="42"/>
    </row>
    <row r="546" spans="5:6" x14ac:dyDescent="0.3">
      <c r="E546" s="42"/>
      <c r="F546" s="42"/>
    </row>
    <row r="547" spans="5:6" x14ac:dyDescent="0.3">
      <c r="E547" s="42"/>
      <c r="F547" s="42"/>
    </row>
    <row r="548" spans="5:6" x14ac:dyDescent="0.3">
      <c r="E548" s="42"/>
      <c r="F548" s="42"/>
    </row>
    <row r="549" spans="5:6" x14ac:dyDescent="0.3">
      <c r="E549" s="42"/>
      <c r="F549" s="42"/>
    </row>
    <row r="550" spans="5:6" x14ac:dyDescent="0.3">
      <c r="E550" s="42"/>
      <c r="F550" s="42"/>
    </row>
    <row r="551" spans="5:6" x14ac:dyDescent="0.3">
      <c r="E551" s="42"/>
      <c r="F551" s="42"/>
    </row>
    <row r="552" spans="5:6" x14ac:dyDescent="0.3">
      <c r="E552" s="42"/>
      <c r="F552" s="42"/>
    </row>
    <row r="553" spans="5:6" x14ac:dyDescent="0.3">
      <c r="E553" s="42"/>
      <c r="F553" s="42"/>
    </row>
    <row r="554" spans="5:6" x14ac:dyDescent="0.3">
      <c r="E554" s="42"/>
      <c r="F554" s="42"/>
    </row>
    <row r="555" spans="5:6" x14ac:dyDescent="0.3">
      <c r="E555" s="42"/>
      <c r="F555" s="42"/>
    </row>
    <row r="556" spans="5:6" x14ac:dyDescent="0.3">
      <c r="E556" s="42"/>
      <c r="F556" s="42"/>
    </row>
    <row r="557" spans="5:6" x14ac:dyDescent="0.3">
      <c r="E557" s="42"/>
      <c r="F557" s="42"/>
    </row>
    <row r="558" spans="5:6" x14ac:dyDescent="0.3">
      <c r="E558" s="42"/>
      <c r="F558" s="42"/>
    </row>
    <row r="559" spans="5:6" x14ac:dyDescent="0.3">
      <c r="E559" s="42"/>
      <c r="F559" s="42"/>
    </row>
    <row r="560" spans="5:6" x14ac:dyDescent="0.3">
      <c r="E560" s="42"/>
      <c r="F560" s="42"/>
    </row>
    <row r="561" spans="5:6" x14ac:dyDescent="0.3">
      <c r="E561" s="42"/>
      <c r="F561" s="42"/>
    </row>
    <row r="562" spans="5:6" x14ac:dyDescent="0.3">
      <c r="E562" s="42"/>
      <c r="F562" s="42"/>
    </row>
    <row r="563" spans="5:6" x14ac:dyDescent="0.3">
      <c r="E563" s="42"/>
      <c r="F563" s="42"/>
    </row>
    <row r="564" spans="5:6" x14ac:dyDescent="0.3">
      <c r="E564" s="42"/>
      <c r="F564" s="42"/>
    </row>
    <row r="565" spans="5:6" x14ac:dyDescent="0.3">
      <c r="E565" s="42"/>
      <c r="F565" s="42"/>
    </row>
    <row r="566" spans="5:6" x14ac:dyDescent="0.3">
      <c r="E566" s="42"/>
      <c r="F566" s="42"/>
    </row>
    <row r="567" spans="5:6" x14ac:dyDescent="0.3">
      <c r="E567" s="42"/>
      <c r="F567" s="42"/>
    </row>
    <row r="568" spans="5:6" x14ac:dyDescent="0.3">
      <c r="E568" s="42"/>
      <c r="F568" s="42"/>
    </row>
    <row r="569" spans="5:6" x14ac:dyDescent="0.3">
      <c r="E569" s="42"/>
      <c r="F569" s="42"/>
    </row>
    <row r="570" spans="5:6" x14ac:dyDescent="0.3">
      <c r="E570" s="42"/>
      <c r="F570" s="42"/>
    </row>
    <row r="571" spans="5:6" x14ac:dyDescent="0.3">
      <c r="E571" s="42"/>
      <c r="F571" s="42"/>
    </row>
    <row r="572" spans="5:6" x14ac:dyDescent="0.3">
      <c r="E572" s="42"/>
      <c r="F572" s="42"/>
    </row>
    <row r="573" spans="5:6" x14ac:dyDescent="0.3">
      <c r="E573" s="42"/>
      <c r="F573" s="42"/>
    </row>
    <row r="574" spans="5:6" x14ac:dyDescent="0.3">
      <c r="E574" s="42"/>
      <c r="F574" s="42"/>
    </row>
    <row r="575" spans="5:6" x14ac:dyDescent="0.3">
      <c r="E575" s="42"/>
      <c r="F575" s="42"/>
    </row>
    <row r="576" spans="5:6" x14ac:dyDescent="0.3">
      <c r="E576" s="42"/>
      <c r="F576" s="42"/>
    </row>
    <row r="577" spans="5:6" x14ac:dyDescent="0.3">
      <c r="E577" s="42"/>
      <c r="F577" s="42"/>
    </row>
    <row r="578" spans="5:6" x14ac:dyDescent="0.3">
      <c r="E578" s="42"/>
      <c r="F578" s="42"/>
    </row>
    <row r="579" spans="5:6" x14ac:dyDescent="0.3">
      <c r="E579" s="42"/>
      <c r="F579" s="42"/>
    </row>
    <row r="580" spans="5:6" x14ac:dyDescent="0.3">
      <c r="E580" s="42"/>
      <c r="F580" s="42"/>
    </row>
    <row r="581" spans="5:6" x14ac:dyDescent="0.3">
      <c r="E581" s="42"/>
      <c r="F581" s="42"/>
    </row>
    <row r="582" spans="5:6" x14ac:dyDescent="0.3">
      <c r="E582" s="42"/>
      <c r="F582" s="42"/>
    </row>
    <row r="583" spans="5:6" x14ac:dyDescent="0.3">
      <c r="E583" s="42"/>
      <c r="F583" s="42"/>
    </row>
    <row r="584" spans="5:6" x14ac:dyDescent="0.3">
      <c r="E584" s="42"/>
      <c r="F584" s="42"/>
    </row>
    <row r="585" spans="5:6" x14ac:dyDescent="0.3">
      <c r="E585" s="42"/>
      <c r="F585" s="42"/>
    </row>
    <row r="586" spans="5:6" x14ac:dyDescent="0.3">
      <c r="E586" s="42"/>
      <c r="F586" s="42"/>
    </row>
    <row r="587" spans="5:6" x14ac:dyDescent="0.3">
      <c r="E587" s="42"/>
      <c r="F587" s="42"/>
    </row>
    <row r="588" spans="5:6" x14ac:dyDescent="0.3">
      <c r="E588" s="42"/>
      <c r="F588" s="42"/>
    </row>
    <row r="589" spans="5:6" x14ac:dyDescent="0.3">
      <c r="E589" s="42"/>
      <c r="F589" s="42"/>
    </row>
    <row r="590" spans="5:6" x14ac:dyDescent="0.3">
      <c r="E590" s="42"/>
      <c r="F590" s="42"/>
    </row>
    <row r="591" spans="5:6" x14ac:dyDescent="0.3">
      <c r="E591" s="42"/>
      <c r="F591" s="42"/>
    </row>
    <row r="592" spans="5:6" x14ac:dyDescent="0.3">
      <c r="E592" s="42"/>
      <c r="F592" s="42"/>
    </row>
    <row r="593" spans="5:6" x14ac:dyDescent="0.3">
      <c r="E593" s="42"/>
      <c r="F593" s="42"/>
    </row>
    <row r="594" spans="5:6" x14ac:dyDescent="0.3">
      <c r="E594" s="42"/>
      <c r="F594" s="42"/>
    </row>
    <row r="595" spans="5:6" x14ac:dyDescent="0.3">
      <c r="E595" s="42"/>
      <c r="F595" s="42"/>
    </row>
    <row r="596" spans="5:6" x14ac:dyDescent="0.3">
      <c r="E596" s="42"/>
      <c r="F596" s="42"/>
    </row>
    <row r="597" spans="5:6" x14ac:dyDescent="0.3">
      <c r="E597" s="42"/>
      <c r="F597" s="42"/>
    </row>
    <row r="598" spans="5:6" x14ac:dyDescent="0.3">
      <c r="E598" s="42"/>
      <c r="F598" s="42"/>
    </row>
    <row r="599" spans="5:6" x14ac:dyDescent="0.3">
      <c r="E599" s="42"/>
      <c r="F599" s="42"/>
    </row>
    <row r="600" spans="5:6" x14ac:dyDescent="0.3">
      <c r="E600" s="42"/>
      <c r="F600" s="42"/>
    </row>
    <row r="601" spans="5:6" x14ac:dyDescent="0.3">
      <c r="E601" s="42"/>
      <c r="F601" s="42"/>
    </row>
    <row r="602" spans="5:6" x14ac:dyDescent="0.3">
      <c r="E602" s="42"/>
      <c r="F602" s="42"/>
    </row>
    <row r="603" spans="5:6" x14ac:dyDescent="0.3">
      <c r="E603" s="42"/>
      <c r="F603" s="42"/>
    </row>
    <row r="604" spans="5:6" x14ac:dyDescent="0.3">
      <c r="E604" s="42"/>
      <c r="F604" s="42"/>
    </row>
    <row r="605" spans="5:6" x14ac:dyDescent="0.3">
      <c r="E605" s="42"/>
      <c r="F605" s="42"/>
    </row>
    <row r="606" spans="5:6" x14ac:dyDescent="0.3">
      <c r="E606" s="42"/>
      <c r="F606" s="42"/>
    </row>
    <row r="607" spans="5:6" x14ac:dyDescent="0.3">
      <c r="E607" s="42"/>
      <c r="F607" s="42"/>
    </row>
    <row r="608" spans="5:6" x14ac:dyDescent="0.3">
      <c r="E608" s="42"/>
      <c r="F608" s="42"/>
    </row>
    <row r="609" spans="5:6" x14ac:dyDescent="0.3">
      <c r="E609" s="42"/>
      <c r="F609" s="42"/>
    </row>
    <row r="610" spans="5:6" x14ac:dyDescent="0.3">
      <c r="E610" s="42"/>
      <c r="F610" s="42"/>
    </row>
    <row r="611" spans="5:6" x14ac:dyDescent="0.3">
      <c r="E611" s="42"/>
      <c r="F611" s="42"/>
    </row>
    <row r="612" spans="5:6" x14ac:dyDescent="0.3">
      <c r="E612" s="42"/>
      <c r="F612" s="42"/>
    </row>
    <row r="613" spans="5:6" x14ac:dyDescent="0.3">
      <c r="E613" s="42"/>
      <c r="F613" s="42"/>
    </row>
    <row r="614" spans="5:6" x14ac:dyDescent="0.3">
      <c r="E614" s="42"/>
      <c r="F614" s="42"/>
    </row>
    <row r="615" spans="5:6" x14ac:dyDescent="0.3">
      <c r="E615" s="42"/>
      <c r="F615" s="42"/>
    </row>
    <row r="616" spans="5:6" x14ac:dyDescent="0.3">
      <c r="E616" s="42"/>
      <c r="F616" s="42"/>
    </row>
    <row r="617" spans="5:6" x14ac:dyDescent="0.3">
      <c r="E617" s="42"/>
      <c r="F617" s="42"/>
    </row>
    <row r="618" spans="5:6" x14ac:dyDescent="0.3">
      <c r="E618" s="42"/>
      <c r="F618" s="42"/>
    </row>
    <row r="619" spans="5:6" x14ac:dyDescent="0.3">
      <c r="E619" s="42"/>
      <c r="F619" s="42"/>
    </row>
    <row r="620" spans="5:6" x14ac:dyDescent="0.3">
      <c r="E620" s="42"/>
      <c r="F620" s="42"/>
    </row>
    <row r="621" spans="5:6" x14ac:dyDescent="0.3">
      <c r="E621" s="42"/>
      <c r="F621" s="42"/>
    </row>
    <row r="622" spans="5:6" x14ac:dyDescent="0.3">
      <c r="E622" s="42"/>
      <c r="F622" s="42"/>
    </row>
    <row r="623" spans="5:6" x14ac:dyDescent="0.3">
      <c r="E623" s="42"/>
      <c r="F623" s="42"/>
    </row>
    <row r="624" spans="5:6" x14ac:dyDescent="0.3">
      <c r="E624" s="42"/>
      <c r="F624" s="42"/>
    </row>
    <row r="625" spans="5:6" x14ac:dyDescent="0.3">
      <c r="E625" s="42"/>
      <c r="F625" s="42"/>
    </row>
    <row r="626" spans="5:6" x14ac:dyDescent="0.3">
      <c r="E626" s="42"/>
      <c r="F626" s="42"/>
    </row>
    <row r="627" spans="5:6" x14ac:dyDescent="0.3">
      <c r="E627" s="42"/>
      <c r="F627" s="42"/>
    </row>
    <row r="628" spans="5:6" x14ac:dyDescent="0.3">
      <c r="E628" s="42"/>
      <c r="F628" s="42"/>
    </row>
    <row r="629" spans="5:6" x14ac:dyDescent="0.3">
      <c r="E629" s="42"/>
      <c r="F629" s="42"/>
    </row>
    <row r="630" spans="5:6" x14ac:dyDescent="0.3">
      <c r="E630" s="42"/>
      <c r="F630" s="42"/>
    </row>
    <row r="631" spans="5:6" x14ac:dyDescent="0.3">
      <c r="E631" s="42"/>
      <c r="F631" s="42"/>
    </row>
    <row r="632" spans="5:6" x14ac:dyDescent="0.3">
      <c r="E632" s="42"/>
      <c r="F632" s="42"/>
    </row>
    <row r="633" spans="5:6" x14ac:dyDescent="0.3">
      <c r="E633" s="42"/>
      <c r="F633" s="42"/>
    </row>
    <row r="634" spans="5:6" x14ac:dyDescent="0.3">
      <c r="E634" s="42"/>
      <c r="F634" s="42"/>
    </row>
    <row r="635" spans="5:6" x14ac:dyDescent="0.3">
      <c r="E635" s="42"/>
      <c r="F635" s="42"/>
    </row>
    <row r="636" spans="5:6" x14ac:dyDescent="0.3">
      <c r="E636" s="42"/>
      <c r="F636" s="42"/>
    </row>
    <row r="637" spans="5:6" x14ac:dyDescent="0.3">
      <c r="E637" s="42"/>
      <c r="F637" s="42"/>
    </row>
    <row r="638" spans="5:6" x14ac:dyDescent="0.3">
      <c r="E638" s="42"/>
      <c r="F638" s="42"/>
    </row>
    <row r="639" spans="5:6" x14ac:dyDescent="0.3">
      <c r="E639" s="42"/>
      <c r="F639" s="42"/>
    </row>
    <row r="640" spans="5:6" x14ac:dyDescent="0.3">
      <c r="E640" s="42"/>
      <c r="F640" s="42"/>
    </row>
    <row r="641" spans="5:6" x14ac:dyDescent="0.3">
      <c r="E641" s="42"/>
      <c r="F641" s="42"/>
    </row>
    <row r="642" spans="5:6" x14ac:dyDescent="0.3">
      <c r="E642" s="42"/>
      <c r="F642" s="42"/>
    </row>
    <row r="643" spans="5:6" x14ac:dyDescent="0.3">
      <c r="E643" s="42"/>
      <c r="F643" s="42"/>
    </row>
    <row r="644" spans="5:6" x14ac:dyDescent="0.3">
      <c r="E644" s="42"/>
      <c r="F644" s="42"/>
    </row>
    <row r="645" spans="5:6" x14ac:dyDescent="0.3">
      <c r="E645" s="42"/>
      <c r="F645" s="42"/>
    </row>
    <row r="646" spans="5:6" x14ac:dyDescent="0.3">
      <c r="E646" s="42"/>
      <c r="F646" s="42"/>
    </row>
    <row r="647" spans="5:6" x14ac:dyDescent="0.3">
      <c r="E647" s="42"/>
      <c r="F647" s="42"/>
    </row>
    <row r="648" spans="5:6" x14ac:dyDescent="0.3">
      <c r="E648" s="42"/>
      <c r="F648" s="42"/>
    </row>
    <row r="649" spans="5:6" x14ac:dyDescent="0.3">
      <c r="E649" s="42"/>
      <c r="F649" s="42"/>
    </row>
    <row r="650" spans="5:6" x14ac:dyDescent="0.3">
      <c r="E650" s="42"/>
      <c r="F650" s="42"/>
    </row>
    <row r="651" spans="5:6" x14ac:dyDescent="0.3">
      <c r="E651" s="42"/>
      <c r="F651" s="42"/>
    </row>
    <row r="652" spans="5:6" x14ac:dyDescent="0.3">
      <c r="E652" s="42"/>
      <c r="F652" s="42"/>
    </row>
    <row r="653" spans="5:6" x14ac:dyDescent="0.3">
      <c r="E653" s="42"/>
      <c r="F653" s="42"/>
    </row>
    <row r="654" spans="5:6" x14ac:dyDescent="0.3">
      <c r="E654" s="42"/>
      <c r="F654" s="42"/>
    </row>
    <row r="655" spans="5:6" x14ac:dyDescent="0.3">
      <c r="E655" s="42"/>
      <c r="F655" s="42"/>
    </row>
    <row r="656" spans="5:6" x14ac:dyDescent="0.3">
      <c r="E656" s="42"/>
      <c r="F656" s="42"/>
    </row>
    <row r="657" spans="5:6" x14ac:dyDescent="0.3">
      <c r="E657" s="42"/>
      <c r="F657" s="42"/>
    </row>
    <row r="658" spans="5:6" x14ac:dyDescent="0.3">
      <c r="E658" s="42"/>
      <c r="F658" s="42"/>
    </row>
    <row r="659" spans="5:6" x14ac:dyDescent="0.3">
      <c r="E659" s="42"/>
      <c r="F659" s="42"/>
    </row>
    <row r="660" spans="5:6" x14ac:dyDescent="0.3">
      <c r="E660" s="42"/>
      <c r="F660" s="42"/>
    </row>
    <row r="661" spans="5:6" x14ac:dyDescent="0.3">
      <c r="E661" s="42"/>
      <c r="F661" s="42"/>
    </row>
    <row r="662" spans="5:6" x14ac:dyDescent="0.3">
      <c r="E662" s="42"/>
      <c r="F662" s="42"/>
    </row>
    <row r="663" spans="5:6" x14ac:dyDescent="0.3">
      <c r="E663" s="42"/>
      <c r="F663" s="42"/>
    </row>
    <row r="664" spans="5:6" x14ac:dyDescent="0.3">
      <c r="E664" s="42"/>
      <c r="F664" s="42"/>
    </row>
    <row r="665" spans="5:6" x14ac:dyDescent="0.3">
      <c r="E665" s="42"/>
      <c r="F665" s="42"/>
    </row>
    <row r="666" spans="5:6" x14ac:dyDescent="0.3">
      <c r="E666" s="42"/>
      <c r="F666" s="42"/>
    </row>
    <row r="667" spans="5:6" x14ac:dyDescent="0.3">
      <c r="E667" s="42"/>
      <c r="F667" s="42"/>
    </row>
    <row r="668" spans="5:6" x14ac:dyDescent="0.3">
      <c r="E668" s="42"/>
      <c r="F668" s="42"/>
    </row>
    <row r="669" spans="5:6" x14ac:dyDescent="0.3">
      <c r="E669" s="42"/>
      <c r="F669" s="42"/>
    </row>
    <row r="670" spans="5:6" x14ac:dyDescent="0.3">
      <c r="E670" s="42"/>
      <c r="F670" s="42"/>
    </row>
    <row r="671" spans="5:6" x14ac:dyDescent="0.3">
      <c r="E671" s="42"/>
      <c r="F671" s="42"/>
    </row>
    <row r="672" spans="5:6" x14ac:dyDescent="0.3">
      <c r="E672" s="42"/>
      <c r="F672" s="42"/>
    </row>
    <row r="673" spans="5:6" x14ac:dyDescent="0.3">
      <c r="E673" s="42"/>
      <c r="F673" s="42"/>
    </row>
    <row r="674" spans="5:6" x14ac:dyDescent="0.3">
      <c r="E674" s="42"/>
      <c r="F674" s="42"/>
    </row>
    <row r="675" spans="5:6" x14ac:dyDescent="0.3">
      <c r="E675" s="42"/>
      <c r="F675" s="42"/>
    </row>
    <row r="676" spans="5:6" x14ac:dyDescent="0.3">
      <c r="E676" s="42"/>
      <c r="F676" s="42"/>
    </row>
    <row r="677" spans="5:6" x14ac:dyDescent="0.3">
      <c r="E677" s="42"/>
      <c r="F677" s="42"/>
    </row>
    <row r="678" spans="5:6" x14ac:dyDescent="0.3">
      <c r="E678" s="42"/>
      <c r="F678" s="42"/>
    </row>
    <row r="679" spans="5:6" x14ac:dyDescent="0.3">
      <c r="E679" s="42"/>
      <c r="F679" s="42"/>
    </row>
    <row r="680" spans="5:6" x14ac:dyDescent="0.3">
      <c r="E680" s="42"/>
      <c r="F680" s="42"/>
    </row>
    <row r="681" spans="5:6" x14ac:dyDescent="0.3">
      <c r="E681" s="42"/>
      <c r="F681" s="42"/>
    </row>
    <row r="682" spans="5:6" x14ac:dyDescent="0.3">
      <c r="E682" s="42"/>
      <c r="F682" s="42"/>
    </row>
    <row r="683" spans="5:6" x14ac:dyDescent="0.3">
      <c r="E683" s="42"/>
      <c r="F683" s="42"/>
    </row>
    <row r="684" spans="5:6" x14ac:dyDescent="0.3">
      <c r="E684" s="42"/>
      <c r="F684" s="42"/>
    </row>
    <row r="685" spans="5:6" x14ac:dyDescent="0.3">
      <c r="E685" s="42"/>
      <c r="F685" s="42"/>
    </row>
    <row r="686" spans="5:6" x14ac:dyDescent="0.3">
      <c r="E686" s="42"/>
      <c r="F686" s="42"/>
    </row>
    <row r="687" spans="5:6" x14ac:dyDescent="0.3">
      <c r="E687" s="42"/>
      <c r="F687" s="42"/>
    </row>
    <row r="688" spans="5:6" x14ac:dyDescent="0.3">
      <c r="E688" s="42"/>
      <c r="F688" s="42"/>
    </row>
    <row r="689" spans="5:6" x14ac:dyDescent="0.3">
      <c r="E689" s="42"/>
      <c r="F689" s="42"/>
    </row>
    <row r="690" spans="5:6" x14ac:dyDescent="0.3">
      <c r="E690" s="42"/>
      <c r="F690" s="42"/>
    </row>
    <row r="691" spans="5:6" x14ac:dyDescent="0.3">
      <c r="E691" s="42"/>
      <c r="F691" s="42"/>
    </row>
    <row r="692" spans="5:6" x14ac:dyDescent="0.3">
      <c r="E692" s="42"/>
      <c r="F692" s="42"/>
    </row>
    <row r="693" spans="5:6" x14ac:dyDescent="0.3">
      <c r="E693" s="42"/>
      <c r="F693" s="42"/>
    </row>
    <row r="694" spans="5:6" x14ac:dyDescent="0.3">
      <c r="E694" s="42"/>
      <c r="F694" s="42"/>
    </row>
    <row r="695" spans="5:6" x14ac:dyDescent="0.3">
      <c r="E695" s="42"/>
      <c r="F695" s="42"/>
    </row>
    <row r="696" spans="5:6" x14ac:dyDescent="0.3">
      <c r="E696" s="42"/>
      <c r="F696" s="42"/>
    </row>
    <row r="697" spans="5:6" x14ac:dyDescent="0.3">
      <c r="E697" s="42"/>
      <c r="F697" s="42"/>
    </row>
    <row r="698" spans="5:6" x14ac:dyDescent="0.3">
      <c r="E698" s="42"/>
      <c r="F698" s="42"/>
    </row>
    <row r="699" spans="5:6" x14ac:dyDescent="0.3">
      <c r="E699" s="42"/>
      <c r="F699" s="42"/>
    </row>
    <row r="700" spans="5:6" x14ac:dyDescent="0.3">
      <c r="E700" s="42"/>
      <c r="F700" s="42"/>
    </row>
    <row r="701" spans="5:6" x14ac:dyDescent="0.3">
      <c r="E701" s="42"/>
      <c r="F701" s="42"/>
    </row>
    <row r="702" spans="5:6" x14ac:dyDescent="0.3">
      <c r="E702" s="42"/>
      <c r="F702" s="42"/>
    </row>
    <row r="703" spans="5:6" x14ac:dyDescent="0.3">
      <c r="E703" s="42"/>
      <c r="F703" s="42"/>
    </row>
    <row r="704" spans="5:6" x14ac:dyDescent="0.3">
      <c r="E704" s="42"/>
      <c r="F704" s="42"/>
    </row>
    <row r="705" spans="5:6" x14ac:dyDescent="0.3">
      <c r="E705" s="42"/>
      <c r="F705" s="42"/>
    </row>
    <row r="706" spans="5:6" x14ac:dyDescent="0.3">
      <c r="E706" s="42"/>
      <c r="F706" s="42"/>
    </row>
    <row r="707" spans="5:6" x14ac:dyDescent="0.3">
      <c r="E707" s="42"/>
      <c r="F707" s="42"/>
    </row>
    <row r="708" spans="5:6" x14ac:dyDescent="0.3">
      <c r="E708" s="42"/>
      <c r="F708" s="42"/>
    </row>
    <row r="709" spans="5:6" x14ac:dyDescent="0.3">
      <c r="E709" s="42"/>
      <c r="F709" s="42"/>
    </row>
    <row r="710" spans="5:6" x14ac:dyDescent="0.3">
      <c r="E710" s="42"/>
      <c r="F710" s="42"/>
    </row>
    <row r="711" spans="5:6" x14ac:dyDescent="0.3">
      <c r="E711" s="42"/>
      <c r="F711" s="42"/>
    </row>
    <row r="712" spans="5:6" x14ac:dyDescent="0.3">
      <c r="E712" s="42"/>
      <c r="F712" s="42"/>
    </row>
    <row r="713" spans="5:6" x14ac:dyDescent="0.3">
      <c r="E713" s="42"/>
      <c r="F713" s="42"/>
    </row>
    <row r="714" spans="5:6" x14ac:dyDescent="0.3">
      <c r="E714" s="42"/>
      <c r="F714" s="42"/>
    </row>
    <row r="715" spans="5:6" x14ac:dyDescent="0.3">
      <c r="E715" s="42"/>
      <c r="F715" s="42"/>
    </row>
    <row r="716" spans="5:6" x14ac:dyDescent="0.3">
      <c r="E716" s="42"/>
      <c r="F716" s="42"/>
    </row>
    <row r="717" spans="5:6" x14ac:dyDescent="0.3">
      <c r="E717" s="42"/>
      <c r="F717" s="42"/>
    </row>
    <row r="718" spans="5:6" x14ac:dyDescent="0.3">
      <c r="E718" s="42"/>
      <c r="F718" s="42"/>
    </row>
    <row r="719" spans="5:6" x14ac:dyDescent="0.3">
      <c r="E719" s="42"/>
      <c r="F719" s="42"/>
    </row>
    <row r="720" spans="5:6" x14ac:dyDescent="0.3">
      <c r="E720" s="42"/>
      <c r="F720" s="42"/>
    </row>
    <row r="721" spans="5:6" x14ac:dyDescent="0.3">
      <c r="E721" s="42"/>
      <c r="F721" s="42"/>
    </row>
    <row r="722" spans="5:6" x14ac:dyDescent="0.3">
      <c r="E722" s="42"/>
      <c r="F722" s="42"/>
    </row>
    <row r="723" spans="5:6" x14ac:dyDescent="0.3">
      <c r="E723" s="42"/>
      <c r="F723" s="42"/>
    </row>
    <row r="724" spans="5:6" x14ac:dyDescent="0.3">
      <c r="E724" s="42"/>
      <c r="F724" s="42"/>
    </row>
    <row r="725" spans="5:6" x14ac:dyDescent="0.3">
      <c r="E725" s="42"/>
      <c r="F725" s="42"/>
    </row>
    <row r="726" spans="5:6" x14ac:dyDescent="0.3">
      <c r="E726" s="42"/>
      <c r="F726" s="42"/>
    </row>
    <row r="727" spans="5:6" x14ac:dyDescent="0.3">
      <c r="E727" s="42"/>
      <c r="F727" s="42"/>
    </row>
    <row r="728" spans="5:6" x14ac:dyDescent="0.3">
      <c r="E728" s="42"/>
      <c r="F728" s="42"/>
    </row>
    <row r="729" spans="5:6" x14ac:dyDescent="0.3">
      <c r="E729" s="42"/>
      <c r="F729" s="42"/>
    </row>
    <row r="730" spans="5:6" x14ac:dyDescent="0.3">
      <c r="E730" s="42"/>
      <c r="F730" s="42"/>
    </row>
    <row r="731" spans="5:6" x14ac:dyDescent="0.3">
      <c r="E731" s="42"/>
      <c r="F731" s="42"/>
    </row>
    <row r="732" spans="5:6" x14ac:dyDescent="0.3">
      <c r="E732" s="42"/>
      <c r="F732" s="42"/>
    </row>
    <row r="733" spans="5:6" x14ac:dyDescent="0.3">
      <c r="E733" s="42"/>
      <c r="F733" s="42"/>
    </row>
    <row r="734" spans="5:6" x14ac:dyDescent="0.3">
      <c r="E734" s="42"/>
      <c r="F734" s="42"/>
    </row>
    <row r="735" spans="5:6" x14ac:dyDescent="0.3">
      <c r="E735" s="42"/>
      <c r="F735" s="42"/>
    </row>
    <row r="736" spans="5:6" x14ac:dyDescent="0.3">
      <c r="E736" s="42"/>
      <c r="F736" s="42"/>
    </row>
    <row r="737" spans="5:6" x14ac:dyDescent="0.3">
      <c r="E737" s="42"/>
      <c r="F737" s="42"/>
    </row>
    <row r="738" spans="5:6" x14ac:dyDescent="0.3">
      <c r="E738" s="42"/>
      <c r="F738" s="42"/>
    </row>
    <row r="739" spans="5:6" x14ac:dyDescent="0.3">
      <c r="E739" s="42"/>
      <c r="F739" s="42"/>
    </row>
    <row r="740" spans="5:6" x14ac:dyDescent="0.3">
      <c r="E740" s="42"/>
      <c r="F740" s="42"/>
    </row>
    <row r="741" spans="5:6" x14ac:dyDescent="0.3">
      <c r="E741" s="42"/>
      <c r="F741" s="42"/>
    </row>
    <row r="742" spans="5:6" x14ac:dyDescent="0.3">
      <c r="E742" s="42"/>
      <c r="F742" s="42"/>
    </row>
    <row r="743" spans="5:6" x14ac:dyDescent="0.3">
      <c r="E743" s="42"/>
      <c r="F743" s="42"/>
    </row>
    <row r="744" spans="5:6" x14ac:dyDescent="0.3">
      <c r="E744" s="42"/>
      <c r="F744" s="42"/>
    </row>
    <row r="745" spans="5:6" x14ac:dyDescent="0.3">
      <c r="E745" s="42"/>
      <c r="F745" s="42"/>
    </row>
    <row r="746" spans="5:6" x14ac:dyDescent="0.3">
      <c r="E746" s="42"/>
      <c r="F746" s="42"/>
    </row>
    <row r="747" spans="5:6" x14ac:dyDescent="0.3">
      <c r="E747" s="42"/>
      <c r="F747" s="42"/>
    </row>
    <row r="748" spans="5:6" x14ac:dyDescent="0.3">
      <c r="E748" s="42"/>
      <c r="F748" s="42"/>
    </row>
    <row r="749" spans="5:6" x14ac:dyDescent="0.3">
      <c r="E749" s="42"/>
      <c r="F749" s="42"/>
    </row>
    <row r="750" spans="5:6" x14ac:dyDescent="0.3">
      <c r="E750" s="42"/>
      <c r="F750" s="42"/>
    </row>
    <row r="751" spans="5:6" x14ac:dyDescent="0.3">
      <c r="E751" s="42"/>
      <c r="F751" s="42"/>
    </row>
    <row r="752" spans="5:6" x14ac:dyDescent="0.3">
      <c r="E752" s="42"/>
      <c r="F752" s="42"/>
    </row>
    <row r="753" spans="5:6" x14ac:dyDescent="0.3">
      <c r="E753" s="42"/>
      <c r="F753" s="42"/>
    </row>
    <row r="754" spans="5:6" x14ac:dyDescent="0.3">
      <c r="E754" s="42"/>
      <c r="F754" s="42"/>
    </row>
    <row r="755" spans="5:6" x14ac:dyDescent="0.3">
      <c r="E755" s="42"/>
      <c r="F755" s="42"/>
    </row>
    <row r="756" spans="5:6" x14ac:dyDescent="0.3">
      <c r="E756" s="42"/>
      <c r="F756" s="42"/>
    </row>
    <row r="757" spans="5:6" x14ac:dyDescent="0.3">
      <c r="E757" s="42"/>
      <c r="F757" s="42"/>
    </row>
    <row r="758" spans="5:6" x14ac:dyDescent="0.3">
      <c r="E758" s="42"/>
      <c r="F758" s="42"/>
    </row>
    <row r="759" spans="5:6" x14ac:dyDescent="0.3">
      <c r="E759" s="42"/>
      <c r="F759" s="42"/>
    </row>
    <row r="760" spans="5:6" x14ac:dyDescent="0.3">
      <c r="E760" s="42"/>
      <c r="F760" s="42"/>
    </row>
    <row r="761" spans="5:6" x14ac:dyDescent="0.3">
      <c r="E761" s="42"/>
      <c r="F761" s="42"/>
    </row>
    <row r="762" spans="5:6" x14ac:dyDescent="0.3">
      <c r="E762" s="42"/>
      <c r="F762" s="42"/>
    </row>
    <row r="763" spans="5:6" x14ac:dyDescent="0.3">
      <c r="E763" s="42"/>
      <c r="F763" s="42"/>
    </row>
    <row r="764" spans="5:6" x14ac:dyDescent="0.3">
      <c r="E764" s="42"/>
      <c r="F764" s="42"/>
    </row>
    <row r="765" spans="5:6" x14ac:dyDescent="0.3">
      <c r="E765" s="42"/>
      <c r="F765" s="42"/>
    </row>
    <row r="766" spans="5:6" x14ac:dyDescent="0.3">
      <c r="E766" s="42"/>
      <c r="F766" s="42"/>
    </row>
    <row r="767" spans="5:6" x14ac:dyDescent="0.3">
      <c r="E767" s="42"/>
      <c r="F767" s="42"/>
    </row>
    <row r="768" spans="5:6" x14ac:dyDescent="0.3">
      <c r="E768" s="42"/>
      <c r="F768" s="42"/>
    </row>
    <row r="769" spans="5:6" x14ac:dyDescent="0.3">
      <c r="E769" s="42"/>
      <c r="F769" s="42"/>
    </row>
    <row r="770" spans="5:6" x14ac:dyDescent="0.3">
      <c r="E770" s="42"/>
      <c r="F770" s="42"/>
    </row>
    <row r="771" spans="5:6" x14ac:dyDescent="0.3">
      <c r="E771" s="42"/>
      <c r="F771" s="42"/>
    </row>
    <row r="772" spans="5:6" x14ac:dyDescent="0.3">
      <c r="E772" s="42"/>
      <c r="F772" s="42"/>
    </row>
    <row r="773" spans="5:6" x14ac:dyDescent="0.3">
      <c r="E773" s="42"/>
      <c r="F773" s="42"/>
    </row>
    <row r="774" spans="5:6" x14ac:dyDescent="0.3">
      <c r="E774" s="42"/>
      <c r="F774" s="42"/>
    </row>
    <row r="775" spans="5:6" x14ac:dyDescent="0.3">
      <c r="E775" s="42"/>
      <c r="F775" s="42"/>
    </row>
    <row r="776" spans="5:6" x14ac:dyDescent="0.3">
      <c r="E776" s="42"/>
      <c r="F776" s="42"/>
    </row>
    <row r="777" spans="5:6" x14ac:dyDescent="0.3">
      <c r="E777" s="42"/>
      <c r="F777" s="42"/>
    </row>
    <row r="778" spans="5:6" x14ac:dyDescent="0.3">
      <c r="E778" s="42"/>
      <c r="F778" s="42"/>
    </row>
    <row r="779" spans="5:6" x14ac:dyDescent="0.3">
      <c r="E779" s="42"/>
      <c r="F779" s="42"/>
    </row>
    <row r="780" spans="5:6" x14ac:dyDescent="0.3">
      <c r="E780" s="42"/>
      <c r="F780" s="42"/>
    </row>
    <row r="781" spans="5:6" x14ac:dyDescent="0.3">
      <c r="E781" s="42"/>
      <c r="F781" s="42"/>
    </row>
    <row r="782" spans="5:6" x14ac:dyDescent="0.3">
      <c r="E782" s="42"/>
      <c r="F782" s="42"/>
    </row>
    <row r="783" spans="5:6" x14ac:dyDescent="0.3">
      <c r="E783" s="42"/>
      <c r="F783" s="42"/>
    </row>
    <row r="784" spans="5:6" x14ac:dyDescent="0.3">
      <c r="E784" s="42"/>
      <c r="F784" s="42"/>
    </row>
    <row r="785" spans="5:6" x14ac:dyDescent="0.3">
      <c r="E785" s="42"/>
      <c r="F785" s="42"/>
    </row>
    <row r="786" spans="5:6" x14ac:dyDescent="0.3">
      <c r="E786" s="42"/>
      <c r="F786" s="42"/>
    </row>
    <row r="787" spans="5:6" x14ac:dyDescent="0.3">
      <c r="E787" s="42"/>
      <c r="F787" s="42"/>
    </row>
    <row r="788" spans="5:6" x14ac:dyDescent="0.3">
      <c r="E788" s="42"/>
      <c r="F788" s="42"/>
    </row>
    <row r="789" spans="5:6" x14ac:dyDescent="0.3">
      <c r="E789" s="42"/>
      <c r="F789" s="42"/>
    </row>
    <row r="790" spans="5:6" x14ac:dyDescent="0.3">
      <c r="E790" s="42"/>
      <c r="F790" s="42"/>
    </row>
    <row r="791" spans="5:6" x14ac:dyDescent="0.3">
      <c r="E791" s="42"/>
      <c r="F791" s="42"/>
    </row>
    <row r="792" spans="5:6" x14ac:dyDescent="0.3">
      <c r="E792" s="42"/>
      <c r="F792" s="42"/>
    </row>
    <row r="793" spans="5:6" x14ac:dyDescent="0.3">
      <c r="E793" s="42"/>
      <c r="F793" s="42"/>
    </row>
    <row r="794" spans="5:6" x14ac:dyDescent="0.3">
      <c r="E794" s="42"/>
      <c r="F794" s="42"/>
    </row>
    <row r="795" spans="5:6" x14ac:dyDescent="0.3">
      <c r="E795" s="42"/>
      <c r="F795" s="42"/>
    </row>
    <row r="796" spans="5:6" x14ac:dyDescent="0.3">
      <c r="E796" s="42"/>
      <c r="F796" s="42"/>
    </row>
    <row r="797" spans="5:6" x14ac:dyDescent="0.3">
      <c r="E797" s="42"/>
      <c r="F797" s="42"/>
    </row>
    <row r="798" spans="5:6" x14ac:dyDescent="0.3">
      <c r="E798" s="42"/>
      <c r="F798" s="42"/>
    </row>
    <row r="799" spans="5:6" x14ac:dyDescent="0.3">
      <c r="E799" s="42"/>
      <c r="F799" s="42"/>
    </row>
    <row r="800" spans="5:6" x14ac:dyDescent="0.3">
      <c r="E800" s="42"/>
      <c r="F800" s="42"/>
    </row>
    <row r="801" spans="5:6" x14ac:dyDescent="0.3">
      <c r="E801" s="42"/>
      <c r="F801" s="42"/>
    </row>
    <row r="802" spans="5:6" x14ac:dyDescent="0.3">
      <c r="E802" s="42"/>
      <c r="F802" s="42"/>
    </row>
    <row r="803" spans="5:6" x14ac:dyDescent="0.3">
      <c r="E803" s="42"/>
      <c r="F803" s="42"/>
    </row>
    <row r="804" spans="5:6" x14ac:dyDescent="0.3">
      <c r="E804" s="42"/>
      <c r="F804" s="42"/>
    </row>
    <row r="805" spans="5:6" x14ac:dyDescent="0.3">
      <c r="E805" s="42"/>
      <c r="F805" s="42"/>
    </row>
    <row r="806" spans="5:6" x14ac:dyDescent="0.3">
      <c r="E806" s="42"/>
      <c r="F806" s="42"/>
    </row>
    <row r="807" spans="5:6" x14ac:dyDescent="0.3">
      <c r="E807" s="42"/>
      <c r="F807" s="42"/>
    </row>
    <row r="808" spans="5:6" x14ac:dyDescent="0.3">
      <c r="E808" s="42"/>
      <c r="F808" s="42"/>
    </row>
    <row r="809" spans="5:6" x14ac:dyDescent="0.3">
      <c r="E809" s="42"/>
      <c r="F809" s="42"/>
    </row>
    <row r="810" spans="5:6" x14ac:dyDescent="0.3">
      <c r="E810" s="42"/>
      <c r="F810" s="42"/>
    </row>
    <row r="811" spans="5:6" x14ac:dyDescent="0.3">
      <c r="E811" s="42"/>
      <c r="F811" s="42"/>
    </row>
    <row r="812" spans="5:6" x14ac:dyDescent="0.3">
      <c r="E812" s="42"/>
      <c r="F812" s="42"/>
    </row>
    <row r="813" spans="5:6" x14ac:dyDescent="0.3">
      <c r="E813" s="42"/>
      <c r="F813" s="42"/>
    </row>
    <row r="814" spans="5:6" x14ac:dyDescent="0.3">
      <c r="E814" s="42"/>
      <c r="F814" s="42"/>
    </row>
    <row r="815" spans="5:6" x14ac:dyDescent="0.3">
      <c r="E815" s="42"/>
      <c r="F815" s="42"/>
    </row>
    <row r="816" spans="5:6" x14ac:dyDescent="0.3">
      <c r="E816" s="42"/>
      <c r="F816" s="42"/>
    </row>
    <row r="817" spans="5:6" x14ac:dyDescent="0.3">
      <c r="E817" s="42"/>
      <c r="F817" s="42"/>
    </row>
    <row r="818" spans="5:6" x14ac:dyDescent="0.3">
      <c r="E818" s="42"/>
      <c r="F818" s="42"/>
    </row>
    <row r="819" spans="5:6" x14ac:dyDescent="0.3">
      <c r="E819" s="42"/>
      <c r="F819" s="42"/>
    </row>
    <row r="820" spans="5:6" x14ac:dyDescent="0.3">
      <c r="E820" s="42"/>
      <c r="F820" s="42"/>
    </row>
    <row r="821" spans="5:6" x14ac:dyDescent="0.3">
      <c r="E821" s="42"/>
      <c r="F821" s="42"/>
    </row>
    <row r="822" spans="5:6" x14ac:dyDescent="0.3">
      <c r="E822" s="42"/>
      <c r="F822" s="42"/>
    </row>
    <row r="823" spans="5:6" x14ac:dyDescent="0.3">
      <c r="E823" s="42"/>
      <c r="F823" s="42"/>
    </row>
    <row r="824" spans="5:6" x14ac:dyDescent="0.3">
      <c r="E824" s="42"/>
      <c r="F824" s="42"/>
    </row>
    <row r="825" spans="5:6" x14ac:dyDescent="0.3">
      <c r="E825" s="42"/>
      <c r="F825" s="42"/>
    </row>
    <row r="826" spans="5:6" x14ac:dyDescent="0.3">
      <c r="E826" s="42"/>
      <c r="F826" s="42"/>
    </row>
    <row r="827" spans="5:6" x14ac:dyDescent="0.3">
      <c r="E827" s="42"/>
      <c r="F827" s="42"/>
    </row>
    <row r="828" spans="5:6" x14ac:dyDescent="0.3">
      <c r="E828" s="42"/>
      <c r="F828" s="42"/>
    </row>
    <row r="829" spans="5:6" x14ac:dyDescent="0.3">
      <c r="E829" s="42"/>
      <c r="F829" s="42"/>
    </row>
    <row r="830" spans="5:6" x14ac:dyDescent="0.3">
      <c r="E830" s="42"/>
      <c r="F830" s="42"/>
    </row>
    <row r="831" spans="5:6" x14ac:dyDescent="0.3">
      <c r="E831" s="42"/>
      <c r="F831" s="42"/>
    </row>
    <row r="832" spans="5:6" x14ac:dyDescent="0.3">
      <c r="E832" s="42"/>
      <c r="F832" s="42"/>
    </row>
    <row r="833" spans="5:6" x14ac:dyDescent="0.3">
      <c r="E833" s="42"/>
      <c r="F833" s="42"/>
    </row>
    <row r="834" spans="5:6" x14ac:dyDescent="0.3">
      <c r="E834" s="42"/>
      <c r="F834" s="42"/>
    </row>
    <row r="835" spans="5:6" x14ac:dyDescent="0.3">
      <c r="E835" s="42"/>
      <c r="F835" s="42"/>
    </row>
    <row r="836" spans="5:6" x14ac:dyDescent="0.3">
      <c r="E836" s="42"/>
      <c r="F836" s="42"/>
    </row>
    <row r="837" spans="5:6" x14ac:dyDescent="0.3">
      <c r="E837" s="42"/>
      <c r="F837" s="42"/>
    </row>
    <row r="838" spans="5:6" x14ac:dyDescent="0.3">
      <c r="E838" s="42"/>
      <c r="F838" s="42"/>
    </row>
    <row r="839" spans="5:6" x14ac:dyDescent="0.3">
      <c r="E839" s="42"/>
      <c r="F839" s="42"/>
    </row>
    <row r="840" spans="5:6" x14ac:dyDescent="0.3">
      <c r="E840" s="42"/>
      <c r="F840" s="42"/>
    </row>
    <row r="841" spans="5:6" x14ac:dyDescent="0.3">
      <c r="E841" s="42"/>
      <c r="F841" s="42"/>
    </row>
    <row r="842" spans="5:6" x14ac:dyDescent="0.3">
      <c r="E842" s="42"/>
      <c r="F842" s="42"/>
    </row>
    <row r="843" spans="5:6" x14ac:dyDescent="0.3">
      <c r="E843" s="42"/>
      <c r="F843" s="42"/>
    </row>
    <row r="844" spans="5:6" x14ac:dyDescent="0.3">
      <c r="E844" s="42"/>
      <c r="F844" s="42"/>
    </row>
    <row r="845" spans="5:6" x14ac:dyDescent="0.3">
      <c r="E845" s="42"/>
      <c r="F845" s="42"/>
    </row>
    <row r="846" spans="5:6" x14ac:dyDescent="0.3">
      <c r="E846" s="42"/>
      <c r="F846" s="42"/>
    </row>
    <row r="847" spans="5:6" x14ac:dyDescent="0.3">
      <c r="E847" s="42"/>
      <c r="F847" s="42"/>
    </row>
    <row r="848" spans="5:6" x14ac:dyDescent="0.3">
      <c r="E848" s="42"/>
      <c r="F848" s="42"/>
    </row>
    <row r="849" spans="5:6" x14ac:dyDescent="0.3">
      <c r="E849" s="42"/>
      <c r="F849" s="42"/>
    </row>
    <row r="850" spans="5:6" x14ac:dyDescent="0.3">
      <c r="E850" s="42"/>
      <c r="F850" s="42"/>
    </row>
    <row r="851" spans="5:6" x14ac:dyDescent="0.3">
      <c r="E851" s="42"/>
      <c r="F851" s="42"/>
    </row>
    <row r="852" spans="5:6" x14ac:dyDescent="0.3">
      <c r="E852" s="42"/>
      <c r="F852" s="42"/>
    </row>
    <row r="853" spans="5:6" x14ac:dyDescent="0.3">
      <c r="E853" s="42"/>
      <c r="F853" s="42"/>
    </row>
    <row r="854" spans="5:6" x14ac:dyDescent="0.3">
      <c r="E854" s="42"/>
      <c r="F854" s="42"/>
    </row>
    <row r="855" spans="5:6" x14ac:dyDescent="0.3">
      <c r="E855" s="42"/>
      <c r="F855" s="42"/>
    </row>
    <row r="856" spans="5:6" x14ac:dyDescent="0.3">
      <c r="E856" s="42"/>
      <c r="F856" s="42"/>
    </row>
    <row r="857" spans="5:6" x14ac:dyDescent="0.3">
      <c r="E857" s="42"/>
      <c r="F857" s="42"/>
    </row>
    <row r="858" spans="5:6" x14ac:dyDescent="0.3">
      <c r="E858" s="42"/>
      <c r="F858" s="42"/>
    </row>
    <row r="859" spans="5:6" x14ac:dyDescent="0.3">
      <c r="E859" s="42"/>
      <c r="F859" s="42"/>
    </row>
    <row r="860" spans="5:6" x14ac:dyDescent="0.3">
      <c r="E860" s="42"/>
      <c r="F860" s="42"/>
    </row>
    <row r="861" spans="5:6" x14ac:dyDescent="0.3">
      <c r="E861" s="42"/>
      <c r="F861" s="42"/>
    </row>
    <row r="862" spans="5:6" x14ac:dyDescent="0.3">
      <c r="E862" s="42"/>
      <c r="F862" s="42"/>
    </row>
    <row r="863" spans="5:6" x14ac:dyDescent="0.3">
      <c r="E863" s="42"/>
      <c r="F863" s="42"/>
    </row>
    <row r="864" spans="5:6" x14ac:dyDescent="0.3">
      <c r="E864" s="42"/>
      <c r="F864" s="42"/>
    </row>
    <row r="865" spans="5:6" x14ac:dyDescent="0.3">
      <c r="E865" s="42"/>
      <c r="F865" s="42"/>
    </row>
    <row r="866" spans="5:6" x14ac:dyDescent="0.3">
      <c r="E866" s="42"/>
      <c r="F866" s="42"/>
    </row>
    <row r="867" spans="5:6" x14ac:dyDescent="0.3">
      <c r="E867" s="42"/>
      <c r="F867" s="42"/>
    </row>
    <row r="868" spans="5:6" x14ac:dyDescent="0.3">
      <c r="E868" s="42"/>
      <c r="F868" s="42"/>
    </row>
    <row r="869" spans="5:6" x14ac:dyDescent="0.3">
      <c r="E869" s="42"/>
      <c r="F869" s="42"/>
    </row>
    <row r="870" spans="5:6" x14ac:dyDescent="0.3">
      <c r="E870" s="42"/>
      <c r="F870" s="42"/>
    </row>
    <row r="871" spans="5:6" x14ac:dyDescent="0.3">
      <c r="E871" s="42"/>
      <c r="F871" s="42"/>
    </row>
    <row r="872" spans="5:6" x14ac:dyDescent="0.3">
      <c r="E872" s="42"/>
      <c r="F872" s="42"/>
    </row>
    <row r="873" spans="5:6" x14ac:dyDescent="0.3">
      <c r="E873" s="42"/>
      <c r="F873" s="42"/>
    </row>
    <row r="874" spans="5:6" x14ac:dyDescent="0.3">
      <c r="E874" s="42"/>
      <c r="F874" s="42"/>
    </row>
    <row r="875" spans="5:6" x14ac:dyDescent="0.3">
      <c r="E875" s="42"/>
      <c r="F875" s="42"/>
    </row>
    <row r="876" spans="5:6" x14ac:dyDescent="0.3">
      <c r="E876" s="42"/>
      <c r="F876" s="42"/>
    </row>
    <row r="877" spans="5:6" x14ac:dyDescent="0.3">
      <c r="E877" s="42"/>
      <c r="F877" s="42"/>
    </row>
    <row r="878" spans="5:6" x14ac:dyDescent="0.3">
      <c r="E878" s="42"/>
      <c r="F878" s="42"/>
    </row>
    <row r="879" spans="5:6" x14ac:dyDescent="0.3">
      <c r="E879" s="42"/>
      <c r="F879" s="42"/>
    </row>
    <row r="880" spans="5:6" x14ac:dyDescent="0.3">
      <c r="E880" s="42"/>
      <c r="F880" s="42"/>
    </row>
    <row r="881" spans="5:6" x14ac:dyDescent="0.3">
      <c r="E881" s="42"/>
      <c r="F881" s="42"/>
    </row>
    <row r="882" spans="5:6" x14ac:dyDescent="0.3">
      <c r="E882" s="42"/>
      <c r="F882" s="42"/>
    </row>
    <row r="883" spans="5:6" x14ac:dyDescent="0.3">
      <c r="E883" s="42"/>
      <c r="F883" s="42"/>
    </row>
    <row r="884" spans="5:6" x14ac:dyDescent="0.3">
      <c r="E884" s="42"/>
      <c r="F884" s="42"/>
    </row>
    <row r="885" spans="5:6" x14ac:dyDescent="0.3">
      <c r="E885" s="42"/>
      <c r="F885" s="42"/>
    </row>
    <row r="886" spans="5:6" x14ac:dyDescent="0.3">
      <c r="E886" s="42"/>
      <c r="F886" s="42"/>
    </row>
    <row r="887" spans="5:6" x14ac:dyDescent="0.3">
      <c r="E887" s="42"/>
      <c r="F887" s="42"/>
    </row>
    <row r="888" spans="5:6" x14ac:dyDescent="0.3">
      <c r="E888" s="42"/>
      <c r="F888" s="42"/>
    </row>
    <row r="889" spans="5:6" x14ac:dyDescent="0.3">
      <c r="E889" s="42"/>
      <c r="F889" s="42"/>
    </row>
    <row r="890" spans="5:6" x14ac:dyDescent="0.3">
      <c r="E890" s="42"/>
      <c r="F890" s="42"/>
    </row>
    <row r="891" spans="5:6" x14ac:dyDescent="0.3">
      <c r="E891" s="42"/>
      <c r="F891" s="42"/>
    </row>
    <row r="892" spans="5:6" x14ac:dyDescent="0.3">
      <c r="E892" s="42"/>
      <c r="F892" s="42"/>
    </row>
    <row r="893" spans="5:6" x14ac:dyDescent="0.3">
      <c r="E893" s="42"/>
      <c r="F893" s="42"/>
    </row>
    <row r="894" spans="5:6" x14ac:dyDescent="0.3">
      <c r="E894" s="42"/>
      <c r="F894" s="42"/>
    </row>
    <row r="895" spans="5:6" x14ac:dyDescent="0.3">
      <c r="E895" s="42"/>
      <c r="F895" s="42"/>
    </row>
    <row r="896" spans="5:6" x14ac:dyDescent="0.3">
      <c r="E896" s="42"/>
      <c r="F896" s="42"/>
    </row>
    <row r="897" spans="5:6" x14ac:dyDescent="0.3">
      <c r="E897" s="42"/>
      <c r="F897" s="42"/>
    </row>
    <row r="898" spans="5:6" x14ac:dyDescent="0.3">
      <c r="E898" s="42"/>
      <c r="F898" s="42"/>
    </row>
    <row r="899" spans="5:6" x14ac:dyDescent="0.3">
      <c r="E899" s="42"/>
      <c r="F899" s="42"/>
    </row>
    <row r="900" spans="5:6" x14ac:dyDescent="0.3">
      <c r="E900" s="42"/>
      <c r="F900" s="42"/>
    </row>
    <row r="901" spans="5:6" x14ac:dyDescent="0.3">
      <c r="E901" s="42"/>
      <c r="F901" s="42"/>
    </row>
    <row r="902" spans="5:6" x14ac:dyDescent="0.3">
      <c r="E902" s="42"/>
      <c r="F902" s="42"/>
    </row>
    <row r="903" spans="5:6" x14ac:dyDescent="0.3">
      <c r="E903" s="42"/>
      <c r="F903" s="42"/>
    </row>
    <row r="904" spans="5:6" x14ac:dyDescent="0.3">
      <c r="E904" s="42"/>
      <c r="F904" s="42"/>
    </row>
    <row r="905" spans="5:6" x14ac:dyDescent="0.3">
      <c r="E905" s="42"/>
      <c r="F905" s="42"/>
    </row>
    <row r="906" spans="5:6" x14ac:dyDescent="0.3">
      <c r="E906" s="42"/>
      <c r="F906" s="42"/>
    </row>
    <row r="907" spans="5:6" x14ac:dyDescent="0.3">
      <c r="E907" s="42"/>
      <c r="F907" s="42"/>
    </row>
    <row r="908" spans="5:6" x14ac:dyDescent="0.3">
      <c r="E908" s="42"/>
      <c r="F908" s="42"/>
    </row>
    <row r="909" spans="5:6" x14ac:dyDescent="0.3">
      <c r="E909" s="42"/>
      <c r="F909" s="42"/>
    </row>
    <row r="910" spans="5:6" x14ac:dyDescent="0.3">
      <c r="E910" s="42"/>
      <c r="F910" s="42"/>
    </row>
    <row r="911" spans="5:6" x14ac:dyDescent="0.3">
      <c r="E911" s="42"/>
      <c r="F911" s="42"/>
    </row>
    <row r="912" spans="5:6" x14ac:dyDescent="0.3">
      <c r="E912" s="42"/>
      <c r="F912" s="42"/>
    </row>
    <row r="913" spans="5:6" x14ac:dyDescent="0.3">
      <c r="E913" s="42"/>
      <c r="F913" s="42"/>
    </row>
    <row r="914" spans="5:6" x14ac:dyDescent="0.3">
      <c r="E914" s="42"/>
      <c r="F914" s="42"/>
    </row>
    <row r="915" spans="5:6" x14ac:dyDescent="0.3">
      <c r="E915" s="42"/>
      <c r="F915" s="42"/>
    </row>
    <row r="916" spans="5:6" x14ac:dyDescent="0.3">
      <c r="E916" s="42"/>
      <c r="F916" s="42"/>
    </row>
    <row r="917" spans="5:6" x14ac:dyDescent="0.3">
      <c r="E917" s="42"/>
      <c r="F917" s="42"/>
    </row>
    <row r="918" spans="5:6" x14ac:dyDescent="0.3">
      <c r="E918" s="42"/>
      <c r="F918" s="42"/>
    </row>
    <row r="919" spans="5:6" x14ac:dyDescent="0.3">
      <c r="E919" s="42"/>
      <c r="F919" s="42"/>
    </row>
    <row r="920" spans="5:6" x14ac:dyDescent="0.3">
      <c r="E920" s="42"/>
      <c r="F920" s="42"/>
    </row>
    <row r="921" spans="5:6" x14ac:dyDescent="0.3">
      <c r="E921" s="42"/>
      <c r="F921" s="42"/>
    </row>
    <row r="922" spans="5:6" x14ac:dyDescent="0.3">
      <c r="E922" s="42"/>
      <c r="F922" s="42"/>
    </row>
    <row r="923" spans="5:6" x14ac:dyDescent="0.3">
      <c r="E923" s="42"/>
      <c r="F923" s="42"/>
    </row>
    <row r="924" spans="5:6" x14ac:dyDescent="0.3">
      <c r="E924" s="42"/>
      <c r="F924" s="42"/>
    </row>
    <row r="925" spans="5:6" x14ac:dyDescent="0.3">
      <c r="E925" s="42"/>
      <c r="F925" s="42"/>
    </row>
    <row r="926" spans="5:6" x14ac:dyDescent="0.3">
      <c r="E926" s="42"/>
      <c r="F926" s="42"/>
    </row>
    <row r="927" spans="5:6" x14ac:dyDescent="0.3">
      <c r="E927" s="42"/>
      <c r="F927" s="42"/>
    </row>
    <row r="928" spans="5:6" x14ac:dyDescent="0.3">
      <c r="E928" s="42"/>
      <c r="F928" s="42"/>
    </row>
    <row r="929" spans="5:6" x14ac:dyDescent="0.3">
      <c r="E929" s="42"/>
      <c r="F929" s="42"/>
    </row>
    <row r="930" spans="5:6" x14ac:dyDescent="0.3">
      <c r="E930" s="42"/>
      <c r="F930" s="42"/>
    </row>
    <row r="931" spans="5:6" x14ac:dyDescent="0.3">
      <c r="E931" s="42"/>
      <c r="F931" s="42"/>
    </row>
    <row r="932" spans="5:6" x14ac:dyDescent="0.3">
      <c r="E932" s="42"/>
      <c r="F932" s="42"/>
    </row>
    <row r="933" spans="5:6" x14ac:dyDescent="0.3">
      <c r="E933" s="42"/>
      <c r="F933" s="42"/>
    </row>
    <row r="934" spans="5:6" x14ac:dyDescent="0.3">
      <c r="E934" s="42"/>
      <c r="F934" s="42"/>
    </row>
    <row r="935" spans="5:6" x14ac:dyDescent="0.3">
      <c r="E935" s="42"/>
      <c r="F935" s="42"/>
    </row>
    <row r="936" spans="5:6" x14ac:dyDescent="0.3">
      <c r="E936" s="42"/>
      <c r="F936" s="42"/>
    </row>
    <row r="937" spans="5:6" x14ac:dyDescent="0.3">
      <c r="E937" s="42"/>
      <c r="F937" s="42"/>
    </row>
    <row r="938" spans="5:6" x14ac:dyDescent="0.3">
      <c r="E938" s="42"/>
      <c r="F938" s="42"/>
    </row>
    <row r="939" spans="5:6" x14ac:dyDescent="0.3">
      <c r="E939" s="42"/>
      <c r="F939" s="42"/>
    </row>
    <row r="940" spans="5:6" x14ac:dyDescent="0.3">
      <c r="E940" s="42"/>
      <c r="F940" s="42"/>
    </row>
    <row r="941" spans="5:6" x14ac:dyDescent="0.3">
      <c r="E941" s="42"/>
      <c r="F941" s="42"/>
    </row>
    <row r="942" spans="5:6" x14ac:dyDescent="0.3">
      <c r="E942" s="42"/>
      <c r="F942" s="42"/>
    </row>
    <row r="943" spans="5:6" x14ac:dyDescent="0.3">
      <c r="E943" s="42"/>
      <c r="F943" s="42"/>
    </row>
    <row r="944" spans="5:6" x14ac:dyDescent="0.3">
      <c r="E944" s="42"/>
      <c r="F944" s="42"/>
    </row>
    <row r="945" spans="5:6" x14ac:dyDescent="0.3">
      <c r="E945" s="42"/>
      <c r="F945" s="42"/>
    </row>
    <row r="946" spans="5:6" x14ac:dyDescent="0.3">
      <c r="E946" s="42"/>
      <c r="F946" s="42"/>
    </row>
    <row r="947" spans="5:6" x14ac:dyDescent="0.3">
      <c r="E947" s="42"/>
      <c r="F947" s="42"/>
    </row>
    <row r="948" spans="5:6" x14ac:dyDescent="0.3">
      <c r="E948" s="42"/>
      <c r="F948" s="42"/>
    </row>
    <row r="949" spans="5:6" x14ac:dyDescent="0.3">
      <c r="E949" s="42"/>
      <c r="F949" s="42"/>
    </row>
    <row r="950" spans="5:6" x14ac:dyDescent="0.3">
      <c r="E950" s="42"/>
      <c r="F950" s="42"/>
    </row>
    <row r="951" spans="5:6" x14ac:dyDescent="0.3">
      <c r="E951" s="42"/>
      <c r="F951" s="42"/>
    </row>
    <row r="952" spans="5:6" x14ac:dyDescent="0.3">
      <c r="E952" s="42"/>
      <c r="F952" s="42"/>
    </row>
    <row r="953" spans="5:6" x14ac:dyDescent="0.3">
      <c r="E953" s="42"/>
      <c r="F953" s="42"/>
    </row>
    <row r="954" spans="5:6" x14ac:dyDescent="0.3">
      <c r="E954" s="42"/>
      <c r="F954" s="42"/>
    </row>
    <row r="955" spans="5:6" x14ac:dyDescent="0.3">
      <c r="E955" s="42"/>
      <c r="F955" s="42"/>
    </row>
    <row r="956" spans="5:6" x14ac:dyDescent="0.3">
      <c r="E956" s="42"/>
      <c r="F956" s="42"/>
    </row>
    <row r="957" spans="5:6" x14ac:dyDescent="0.3">
      <c r="E957" s="42"/>
      <c r="F957" s="42"/>
    </row>
    <row r="958" spans="5:6" x14ac:dyDescent="0.3">
      <c r="E958" s="42"/>
      <c r="F958" s="42"/>
    </row>
    <row r="959" spans="5:6" x14ac:dyDescent="0.3">
      <c r="E959" s="42"/>
      <c r="F959" s="42"/>
    </row>
    <row r="960" spans="5:6" x14ac:dyDescent="0.3">
      <c r="E960" s="42"/>
      <c r="F960" s="42"/>
    </row>
    <row r="961" spans="5:6" x14ac:dyDescent="0.3">
      <c r="E961" s="42"/>
      <c r="F961" s="42"/>
    </row>
    <row r="962" spans="5:6" x14ac:dyDescent="0.3">
      <c r="E962" s="42"/>
      <c r="F962" s="42"/>
    </row>
    <row r="963" spans="5:6" x14ac:dyDescent="0.3">
      <c r="E963" s="42"/>
      <c r="F963" s="42"/>
    </row>
    <row r="964" spans="5:6" x14ac:dyDescent="0.3">
      <c r="E964" s="42"/>
      <c r="F964" s="42"/>
    </row>
    <row r="965" spans="5:6" x14ac:dyDescent="0.3">
      <c r="E965" s="42"/>
      <c r="F965" s="42"/>
    </row>
    <row r="966" spans="5:6" x14ac:dyDescent="0.3">
      <c r="E966" s="42"/>
      <c r="F966" s="42"/>
    </row>
    <row r="967" spans="5:6" x14ac:dyDescent="0.3">
      <c r="E967" s="42"/>
      <c r="F967" s="42"/>
    </row>
    <row r="968" spans="5:6" x14ac:dyDescent="0.3">
      <c r="E968" s="42"/>
      <c r="F968" s="42"/>
    </row>
    <row r="969" spans="5:6" x14ac:dyDescent="0.3">
      <c r="E969" s="42"/>
      <c r="F969" s="42"/>
    </row>
    <row r="970" spans="5:6" x14ac:dyDescent="0.3">
      <c r="E970" s="42"/>
      <c r="F970" s="42"/>
    </row>
    <row r="971" spans="5:6" x14ac:dyDescent="0.3">
      <c r="E971" s="42"/>
      <c r="F971" s="42"/>
    </row>
    <row r="972" spans="5:6" x14ac:dyDescent="0.3">
      <c r="E972" s="42"/>
      <c r="F972" s="42"/>
    </row>
    <row r="973" spans="5:6" x14ac:dyDescent="0.3">
      <c r="E973" s="42"/>
      <c r="F973" s="42"/>
    </row>
    <row r="974" spans="5:6" x14ac:dyDescent="0.3">
      <c r="E974" s="42"/>
      <c r="F974" s="42"/>
    </row>
    <row r="975" spans="5:6" x14ac:dyDescent="0.3">
      <c r="E975" s="42"/>
      <c r="F975" s="42"/>
    </row>
    <row r="976" spans="5:6" x14ac:dyDescent="0.3">
      <c r="E976" s="42"/>
      <c r="F976" s="42"/>
    </row>
    <row r="977" spans="5:6" x14ac:dyDescent="0.3">
      <c r="E977" s="42"/>
      <c r="F977" s="42"/>
    </row>
    <row r="978" spans="5:6" x14ac:dyDescent="0.3">
      <c r="E978" s="42"/>
      <c r="F978" s="42"/>
    </row>
    <row r="979" spans="5:6" x14ac:dyDescent="0.3">
      <c r="E979" s="42"/>
      <c r="F979" s="42"/>
    </row>
    <row r="980" spans="5:6" x14ac:dyDescent="0.3">
      <c r="E980" s="42"/>
      <c r="F980" s="42"/>
    </row>
    <row r="981" spans="5:6" x14ac:dyDescent="0.3">
      <c r="E981" s="42"/>
      <c r="F981" s="42"/>
    </row>
    <row r="982" spans="5:6" x14ac:dyDescent="0.3">
      <c r="E982" s="42"/>
      <c r="F982" s="42"/>
    </row>
    <row r="983" spans="5:6" x14ac:dyDescent="0.3">
      <c r="E983" s="42"/>
      <c r="F983" s="42"/>
    </row>
    <row r="984" spans="5:6" x14ac:dyDescent="0.3">
      <c r="E984" s="42"/>
      <c r="F984" s="42"/>
    </row>
    <row r="985" spans="5:6" x14ac:dyDescent="0.3">
      <c r="E985" s="42"/>
      <c r="F985" s="42"/>
    </row>
    <row r="986" spans="5:6" x14ac:dyDescent="0.3">
      <c r="E986" s="42"/>
      <c r="F986" s="42"/>
    </row>
    <row r="987" spans="5:6" x14ac:dyDescent="0.3">
      <c r="E987" s="42"/>
      <c r="F987" s="42"/>
    </row>
    <row r="988" spans="5:6" x14ac:dyDescent="0.3">
      <c r="E988" s="42"/>
      <c r="F988" s="42"/>
    </row>
    <row r="989" spans="5:6" x14ac:dyDescent="0.3">
      <c r="E989" s="42"/>
      <c r="F989" s="42"/>
    </row>
    <row r="990" spans="5:6" x14ac:dyDescent="0.3">
      <c r="E990" s="42"/>
      <c r="F990" s="42"/>
    </row>
    <row r="991" spans="5:6" x14ac:dyDescent="0.3">
      <c r="E991" s="42"/>
      <c r="F991" s="42"/>
    </row>
    <row r="992" spans="5:6" x14ac:dyDescent="0.3">
      <c r="E992" s="42"/>
      <c r="F992" s="42"/>
    </row>
    <row r="993" spans="5:6" x14ac:dyDescent="0.3">
      <c r="E993" s="42"/>
      <c r="F993" s="42"/>
    </row>
    <row r="994" spans="5:6" x14ac:dyDescent="0.3">
      <c r="E994" s="42"/>
      <c r="F994" s="42"/>
    </row>
    <row r="995" spans="5:6" x14ac:dyDescent="0.3">
      <c r="E995" s="42"/>
      <c r="F995" s="42"/>
    </row>
    <row r="996" spans="5:6" x14ac:dyDescent="0.3">
      <c r="E996" s="42"/>
      <c r="F996" s="42"/>
    </row>
    <row r="997" spans="5:6" x14ac:dyDescent="0.3">
      <c r="E997" s="42"/>
      <c r="F997" s="42"/>
    </row>
    <row r="998" spans="5:6" x14ac:dyDescent="0.3">
      <c r="E998" s="42"/>
      <c r="F998" s="42"/>
    </row>
    <row r="999" spans="5:6" x14ac:dyDescent="0.3">
      <c r="E999" s="42"/>
      <c r="F999" s="42"/>
    </row>
    <row r="1000" spans="5:6" x14ac:dyDescent="0.3">
      <c r="E1000" s="42"/>
      <c r="F1000" s="42"/>
    </row>
    <row r="1001" spans="5:6" x14ac:dyDescent="0.3">
      <c r="E1001" s="42"/>
      <c r="F1001" s="42"/>
    </row>
    <row r="1002" spans="5:6" x14ac:dyDescent="0.3">
      <c r="E1002" s="42"/>
      <c r="F1002" s="42"/>
    </row>
    <row r="1003" spans="5:6" x14ac:dyDescent="0.3">
      <c r="E1003" s="42"/>
      <c r="F1003" s="42"/>
    </row>
    <row r="1004" spans="5:6" x14ac:dyDescent="0.3">
      <c r="E1004" s="42"/>
      <c r="F1004" s="42"/>
    </row>
    <row r="1005" spans="5:6" x14ac:dyDescent="0.3">
      <c r="E1005" s="42"/>
      <c r="F1005" s="42"/>
    </row>
    <row r="1006" spans="5:6" x14ac:dyDescent="0.3">
      <c r="E1006" s="42"/>
      <c r="F1006" s="42"/>
    </row>
    <row r="1007" spans="5:6" x14ac:dyDescent="0.3">
      <c r="E1007" s="42"/>
      <c r="F1007" s="42"/>
    </row>
    <row r="1008" spans="5:6" x14ac:dyDescent="0.3">
      <c r="E1008" s="42"/>
      <c r="F1008" s="42"/>
    </row>
    <row r="1009" spans="5:6" x14ac:dyDescent="0.3">
      <c r="E1009" s="42"/>
      <c r="F1009" s="42"/>
    </row>
  </sheetData>
  <mergeCells count="4">
    <mergeCell ref="B8:I8"/>
    <mergeCell ref="J8:J9"/>
    <mergeCell ref="K8:R8"/>
    <mergeCell ref="Q4:R7"/>
  </mergeCells>
  <phoneticPr fontId="9" type="noConversion"/>
  <dataValidations count="1">
    <dataValidation operator="notBetween" showInputMessage="1" showErrorMessage="1" sqref="U5:Y5" xr:uid="{AA947867-649A-4942-8E20-B33F6238D62D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3" name="Button 1">
              <controlPr defaultSize="0" print="0" autoFill="0" autoPict="0" macro="[0]!GatherData">
                <anchor moveWithCells="1" sizeWithCells="1">
                  <from>
                    <xdr:col>5</xdr:col>
                    <xdr:colOff>137160</xdr:colOff>
                    <xdr:row>2</xdr:row>
                    <xdr:rowOff>99060</xdr:rowOff>
                  </from>
                  <to>
                    <xdr:col>6</xdr:col>
                    <xdr:colOff>304800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4" name="Button 2">
              <controlPr defaultSize="0" print="0" autoFill="0" autoPict="0" macro="[0]!ClearPrices">
                <anchor moveWithCells="1" sizeWithCells="1">
                  <from>
                    <xdr:col>5</xdr:col>
                    <xdr:colOff>137160</xdr:colOff>
                    <xdr:row>4</xdr:row>
                    <xdr:rowOff>45720</xdr:rowOff>
                  </from>
                  <to>
                    <xdr:col>6</xdr:col>
                    <xdr:colOff>304800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5" name="Button 3">
              <controlPr defaultSize="0" print="0" autoFill="0" autoPict="0" macro="[0]!CalculateGreeks">
                <anchor moveWithCells="1" sizeWithCells="1">
                  <from>
                    <xdr:col>6</xdr:col>
                    <xdr:colOff>441960</xdr:colOff>
                    <xdr:row>2</xdr:row>
                    <xdr:rowOff>99060</xdr:rowOff>
                  </from>
                  <to>
                    <xdr:col>7</xdr:col>
                    <xdr:colOff>480060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6" r:id="rId6" name="Button 24">
              <controlPr defaultSize="0" print="0" autoFill="0" autoPict="0" macro="[0]!open_strategies">
                <anchor moveWithCells="1" sizeWithCells="1">
                  <from>
                    <xdr:col>25</xdr:col>
                    <xdr:colOff>114300</xdr:colOff>
                    <xdr:row>2</xdr:row>
                    <xdr:rowOff>114300</xdr:rowOff>
                  </from>
                  <to>
                    <xdr:col>25</xdr:col>
                    <xdr:colOff>830580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7" r:id="rId7" name="Button 25">
              <controlPr defaultSize="0" print="0" autoFill="0" autoPict="0" macro="[0]!clear_openstrats">
                <anchor moveWithCells="1" sizeWithCells="1">
                  <from>
                    <xdr:col>25</xdr:col>
                    <xdr:colOff>99060</xdr:colOff>
                    <xdr:row>5</xdr:row>
                    <xdr:rowOff>175260</xdr:rowOff>
                  </from>
                  <to>
                    <xdr:col>25</xdr:col>
                    <xdr:colOff>838200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D7521EE-5A6C-41CF-8C4D-072604796D7A}">
          <x14:formula1>
            <xm:f>'Assumptions &amp; Lists'!$D$4:$E$4</xm:f>
          </x14:formula1>
          <xm:sqref>E5</xm:sqref>
        </x14:dataValidation>
        <x14:dataValidation type="list" allowBlank="1" showInputMessage="1" showErrorMessage="1" xr:uid="{92AA4250-FF3A-4DCB-B930-A01DF8B05F3D}">
          <x14:formula1>
            <xm:f>'Assumptions &amp; Lists'!$D$15:$E$15</xm:f>
          </x14:formula1>
          <xm:sqref>U6:Y6</xm:sqref>
        </x14:dataValidation>
        <x14:dataValidation type="list" allowBlank="1" showInputMessage="1" showErrorMessage="1" xr:uid="{C1E756F7-BC2B-47A7-A730-E55B4922E001}">
          <x14:formula1>
            <xm:f>'Assumptions &amp; Lists'!$D$16:$F$16</xm:f>
          </x14:formula1>
          <xm:sqref>U4:Y4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5AE60-42BD-465B-A6BF-69DDE29892D0}">
  <sheetPr codeName="Sheet1"/>
  <dimension ref="B1:K20"/>
  <sheetViews>
    <sheetView workbookViewId="0">
      <selection activeCell="C28" sqref="C28"/>
    </sheetView>
  </sheetViews>
  <sheetFormatPr defaultRowHeight="14.4" x14ac:dyDescent="0.3"/>
  <cols>
    <col min="2" max="2" width="22.6640625" bestFit="1" customWidth="1"/>
    <col min="3" max="3" width="24.5546875" bestFit="1" customWidth="1"/>
    <col min="10" max="10" width="16.6640625" bestFit="1" customWidth="1"/>
  </cols>
  <sheetData>
    <row r="1" spans="2:11" x14ac:dyDescent="0.3">
      <c r="F1" t="s">
        <v>115</v>
      </c>
    </row>
    <row r="3" spans="2:11" x14ac:dyDescent="0.3">
      <c r="F3" t="s">
        <v>75</v>
      </c>
      <c r="G3" t="s">
        <v>5</v>
      </c>
      <c r="H3" t="s">
        <v>7</v>
      </c>
      <c r="I3" t="s">
        <v>110</v>
      </c>
      <c r="J3" t="s">
        <v>114</v>
      </c>
      <c r="K3" t="s">
        <v>17</v>
      </c>
    </row>
    <row r="4" spans="2:11" x14ac:dyDescent="0.3">
      <c r="B4" s="148" t="s">
        <v>102</v>
      </c>
      <c r="C4" s="149">
        <v>100</v>
      </c>
      <c r="F4">
        <v>50</v>
      </c>
      <c r="G4" cm="1">
        <f t="array" ref="G4">BinTree($F4,$C$5,$C$6,$C$7,$C$8,$C$9,$C$10,G$3,"European",0)</f>
        <v>47.635782110802694</v>
      </c>
      <c r="H4" cm="1">
        <f t="array" ref="H4">BinTree($F4,$C$5,$C$6,$C$7,$C$8,$C$9,$C$10,H$3,"European",0)</f>
        <v>8.1242502120208226E-2</v>
      </c>
      <c r="I4">
        <f>F4*$D$13+G4-H4</f>
        <v>96.271294089119948</v>
      </c>
      <c r="J4">
        <f>$D$12</f>
        <v>96.271294089119948</v>
      </c>
      <c r="K4">
        <f>I4-J4</f>
        <v>0</v>
      </c>
    </row>
    <row r="5" spans="2:11" x14ac:dyDescent="0.3">
      <c r="B5" s="150" t="s">
        <v>0</v>
      </c>
      <c r="C5" s="151">
        <f>100</f>
        <v>100</v>
      </c>
      <c r="F5">
        <v>60</v>
      </c>
      <c r="G5" cm="1">
        <f t="array" ref="G5">BinTree($F5,$C$5,$C$6,$C$7,$C$8,$C$9,$C$10,G$3,"European",0)</f>
        <v>38.257870170069737</v>
      </c>
      <c r="H5" cm="1">
        <f t="array" ref="H5">BinTree($F5,$C$5,$C$6,$C$7,$C$8,$C$9,$C$10,H$3,"European",0)</f>
        <v>0.44668145747474819</v>
      </c>
      <c r="I5">
        <f t="shared" ref="I5:I14" si="0">F5*$D$13+G5-H5</f>
        <v>96.271294089119948</v>
      </c>
      <c r="J5">
        <f t="shared" ref="J5:J14" si="1">$D$12</f>
        <v>96.271294089119948</v>
      </c>
      <c r="K5">
        <f t="shared" ref="K5:K14" si="2">I5-J5</f>
        <v>0</v>
      </c>
    </row>
    <row r="6" spans="2:11" x14ac:dyDescent="0.3">
      <c r="B6" s="150" t="s">
        <v>103</v>
      </c>
      <c r="C6" s="151">
        <v>1</v>
      </c>
      <c r="F6">
        <v>70</v>
      </c>
      <c r="G6" cm="1">
        <f t="array" ref="G6">BinTree($F6,$C$5,$C$6,$C$7,$C$8,$C$9,$C$10,G$3,"European",0)</f>
        <v>29.569569477926152</v>
      </c>
      <c r="H6" cm="1">
        <f t="array" ref="H6">BinTree($F6,$C$5,$C$6,$C$7,$C$8,$C$9,$C$10,H$3,"European",0)</f>
        <v>1.5017316614186491</v>
      </c>
      <c r="I6">
        <f t="shared" si="0"/>
        <v>96.271294089119962</v>
      </c>
      <c r="J6">
        <f t="shared" si="1"/>
        <v>96.271294089119948</v>
      </c>
      <c r="K6">
        <f t="shared" si="2"/>
        <v>0</v>
      </c>
    </row>
    <row r="7" spans="2:11" x14ac:dyDescent="0.3">
      <c r="B7" s="150" t="s">
        <v>104</v>
      </c>
      <c r="C7" s="152">
        <v>3.7999999999999999E-2</v>
      </c>
      <c r="F7">
        <v>80</v>
      </c>
      <c r="G7" cm="1">
        <f t="array" ref="G7">BinTree($F7,$C$5,$C$6,$C$7,$C$8,$C$9,$C$10,G$3,"European",0)</f>
        <v>21.99028430534846</v>
      </c>
      <c r="H7" cm="1">
        <f t="array" ref="H7">BinTree($F7,$C$5,$C$6,$C$7,$C$8,$C$9,$C$10,H$3,"European",0)</f>
        <v>3.6657973849284531</v>
      </c>
      <c r="I7">
        <f t="shared" si="0"/>
        <v>96.271294089119948</v>
      </c>
      <c r="J7">
        <f t="shared" si="1"/>
        <v>96.271294089119948</v>
      </c>
      <c r="K7">
        <f t="shared" si="2"/>
        <v>0</v>
      </c>
    </row>
    <row r="8" spans="2:11" x14ac:dyDescent="0.3">
      <c r="B8" s="150" t="s">
        <v>105</v>
      </c>
      <c r="C8" s="152">
        <v>2.5999999999999999E-2</v>
      </c>
      <c r="F8">
        <v>90</v>
      </c>
      <c r="G8" cm="1">
        <f t="array" ref="G8">BinTree($F8,$C$5,$C$6,$C$7,$C$8,$C$9,$C$10,G$3,"European",0)</f>
        <v>15.780342239799538</v>
      </c>
      <c r="H8" cm="1">
        <f t="array" ref="H8">BinTree($F8,$C$5,$C$6,$C$7,$C$8,$C$9,$C$10,H$3,"European",0)</f>
        <v>7.1992062154670222</v>
      </c>
      <c r="I8">
        <f t="shared" si="0"/>
        <v>96.271294089119948</v>
      </c>
      <c r="J8">
        <f t="shared" si="1"/>
        <v>96.271294089119948</v>
      </c>
      <c r="K8">
        <f t="shared" si="2"/>
        <v>0</v>
      </c>
    </row>
    <row r="9" spans="2:11" x14ac:dyDescent="0.3">
      <c r="B9" s="150" t="s">
        <v>106</v>
      </c>
      <c r="C9" s="153">
        <v>0.3</v>
      </c>
      <c r="F9">
        <v>100</v>
      </c>
      <c r="G9" cm="1">
        <f t="array" ref="G9">BinTree($F9,$C$5,$C$6,$C$7,$C$8,$C$9,$C$10,G$3,"European",0)</f>
        <v>10.976294068002517</v>
      </c>
      <c r="H9" cm="1">
        <f t="array" ref="H9">BinTree($F9,$C$5,$C$6,$C$7,$C$8,$C$9,$C$10,H$3,"European",0)</f>
        <v>12.138508939757507</v>
      </c>
      <c r="I9">
        <f t="shared" si="0"/>
        <v>96.271294089119948</v>
      </c>
      <c r="J9">
        <f t="shared" si="1"/>
        <v>96.271294089119948</v>
      </c>
      <c r="K9">
        <f t="shared" si="2"/>
        <v>0</v>
      </c>
    </row>
    <row r="10" spans="2:11" x14ac:dyDescent="0.3">
      <c r="B10" s="154" t="s">
        <v>107</v>
      </c>
      <c r="C10" s="155">
        <v>10</v>
      </c>
      <c r="F10">
        <v>110</v>
      </c>
      <c r="G10" cm="1">
        <f t="array" ref="G10">BinTree($F10,$C$5,$C$6,$C$7,$C$8,$C$9,$C$10,G$3,"European",0)</f>
        <v>7.4374626419781009</v>
      </c>
      <c r="H10" cm="1">
        <f t="array" ref="H10">BinTree($F10,$C$5,$C$6,$C$7,$C$8,$C$9,$C$10,H$3,"European",0)</f>
        <v>18.34302840982059</v>
      </c>
      <c r="I10">
        <f t="shared" si="0"/>
        <v>96.271294089119948</v>
      </c>
      <c r="J10">
        <f t="shared" si="1"/>
        <v>96.271294089119948</v>
      </c>
      <c r="K10">
        <f t="shared" si="2"/>
        <v>0</v>
      </c>
    </row>
    <row r="11" spans="2:11" x14ac:dyDescent="0.3">
      <c r="F11">
        <v>120</v>
      </c>
      <c r="G11" cm="1">
        <f t="array" ref="G11">BinTree($F11,$C$5,$C$6,$C$7,$C$8,$C$9,$C$10,G$3,"European",0)</f>
        <v>4.9331562819364905</v>
      </c>
      <c r="H11" cm="1">
        <f t="array" ref="H11">BinTree($F11,$C$5,$C$6,$C$7,$C$8,$C$9,$C$10,H$3,"European",0)</f>
        <v>25.582072945866486</v>
      </c>
      <c r="I11">
        <f t="shared" si="0"/>
        <v>96.271294089119934</v>
      </c>
      <c r="J11">
        <f t="shared" si="1"/>
        <v>96.271294089119948</v>
      </c>
      <c r="K11">
        <f t="shared" si="2"/>
        <v>0</v>
      </c>
    </row>
    <row r="12" spans="2:11" x14ac:dyDescent="0.3">
      <c r="B12" s="156"/>
      <c r="C12" s="157" t="s">
        <v>108</v>
      </c>
      <c r="D12">
        <f>C5*EXP(-(C7)*C6)</f>
        <v>96.271294089119948</v>
      </c>
      <c r="F12">
        <v>130</v>
      </c>
      <c r="G12" cm="1">
        <f t="array" ref="G12">BinTree($F12,$C$5,$C$6,$C$7,$C$8,$C$9,$C$10,G$3,"European",0)</f>
        <v>3.2169356372243207</v>
      </c>
      <c r="H12" cm="1">
        <f t="array" ref="H12">BinTree($F12,$C$5,$C$6,$C$7,$C$8,$C$9,$C$10,H$3,"European",0)</f>
        <v>33.609203197241797</v>
      </c>
      <c r="I12">
        <f t="shared" si="0"/>
        <v>96.271294089119934</v>
      </c>
      <c r="J12">
        <f t="shared" si="1"/>
        <v>96.271294089119948</v>
      </c>
      <c r="K12">
        <f t="shared" si="2"/>
        <v>0</v>
      </c>
    </row>
    <row r="13" spans="2:11" x14ac:dyDescent="0.3">
      <c r="C13" t="s">
        <v>116</v>
      </c>
      <c r="D13">
        <f>EXP(-$C$8*C6)</f>
        <v>0.97433508960874937</v>
      </c>
      <c r="F13">
        <v>140</v>
      </c>
      <c r="G13" cm="1">
        <f t="array" ref="G13">BinTree($F13,$C$5,$C$6,$C$7,$C$8,$C$9,$C$10,G$3,"European",0)</f>
        <v>2.0701581970746137</v>
      </c>
      <c r="H13" cm="1">
        <f t="array" ref="H13">BinTree($F13,$C$5,$C$6,$C$7,$C$8,$C$9,$C$10,H$3,"European",0)</f>
        <v>42.205776653179555</v>
      </c>
      <c r="I13">
        <f t="shared" si="0"/>
        <v>96.271294089119976</v>
      </c>
      <c r="J13">
        <f t="shared" si="1"/>
        <v>96.271294089119948</v>
      </c>
      <c r="K13">
        <f t="shared" si="2"/>
        <v>0</v>
      </c>
    </row>
    <row r="14" spans="2:11" ht="15.6" x14ac:dyDescent="0.3">
      <c r="B14" s="158" t="s">
        <v>109</v>
      </c>
      <c r="F14">
        <v>150</v>
      </c>
      <c r="G14" cm="1">
        <f t="array" ref="G14">BinTree($F14,$C$5,$C$6,$C$7,$C$8,$C$9,$C$10,G$3,"European",0)</f>
        <v>1.3187970101844826</v>
      </c>
      <c r="H14" cm="1">
        <f t="array" ref="H14">BinTree($F14,$C$5,$C$6,$C$7,$C$8,$C$9,$C$10,H$3,"European",0)</f>
        <v>51.197766362376939</v>
      </c>
      <c r="I14">
        <f t="shared" si="0"/>
        <v>96.271294089119948</v>
      </c>
      <c r="J14">
        <f t="shared" si="1"/>
        <v>96.271294089119948</v>
      </c>
      <c r="K14">
        <f t="shared" si="2"/>
        <v>0</v>
      </c>
    </row>
    <row r="15" spans="2:11" x14ac:dyDescent="0.3">
      <c r="K15">
        <f>SUM(K4:K14)</f>
        <v>0</v>
      </c>
    </row>
    <row r="16" spans="2:11" x14ac:dyDescent="0.3">
      <c r="B16" s="278" t="s">
        <v>110</v>
      </c>
      <c r="C16" s="279"/>
    </row>
    <row r="17" spans="2:3" x14ac:dyDescent="0.3">
      <c r="B17" s="159" t="s">
        <v>111</v>
      </c>
      <c r="C17" s="160" t="s">
        <v>112</v>
      </c>
    </row>
    <row r="18" spans="2:3" x14ac:dyDescent="0.3">
      <c r="B18" s="161" t="s">
        <v>7</v>
      </c>
      <c r="C18" s="162" t="s">
        <v>39</v>
      </c>
    </row>
    <row r="19" spans="2:3" x14ac:dyDescent="0.3">
      <c r="B19" s="163" t="s">
        <v>113</v>
      </c>
      <c r="C19" s="164" t="s">
        <v>40</v>
      </c>
    </row>
    <row r="20" spans="2:3" x14ac:dyDescent="0.3">
      <c r="B20" s="165" t="s">
        <v>5</v>
      </c>
      <c r="C20" s="166" t="s">
        <v>40</v>
      </c>
    </row>
  </sheetData>
  <mergeCells count="1">
    <mergeCell ref="B16:C16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41B9D99-0AE8-4D41-897C-3AE1B5651E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Assumptions &amp; Lists</vt:lpstr>
      <vt:lpstr>Risk Free &amp; Inflation</vt:lpstr>
      <vt:lpstr>Data</vt:lpstr>
      <vt:lpstr>Trader</vt:lpstr>
      <vt:lpstr>Advanced</vt:lpstr>
      <vt:lpstr>PCPar</vt:lpstr>
      <vt:lpstr>auto_process_data</vt:lpstr>
      <vt:lpstr>BreakEvenStrategy</vt:lpstr>
      <vt:lpstr>contract_plot</vt:lpstr>
      <vt:lpstr>contract_range</vt:lpstr>
      <vt:lpstr>COPY_TimeSpreadBool</vt:lpstr>
      <vt:lpstr>DataInput</vt:lpstr>
      <vt:lpstr>days_yr</vt:lpstr>
      <vt:lpstr>GreeksTF</vt:lpstr>
      <vt:lpstr>HideContractAnalysis</vt:lpstr>
      <vt:lpstr>HiDelta</vt:lpstr>
      <vt:lpstr>HideStratAnalysis</vt:lpstr>
      <vt:lpstr>index_new</vt:lpstr>
      <vt:lpstr>inflation</vt:lpstr>
      <vt:lpstr>LowDelta</vt:lpstr>
      <vt:lpstr>Maturity</vt:lpstr>
      <vt:lpstr>MaxLoss</vt:lpstr>
      <vt:lpstr>MaxProfit</vt:lpstr>
      <vt:lpstr>n</vt:lpstr>
      <vt:lpstr>number_value</vt:lpstr>
      <vt:lpstr>paste_indicate</vt:lpstr>
      <vt:lpstr>PlotGreek</vt:lpstr>
      <vt:lpstr>print</vt:lpstr>
      <vt:lpstr>risk_free</vt:lpstr>
      <vt:lpstr>SearchEffective</vt:lpstr>
      <vt:lpstr>strategy</vt:lpstr>
      <vt:lpstr>StratSearch</vt:lpstr>
      <vt:lpstr>T_1</vt:lpstr>
      <vt:lpstr>T_2</vt:lpstr>
      <vt:lpstr>Ticker</vt:lpstr>
      <vt:lpstr>TimeSpreadBool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Wessel van den Brink</dc:creator>
  <cp:lastModifiedBy>Wessel van den Brink</cp:lastModifiedBy>
  <dcterms:created xsi:type="dcterms:W3CDTF">2021-11-22T15:39:50Z</dcterms:created>
  <dcterms:modified xsi:type="dcterms:W3CDTF">2024-07-26T22:04:18Z</dcterms:modified>
</cp:coreProperties>
</file>