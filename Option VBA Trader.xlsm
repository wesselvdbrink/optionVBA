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657e9e1dd8273766/Desktop/Option Pricing Models/"/>
    </mc:Choice>
  </mc:AlternateContent>
  <xr:revisionPtr revIDLastSave="0" documentId="8_{D2A5501C-8A1F-4216-8ED0-1DF70F117DF5}" xr6:coauthVersionLast="47" xr6:coauthVersionMax="47" xr10:uidLastSave="{00000000-0000-0000-0000-000000000000}"/>
  <bookViews>
    <workbookView xWindow="-120" yWindow="-120" windowWidth="29040" windowHeight="15720" tabRatio="644" firstSheet="2" activeTab="4" xr2:uid="{F721F893-581A-41D1-A5C9-E2841E3343D1}"/>
  </bookViews>
  <sheets>
    <sheet name="Assumptions &amp; Lists" sheetId="3" state="hidden" r:id="rId1"/>
    <sheet name="Risk Free &amp; Inflation" sheetId="4" state="hidden" r:id="rId2"/>
    <sheet name="Data" sheetId="6" r:id="rId3"/>
    <sheet name="Advanced" sheetId="37" state="hidden" r:id="rId4"/>
    <sheet name="Trader" sheetId="36" r:id="rId5"/>
    <sheet name="PCPar" sheetId="38" state="hidden" r:id="rId6"/>
  </sheets>
  <functionGroups builtInGroupCount="19"/>
  <definedNames>
    <definedName name="BreakEvenStrategy">Trader!$AI$5</definedName>
    <definedName name="contract_plot">Trader!$W$5</definedName>
    <definedName name="contract_range">Trader!$W$4</definedName>
    <definedName name="COPY_TimeSpreadBool">Data!$U$11</definedName>
    <definedName name="DataInput">Data!$C$3</definedName>
    <definedName name="days_yr">'Assumptions &amp; Lists'!$D$3</definedName>
    <definedName name="GreeksTF">Trader!$AF$6</definedName>
    <definedName name="HideContractAnalysis">'Assumptions &amp; Lists'!$D$26</definedName>
    <definedName name="HiDelta">Trader!$AD$7</definedName>
    <definedName name="HideStratAnalysis">'Assumptions &amp; Lists'!$D$27</definedName>
    <definedName name="index_new">Trader!$K$6</definedName>
    <definedName name="inflation">'Assumptions &amp; Lists'!$D$5</definedName>
    <definedName name="LowDelta">Trader!$AD$8</definedName>
    <definedName name="Maturity">Trader!$C$5</definedName>
    <definedName name="MaxLoss">Trader!$AI$4</definedName>
    <definedName name="MaxProfit">Trader!$AI$6</definedName>
    <definedName name="n">Data!$U$8</definedName>
    <definedName name="number_value">Data!$U$9</definedName>
    <definedName name="paste_indicate">Data!$C$2</definedName>
    <definedName name="PlotGreek">Trader!$AF$7</definedName>
    <definedName name="print">Data!$U$10</definedName>
    <definedName name="risk_free">'Risk Free &amp; Inflation'!$AA$7</definedName>
    <definedName name="SearchEffective">'Assumptions &amp; Lists'!$D$30</definedName>
    <definedName name="strategy">Trader!$AD$4</definedName>
    <definedName name="StratSearch">Trader!$AI$8</definedName>
    <definedName name="T_1">Trader!$K$4</definedName>
    <definedName name="T_2">Trader!$K$5</definedName>
    <definedName name="TimeSpreadBool">Trader!$K$3</definedName>
  </definedNames>
  <calcPr calcId="191029" calcMode="manual"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36" l="1"/>
  <c r="U8" i="36" a="1"/>
  <c r="U8" i="36" s="1"/>
  <c r="V8" i="36"/>
  <c r="W7" i="36" a="1"/>
  <c r="W7" i="36" l="1"/>
  <c r="U9" i="6" a="1"/>
  <c r="U9" i="6" s="1"/>
  <c r="U11" i="6"/>
  <c r="C4" i="36" a="1"/>
  <c r="C4" i="36" s="1"/>
  <c r="L3" i="36"/>
  <c r="U7" i="6" a="1"/>
  <c r="U7" i="6"/>
  <c r="C6" i="36" l="1"/>
  <c r="D30" i="3" a="1"/>
  <c r="D30" i="3" s="1"/>
  <c r="L3" i="4"/>
  <c r="W8" i="36" a="1"/>
  <c r="W8" i="36" l="1"/>
  <c r="J5" i="38"/>
  <c r="J6" i="38"/>
  <c r="J7" i="38"/>
  <c r="J8" i="38"/>
  <c r="J9" i="38"/>
  <c r="J10" i="38"/>
  <c r="J11" i="38"/>
  <c r="J12" i="38"/>
  <c r="J13" i="38"/>
  <c r="J14" i="38"/>
  <c r="J4" i="38"/>
  <c r="D13" i="38"/>
  <c r="C5" i="38"/>
  <c r="D12" i="38" s="1"/>
  <c r="H13" i="38" a="1"/>
  <c r="H12" i="38" a="1"/>
  <c r="G9" i="38" a="1"/>
  <c r="H14" i="38" a="1"/>
  <c r="H10" i="38" a="1"/>
  <c r="G4" i="38" a="1"/>
  <c r="G11" i="38" a="1"/>
  <c r="G12" i="38" a="1"/>
  <c r="H9" i="38" a="1"/>
  <c r="G10" i="38" a="1"/>
  <c r="G8" i="38" a="1"/>
  <c r="H7" i="38" a="1"/>
  <c r="H6" i="38" a="1"/>
  <c r="H8" i="38" a="1"/>
  <c r="G5" i="38" a="1"/>
  <c r="H5" i="38" a="1"/>
  <c r="G7" i="38" a="1"/>
  <c r="H4" i="38" a="1"/>
  <c r="G13" i="38" a="1"/>
  <c r="G6" i="38" a="1"/>
  <c r="G14" i="38" a="1"/>
  <c r="H11" i="38" a="1"/>
  <c r="H12" i="38" l="1"/>
  <c r="H9" i="38"/>
  <c r="H10" i="38"/>
  <c r="H8" i="38"/>
  <c r="H4" i="38"/>
  <c r="H7" i="38"/>
  <c r="H11" i="38"/>
  <c r="H14" i="38"/>
  <c r="H6" i="38"/>
  <c r="H13" i="38"/>
  <c r="H5" i="38"/>
  <c r="G12" i="38"/>
  <c r="I12" i="38" s="1"/>
  <c r="K12" i="38" s="1"/>
  <c r="G11" i="38"/>
  <c r="I11" i="38" s="1"/>
  <c r="K11" i="38" s="1"/>
  <c r="G10" i="38"/>
  <c r="I10" i="38" s="1"/>
  <c r="K10" i="38" s="1"/>
  <c r="G13" i="38"/>
  <c r="G9" i="38"/>
  <c r="I9" i="38" s="1"/>
  <c r="K9" i="38" s="1"/>
  <c r="G14" i="38"/>
  <c r="G8" i="38"/>
  <c r="G4" i="38"/>
  <c r="G7" i="38"/>
  <c r="G6" i="38"/>
  <c r="G5" i="38"/>
  <c r="I8" i="38" l="1"/>
  <c r="K8" i="38" s="1"/>
  <c r="I6" i="38"/>
  <c r="K6" i="38" s="1"/>
  <c r="I7" i="38"/>
  <c r="K7" i="38" s="1"/>
  <c r="I14" i="38"/>
  <c r="K14" i="38" s="1"/>
  <c r="I5" i="38"/>
  <c r="K5" i="38" s="1"/>
  <c r="I4" i="38"/>
  <c r="K4" i="38" s="1"/>
  <c r="I13" i="38"/>
  <c r="K13" i="38" s="1"/>
  <c r="AE8" i="36"/>
  <c r="K15" i="38" l="1"/>
  <c r="AI9" i="36"/>
  <c r="AC8" i="36"/>
  <c r="AC7" i="36"/>
  <c r="E24" i="3"/>
  <c r="D24" i="3"/>
  <c r="C4" i="37" l="1" a="1"/>
  <c r="C4" i="37" s="1"/>
  <c r="AA8" i="36" l="1"/>
  <c r="Z109" i="37"/>
  <c r="Z108" i="37"/>
  <c r="Z107" i="37"/>
  <c r="Z106" i="37"/>
  <c r="Z105" i="37"/>
  <c r="Z104" i="37"/>
  <c r="Z103" i="37"/>
  <c r="Z102" i="37"/>
  <c r="Z101" i="37"/>
  <c r="Z100" i="37"/>
  <c r="Z99" i="37"/>
  <c r="Z98" i="37"/>
  <c r="Z97" i="37"/>
  <c r="Z96" i="37"/>
  <c r="Z95" i="37"/>
  <c r="Z94" i="37"/>
  <c r="Z93" i="37"/>
  <c r="Z92" i="37"/>
  <c r="Z91" i="37"/>
  <c r="Z90" i="37"/>
  <c r="Z89" i="37"/>
  <c r="Z88" i="37"/>
  <c r="Z87" i="37"/>
  <c r="Z86" i="37"/>
  <c r="Z85" i="37"/>
  <c r="Z84" i="37"/>
  <c r="Z83" i="37"/>
  <c r="Z82" i="37"/>
  <c r="Z81" i="37"/>
  <c r="Z80" i="37"/>
  <c r="Z79" i="37"/>
  <c r="Z78" i="37"/>
  <c r="Z77" i="37"/>
  <c r="Z76" i="37"/>
  <c r="Z75" i="37"/>
  <c r="Z74" i="37"/>
  <c r="Z73" i="37"/>
  <c r="Z72" i="37"/>
  <c r="Z71" i="37"/>
  <c r="Z70" i="37"/>
  <c r="Z69" i="37"/>
  <c r="Z68" i="37"/>
  <c r="Z67" i="37"/>
  <c r="Z66" i="37"/>
  <c r="Z65" i="37"/>
  <c r="Z64" i="37"/>
  <c r="Z63" i="37"/>
  <c r="Z62" i="37"/>
  <c r="Z61" i="37"/>
  <c r="Z60" i="37"/>
  <c r="Z59" i="37"/>
  <c r="Z58" i="37"/>
  <c r="Z57" i="37"/>
  <c r="Z56" i="37"/>
  <c r="Z55" i="37"/>
  <c r="Z54" i="37"/>
  <c r="Z53" i="37"/>
  <c r="Z52" i="37"/>
  <c r="Z51" i="37"/>
  <c r="Z50" i="37"/>
  <c r="Z49" i="37"/>
  <c r="Z48" i="37"/>
  <c r="Z47" i="37"/>
  <c r="Z46" i="37"/>
  <c r="Z45" i="37"/>
  <c r="Z44" i="37"/>
  <c r="Z43" i="37"/>
  <c r="Z42" i="37"/>
  <c r="Z41" i="37"/>
  <c r="Z40" i="37"/>
  <c r="Z39" i="37"/>
  <c r="Z38" i="37"/>
  <c r="Z37" i="37"/>
  <c r="Z36" i="37"/>
  <c r="Z35" i="37"/>
  <c r="Z34" i="37"/>
  <c r="Z33" i="37"/>
  <c r="Z32" i="37"/>
  <c r="Z31" i="37"/>
  <c r="Z30" i="37"/>
  <c r="Z29" i="37"/>
  <c r="Z28" i="37"/>
  <c r="Z27" i="37"/>
  <c r="Z26" i="37"/>
  <c r="Z25" i="37"/>
  <c r="Z24" i="37"/>
  <c r="Z23" i="37"/>
  <c r="Z22" i="37"/>
  <c r="Z21" i="37"/>
  <c r="Z20" i="37"/>
  <c r="Z19" i="37"/>
  <c r="Z18" i="37"/>
  <c r="Z17" i="37"/>
  <c r="Z16" i="37"/>
  <c r="Z15" i="37"/>
  <c r="Z14" i="37"/>
  <c r="Z13" i="37"/>
  <c r="Z12" i="37"/>
  <c r="Z11" i="37"/>
  <c r="Z10" i="37"/>
  <c r="Y7" i="37" a="1"/>
  <c r="Y7" i="37" s="1"/>
  <c r="X7" i="37" a="1"/>
  <c r="X7" i="37" s="1"/>
  <c r="W7" i="37" a="1"/>
  <c r="W7" i="37" s="1"/>
  <c r="V7" i="37" a="1"/>
  <c r="V7" i="37" s="1"/>
  <c r="U7" i="37" a="1"/>
  <c r="U7" i="37" s="1"/>
  <c r="Z5" i="37"/>
  <c r="Z4" i="37"/>
  <c r="W10" i="4"/>
  <c r="W126" i="4" s="1"/>
  <c r="U9" i="4"/>
  <c r="D22" i="3"/>
  <c r="E20" i="3"/>
  <c r="D20" i="3"/>
  <c r="D3" i="3"/>
  <c r="C6" i="4" s="1"/>
  <c r="W162" i="4" l="1"/>
  <c r="W240" i="4"/>
  <c r="C6" i="37"/>
  <c r="W296" i="4"/>
  <c r="W46" i="4"/>
  <c r="W50" i="4"/>
  <c r="W54" i="4"/>
  <c r="W58" i="4"/>
  <c r="W74" i="4"/>
  <c r="W82" i="4"/>
  <c r="W86" i="4"/>
  <c r="W90" i="4"/>
  <c r="W62" i="4"/>
  <c r="W15" i="4"/>
  <c r="W94" i="4"/>
  <c r="W66" i="4"/>
  <c r="W14" i="4"/>
  <c r="W18" i="4"/>
  <c r="W34" i="4"/>
  <c r="W98" i="4"/>
  <c r="W70" i="4"/>
  <c r="W78" i="4"/>
  <c r="W26" i="4"/>
  <c r="W38" i="4"/>
  <c r="W102" i="4"/>
  <c r="W22" i="4"/>
  <c r="W30" i="4"/>
  <c r="W42" i="4"/>
  <c r="W108" i="4"/>
  <c r="W116" i="4"/>
  <c r="W125" i="4"/>
  <c r="W134" i="4"/>
  <c r="W148" i="4"/>
  <c r="W178" i="4"/>
  <c r="W209" i="4"/>
  <c r="W228" i="4"/>
  <c r="W292" i="4"/>
  <c r="W153" i="4"/>
  <c r="W168" i="4"/>
  <c r="W173" i="4"/>
  <c r="W184" i="4"/>
  <c r="W189" i="4"/>
  <c r="W196" i="4"/>
  <c r="W280" i="4"/>
  <c r="W112" i="4"/>
  <c r="W121" i="4"/>
  <c r="W130" i="4"/>
  <c r="W144" i="4"/>
  <c r="W158" i="4"/>
  <c r="W268" i="4"/>
  <c r="W466" i="4"/>
  <c r="U10" i="4"/>
  <c r="U844" i="4" s="1"/>
  <c r="W19" i="4"/>
  <c r="W23" i="4"/>
  <c r="W27" i="4"/>
  <c r="W31" i="4"/>
  <c r="W35" i="4"/>
  <c r="W39" i="4"/>
  <c r="W43" i="4"/>
  <c r="W47" i="4"/>
  <c r="W51" i="4"/>
  <c r="W55" i="4"/>
  <c r="W59" i="4"/>
  <c r="W63" i="4"/>
  <c r="W67" i="4"/>
  <c r="W71" i="4"/>
  <c r="W75" i="4"/>
  <c r="W79" i="4"/>
  <c r="W83" i="4"/>
  <c r="W87" i="4"/>
  <c r="W91" i="4"/>
  <c r="W95" i="4"/>
  <c r="W99" i="4"/>
  <c r="W204" i="4"/>
  <c r="W256" i="4"/>
  <c r="W117" i="4"/>
  <c r="W140" i="4"/>
  <c r="W149" i="4"/>
  <c r="W164" i="4"/>
  <c r="W174" i="4"/>
  <c r="W190" i="4"/>
  <c r="W244" i="4"/>
  <c r="W154" i="4"/>
  <c r="W169" i="4"/>
  <c r="W180" i="4"/>
  <c r="W185" i="4"/>
  <c r="W197" i="4"/>
  <c r="W212" i="4"/>
  <c r="W220" i="4"/>
  <c r="W232" i="4"/>
  <c r="W1311" i="4"/>
  <c r="W1307" i="4"/>
  <c r="W1303" i="4"/>
  <c r="W1299" i="4"/>
  <c r="W1295" i="4"/>
  <c r="W1291" i="4"/>
  <c r="W1287" i="4"/>
  <c r="W1283" i="4"/>
  <c r="W1279" i="4"/>
  <c r="W1275" i="4"/>
  <c r="W1271" i="4"/>
  <c r="W1267" i="4"/>
  <c r="W1263" i="4"/>
  <c r="W1259" i="4"/>
  <c r="W1255" i="4"/>
  <c r="W1251" i="4"/>
  <c r="W1247" i="4"/>
  <c r="W1243" i="4"/>
  <c r="W1239" i="4"/>
  <c r="W1235" i="4"/>
  <c r="W1231" i="4"/>
  <c r="W1227" i="4"/>
  <c r="W1223" i="4"/>
  <c r="W1219" i="4"/>
  <c r="W1215" i="4"/>
  <c r="W1211" i="4"/>
  <c r="W1207" i="4"/>
  <c r="W1203" i="4"/>
  <c r="W1199" i="4"/>
  <c r="W1195" i="4"/>
  <c r="W1191" i="4"/>
  <c r="W1187" i="4"/>
  <c r="W1183" i="4"/>
  <c r="W1179" i="4"/>
  <c r="W1175" i="4"/>
  <c r="W1171" i="4"/>
  <c r="W1167" i="4"/>
  <c r="W1163" i="4"/>
  <c r="W1159" i="4"/>
  <c r="W1155" i="4"/>
  <c r="W1151" i="4"/>
  <c r="W1147" i="4"/>
  <c r="W1143" i="4"/>
  <c r="W1139" i="4"/>
  <c r="W1135" i="4"/>
  <c r="W1131" i="4"/>
  <c r="W1127" i="4"/>
  <c r="W1123" i="4"/>
  <c r="W1119" i="4"/>
  <c r="W1115" i="4"/>
  <c r="W1111" i="4"/>
  <c r="W1107" i="4"/>
  <c r="W1103" i="4"/>
  <c r="W1099" i="4"/>
  <c r="W1095" i="4"/>
  <c r="W1091" i="4"/>
  <c r="W1087" i="4"/>
  <c r="W1083" i="4"/>
  <c r="W1079" i="4"/>
  <c r="W1075" i="4"/>
  <c r="W1071" i="4"/>
  <c r="W1067" i="4"/>
  <c r="W1063" i="4"/>
  <c r="W1059" i="4"/>
  <c r="W1055" i="4"/>
  <c r="W1051" i="4"/>
  <c r="W1047" i="4"/>
  <c r="W1043" i="4"/>
  <c r="W1039" i="4"/>
  <c r="W1035" i="4"/>
  <c r="W1031" i="4"/>
  <c r="W1027" i="4"/>
  <c r="W1023" i="4"/>
  <c r="W1019" i="4"/>
  <c r="W1015" i="4"/>
  <c r="W1011" i="4"/>
  <c r="W1007" i="4"/>
  <c r="W1003" i="4"/>
  <c r="W999" i="4"/>
  <c r="W995" i="4"/>
  <c r="W991" i="4"/>
  <c r="W987" i="4"/>
  <c r="W983" i="4"/>
  <c r="W979" i="4"/>
  <c r="W975" i="4"/>
  <c r="W1310" i="4"/>
  <c r="W1306" i="4"/>
  <c r="W1302" i="4"/>
  <c r="W1298" i="4"/>
  <c r="W1294" i="4"/>
  <c r="W1290" i="4"/>
  <c r="W1286" i="4"/>
  <c r="W1282" i="4"/>
  <c r="W1278" i="4"/>
  <c r="W1274" i="4"/>
  <c r="W1270" i="4"/>
  <c r="W1266" i="4"/>
  <c r="W1262" i="4"/>
  <c r="W1258" i="4"/>
  <c r="W1254" i="4"/>
  <c r="W1250" i="4"/>
  <c r="W1246" i="4"/>
  <c r="W1242" i="4"/>
  <c r="W1238" i="4"/>
  <c r="W1234" i="4"/>
  <c r="W1230" i="4"/>
  <c r="W1226" i="4"/>
  <c r="W1222" i="4"/>
  <c r="W1218" i="4"/>
  <c r="W1214" i="4"/>
  <c r="W1210" i="4"/>
  <c r="W1206" i="4"/>
  <c r="W1202" i="4"/>
  <c r="W1198" i="4"/>
  <c r="W1194" i="4"/>
  <c r="W1190" i="4"/>
  <c r="W1186" i="4"/>
  <c r="W1182" i="4"/>
  <c r="W1178" i="4"/>
  <c r="W1174" i="4"/>
  <c r="W1170" i="4"/>
  <c r="W1166" i="4"/>
  <c r="W1162" i="4"/>
  <c r="W1158" i="4"/>
  <c r="W1154" i="4"/>
  <c r="W1150" i="4"/>
  <c r="W1146" i="4"/>
  <c r="W1142" i="4"/>
  <c r="W1138" i="4"/>
  <c r="W1134" i="4"/>
  <c r="W1130" i="4"/>
  <c r="W1126" i="4"/>
  <c r="W1122" i="4"/>
  <c r="W1118" i="4"/>
  <c r="W1114" i="4"/>
  <c r="W1110" i="4"/>
  <c r="W1106" i="4"/>
  <c r="W1102" i="4"/>
  <c r="W1098" i="4"/>
  <c r="W1094" i="4"/>
  <c r="W1090" i="4"/>
  <c r="W1086" i="4"/>
  <c r="W1082" i="4"/>
  <c r="W1078" i="4"/>
  <c r="W1074" i="4"/>
  <c r="W1070" i="4"/>
  <c r="W1066" i="4"/>
  <c r="W1062" i="4"/>
  <c r="W1058" i="4"/>
  <c r="W1054" i="4"/>
  <c r="W1050" i="4"/>
  <c r="W1046" i="4"/>
  <c r="W1042" i="4"/>
  <c r="W1038" i="4"/>
  <c r="W1034" i="4"/>
  <c r="W1030" i="4"/>
  <c r="W1026" i="4"/>
  <c r="W1022" i="4"/>
  <c r="W1018" i="4"/>
  <c r="W1014" i="4"/>
  <c r="W1010" i="4"/>
  <c r="W1006" i="4"/>
  <c r="W1002" i="4"/>
  <c r="W998" i="4"/>
  <c r="W994" i="4"/>
  <c r="W990" i="4"/>
  <c r="W986" i="4"/>
  <c r="W982" i="4"/>
  <c r="W978" i="4"/>
  <c r="W974" i="4"/>
  <c r="W1309" i="4"/>
  <c r="W1305" i="4"/>
  <c r="W1301" i="4"/>
  <c r="W1297" i="4"/>
  <c r="W1293" i="4"/>
  <c r="W1289" i="4"/>
  <c r="W1285" i="4"/>
  <c r="W1281" i="4"/>
  <c r="W1277" i="4"/>
  <c r="W1273" i="4"/>
  <c r="W1269" i="4"/>
  <c r="W1265" i="4"/>
  <c r="W1261" i="4"/>
  <c r="W1257" i="4"/>
  <c r="W1253" i="4"/>
  <c r="W1249" i="4"/>
  <c r="W1245" i="4"/>
  <c r="W1241" i="4"/>
  <c r="W1237" i="4"/>
  <c r="W1233" i="4"/>
  <c r="W1229" i="4"/>
  <c r="W1225" i="4"/>
  <c r="W1221" i="4"/>
  <c r="W1217" i="4"/>
  <c r="W1213" i="4"/>
  <c r="W1209" i="4"/>
  <c r="W1205" i="4"/>
  <c r="W1201" i="4"/>
  <c r="W1197" i="4"/>
  <c r="W1193" i="4"/>
  <c r="W1189" i="4"/>
  <c r="W1185" i="4"/>
  <c r="W1181" i="4"/>
  <c r="W1177" i="4"/>
  <c r="W1173" i="4"/>
  <c r="W1169" i="4"/>
  <c r="W1165" i="4"/>
  <c r="W1300" i="4"/>
  <c r="W1236" i="4"/>
  <c r="W1188" i="4"/>
  <c r="W1160" i="4"/>
  <c r="W1136" i="4"/>
  <c r="W1116" i="4"/>
  <c r="W1097" i="4"/>
  <c r="W1064" i="4"/>
  <c r="W1296" i="4"/>
  <c r="W1232" i="4"/>
  <c r="W1145" i="4"/>
  <c r="W1088" i="4"/>
  <c r="W1052" i="4"/>
  <c r="W977" i="4"/>
  <c r="W1292" i="4"/>
  <c r="W1228" i="4"/>
  <c r="W1184" i="4"/>
  <c r="W1157" i="4"/>
  <c r="W1124" i="4"/>
  <c r="W1105" i="4"/>
  <c r="W1057" i="4"/>
  <c r="W1040" i="4"/>
  <c r="W1029" i="4"/>
  <c r="W1024" i="4"/>
  <c r="W1013" i="4"/>
  <c r="W1008" i="4"/>
  <c r="W997" i="4"/>
  <c r="W992" i="4"/>
  <c r="W1288" i="4"/>
  <c r="W1224" i="4"/>
  <c r="W1133" i="4"/>
  <c r="W1096" i="4"/>
  <c r="W1077" i="4"/>
  <c r="W1069" i="4"/>
  <c r="W1045" i="4"/>
  <c r="W981" i="4"/>
  <c r="W972" i="4"/>
  <c r="W968" i="4"/>
  <c r="W964" i="4"/>
  <c r="W960" i="4"/>
  <c r="W956" i="4"/>
  <c r="W952" i="4"/>
  <c r="W948" i="4"/>
  <c r="W944" i="4"/>
  <c r="W940" i="4"/>
  <c r="W936" i="4"/>
  <c r="W932" i="4"/>
  <c r="W928" i="4"/>
  <c r="W924" i="4"/>
  <c r="W920" i="4"/>
  <c r="W916" i="4"/>
  <c r="W912" i="4"/>
  <c r="W908" i="4"/>
  <c r="W904" i="4"/>
  <c r="W900" i="4"/>
  <c r="W896" i="4"/>
  <c r="W892" i="4"/>
  <c r="W888" i="4"/>
  <c r="W884" i="4"/>
  <c r="W880" i="4"/>
  <c r="W876" i="4"/>
  <c r="W872" i="4"/>
  <c r="W868" i="4"/>
  <c r="W864" i="4"/>
  <c r="W860" i="4"/>
  <c r="W856" i="4"/>
  <c r="W852" i="4"/>
  <c r="W848" i="4"/>
  <c r="W844" i="4"/>
  <c r="W840" i="4"/>
  <c r="W836" i="4"/>
  <c r="W832" i="4"/>
  <c r="W1284" i="4"/>
  <c r="W1220" i="4"/>
  <c r="W1180" i="4"/>
  <c r="W1144" i="4"/>
  <c r="W1113" i="4"/>
  <c r="W1280" i="4"/>
  <c r="W1216" i="4"/>
  <c r="W1156" i="4"/>
  <c r="W1104" i="4"/>
  <c r="W1085" i="4"/>
  <c r="W976" i="4"/>
  <c r="W1276" i="4"/>
  <c r="W1212" i="4"/>
  <c r="W1176" i="4"/>
  <c r="W1132" i="4"/>
  <c r="W1121" i="4"/>
  <c r="W1076" i="4"/>
  <c r="W1068" i="4"/>
  <c r="W1056" i="4"/>
  <c r="W1033" i="4"/>
  <c r="W1028" i="4"/>
  <c r="W1017" i="4"/>
  <c r="W1012" i="4"/>
  <c r="W1001" i="4"/>
  <c r="W996" i="4"/>
  <c r="W985" i="4"/>
  <c r="W1272" i="4"/>
  <c r="W1208" i="4"/>
  <c r="W1153" i="4"/>
  <c r="W1141" i="4"/>
  <c r="W1112" i="4"/>
  <c r="W1093" i="4"/>
  <c r="W1061" i="4"/>
  <c r="W1044" i="4"/>
  <c r="W980" i="4"/>
  <c r="W971" i="4"/>
  <c r="W967" i="4"/>
  <c r="W963" i="4"/>
  <c r="W959" i="4"/>
  <c r="W955" i="4"/>
  <c r="W951" i="4"/>
  <c r="W947" i="4"/>
  <c r="W943" i="4"/>
  <c r="W939" i="4"/>
  <c r="W935" i="4"/>
  <c r="W931" i="4"/>
  <c r="W927" i="4"/>
  <c r="W923" i="4"/>
  <c r="W919" i="4"/>
  <c r="W915" i="4"/>
  <c r="W911" i="4"/>
  <c r="W907" i="4"/>
  <c r="W903" i="4"/>
  <c r="W899" i="4"/>
  <c r="W895" i="4"/>
  <c r="W891" i="4"/>
  <c r="W1268" i="4"/>
  <c r="W1204" i="4"/>
  <c r="W1172" i="4"/>
  <c r="W1084" i="4"/>
  <c r="W1049" i="4"/>
  <c r="W1264" i="4"/>
  <c r="W1129" i="4"/>
  <c r="W1120" i="4"/>
  <c r="W1101" i="4"/>
  <c r="W1260" i="4"/>
  <c r="W1200" i="4"/>
  <c r="W1168" i="4"/>
  <c r="W1152" i="4"/>
  <c r="W1140" i="4"/>
  <c r="W1092" i="4"/>
  <c r="W1037" i="4"/>
  <c r="W1032" i="4"/>
  <c r="W1021" i="4"/>
  <c r="W1016" i="4"/>
  <c r="W1005" i="4"/>
  <c r="W1000" i="4"/>
  <c r="W989" i="4"/>
  <c r="W984" i="4"/>
  <c r="W1256" i="4"/>
  <c r="W1109" i="4"/>
  <c r="W1073" i="4"/>
  <c r="W1060" i="4"/>
  <c r="W970" i="4"/>
  <c r="W966" i="4"/>
  <c r="W962" i="4"/>
  <c r="W958" i="4"/>
  <c r="W954" i="4"/>
  <c r="W950" i="4"/>
  <c r="W946" i="4"/>
  <c r="W942" i="4"/>
  <c r="W938" i="4"/>
  <c r="W934" i="4"/>
  <c r="W930" i="4"/>
  <c r="W926" i="4"/>
  <c r="W1252" i="4"/>
  <c r="W1196" i="4"/>
  <c r="W1164" i="4"/>
  <c r="W1149" i="4"/>
  <c r="W1128" i="4"/>
  <c r="W1100" i="4"/>
  <c r="W1081" i="4"/>
  <c r="W1065" i="4"/>
  <c r="W1048" i="4"/>
  <c r="W1312" i="4"/>
  <c r="W1248" i="4"/>
  <c r="W1161" i="4"/>
  <c r="W1137" i="4"/>
  <c r="W1117" i="4"/>
  <c r="W1053" i="4"/>
  <c r="W1304" i="4"/>
  <c r="W1240" i="4"/>
  <c r="W1148" i="4"/>
  <c r="W1125" i="4"/>
  <c r="W1080" i="4"/>
  <c r="W937" i="4"/>
  <c r="W917" i="4"/>
  <c r="W843" i="4"/>
  <c r="W824" i="4"/>
  <c r="W807" i="4"/>
  <c r="W790" i="4"/>
  <c r="W773" i="4"/>
  <c r="W760" i="4"/>
  <c r="W1025" i="4"/>
  <c r="W949" i="4"/>
  <c r="W883" i="4"/>
  <c r="W877" i="4"/>
  <c r="W870" i="4"/>
  <c r="W838" i="4"/>
  <c r="W828" i="4"/>
  <c r="W811" i="4"/>
  <c r="W794" i="4"/>
  <c r="W777" i="4"/>
  <c r="W764" i="4"/>
  <c r="W1020" i="4"/>
  <c r="W961" i="4"/>
  <c r="W925" i="4"/>
  <c r="W906" i="4"/>
  <c r="W898" i="4"/>
  <c r="W890" i="4"/>
  <c r="W858" i="4"/>
  <c r="W853" i="4"/>
  <c r="W833" i="4"/>
  <c r="W815" i="4"/>
  <c r="W798" i="4"/>
  <c r="W781" i="4"/>
  <c r="W768" i="4"/>
  <c r="W914" i="4"/>
  <c r="W863" i="4"/>
  <c r="W847" i="4"/>
  <c r="W819" i="4"/>
  <c r="W802" i="4"/>
  <c r="W785" i="4"/>
  <c r="W772" i="4"/>
  <c r="W755" i="4"/>
  <c r="W751" i="4"/>
  <c r="W747" i="4"/>
  <c r="W743" i="4"/>
  <c r="W739" i="4"/>
  <c r="W735" i="4"/>
  <c r="W731" i="4"/>
  <c r="W727" i="4"/>
  <c r="W723" i="4"/>
  <c r="W719" i="4"/>
  <c r="W715" i="4"/>
  <c r="W711" i="4"/>
  <c r="W707" i="4"/>
  <c r="W703" i="4"/>
  <c r="W699" i="4"/>
  <c r="W695" i="4"/>
  <c r="W691" i="4"/>
  <c r="W687" i="4"/>
  <c r="W683" i="4"/>
  <c r="W679" i="4"/>
  <c r="W675" i="4"/>
  <c r="W671" i="4"/>
  <c r="W667" i="4"/>
  <c r="W663" i="4"/>
  <c r="W659" i="4"/>
  <c r="W655" i="4"/>
  <c r="W651" i="4"/>
  <c r="W647" i="4"/>
  <c r="W643" i="4"/>
  <c r="W639" i="4"/>
  <c r="W635" i="4"/>
  <c r="W631" i="4"/>
  <c r="W627" i="4"/>
  <c r="W623" i="4"/>
  <c r="W619" i="4"/>
  <c r="W615" i="4"/>
  <c r="W611" i="4"/>
  <c r="W607" i="4"/>
  <c r="W603" i="4"/>
  <c r="W599" i="4"/>
  <c r="W595" i="4"/>
  <c r="W591" i="4"/>
  <c r="W587" i="4"/>
  <c r="W583" i="4"/>
  <c r="W579" i="4"/>
  <c r="W575" i="4"/>
  <c r="W571" i="4"/>
  <c r="W1009" i="4"/>
  <c r="W882" i="4"/>
  <c r="W875" i="4"/>
  <c r="W842" i="4"/>
  <c r="W823" i="4"/>
  <c r="W806" i="4"/>
  <c r="W789" i="4"/>
  <c r="W776" i="4"/>
  <c r="W759" i="4"/>
  <c r="W1108" i="4"/>
  <c r="W1004" i="4"/>
  <c r="W922" i="4"/>
  <c r="W869" i="4"/>
  <c r="W837" i="4"/>
  <c r="W827" i="4"/>
  <c r="W810" i="4"/>
  <c r="W793" i="4"/>
  <c r="W780" i="4"/>
  <c r="W763" i="4"/>
  <c r="W973" i="4"/>
  <c r="W945" i="4"/>
  <c r="W933" i="4"/>
  <c r="W905" i="4"/>
  <c r="W897" i="4"/>
  <c r="W889" i="4"/>
  <c r="W862" i="4"/>
  <c r="W857" i="4"/>
  <c r="W814" i="4"/>
  <c r="W797" i="4"/>
  <c r="W784" i="4"/>
  <c r="W767" i="4"/>
  <c r="W1089" i="4"/>
  <c r="W957" i="4"/>
  <c r="W913" i="4"/>
  <c r="W874" i="4"/>
  <c r="W851" i="4"/>
  <c r="W846" i="4"/>
  <c r="W831" i="4"/>
  <c r="W818" i="4"/>
  <c r="W801" i="4"/>
  <c r="W788" i="4"/>
  <c r="W771" i="4"/>
  <c r="W754" i="4"/>
  <c r="W750" i="4"/>
  <c r="W746" i="4"/>
  <c r="W742" i="4"/>
  <c r="W738" i="4"/>
  <c r="W734" i="4"/>
  <c r="W730" i="4"/>
  <c r="W726" i="4"/>
  <c r="W722" i="4"/>
  <c r="W718" i="4"/>
  <c r="W714" i="4"/>
  <c r="W710" i="4"/>
  <c r="W706" i="4"/>
  <c r="W702" i="4"/>
  <c r="W698" i="4"/>
  <c r="W694" i="4"/>
  <c r="W690" i="4"/>
  <c r="W686" i="4"/>
  <c r="W682" i="4"/>
  <c r="W678" i="4"/>
  <c r="W887" i="4"/>
  <c r="W881" i="4"/>
  <c r="W867" i="4"/>
  <c r="W841" i="4"/>
  <c r="W822" i="4"/>
  <c r="W805" i="4"/>
  <c r="W792" i="4"/>
  <c r="W775" i="4"/>
  <c r="W758" i="4"/>
  <c r="W1072" i="4"/>
  <c r="W993" i="4"/>
  <c r="W921" i="4"/>
  <c r="W826" i="4"/>
  <c r="W809" i="4"/>
  <c r="W796" i="4"/>
  <c r="W779" i="4"/>
  <c r="W969" i="4"/>
  <c r="W910" i="4"/>
  <c r="W902" i="4"/>
  <c r="W894" i="4"/>
  <c r="W879" i="4"/>
  <c r="W861" i="4"/>
  <c r="W850" i="4"/>
  <c r="W835" i="4"/>
  <c r="W813" i="4"/>
  <c r="W800" i="4"/>
  <c r="W783" i="4"/>
  <c r="W766" i="4"/>
  <c r="W941" i="4"/>
  <c r="W886" i="4"/>
  <c r="W873" i="4"/>
  <c r="W866" i="4"/>
  <c r="W855" i="4"/>
  <c r="W845" i="4"/>
  <c r="W830" i="4"/>
  <c r="W817" i="4"/>
  <c r="W804" i="4"/>
  <c r="W787" i="4"/>
  <c r="W770" i="4"/>
  <c r="W988" i="4"/>
  <c r="W953" i="4"/>
  <c r="W929" i="4"/>
  <c r="W918" i="4"/>
  <c r="W821" i="4"/>
  <c r="W808" i="4"/>
  <c r="W791" i="4"/>
  <c r="W774" i="4"/>
  <c r="W1308" i="4"/>
  <c r="W878" i="4"/>
  <c r="W839" i="4"/>
  <c r="W825" i="4"/>
  <c r="W812" i="4"/>
  <c r="W795" i="4"/>
  <c r="W1192" i="4"/>
  <c r="W1036" i="4"/>
  <c r="W885" i="4"/>
  <c r="W865" i="4"/>
  <c r="W859" i="4"/>
  <c r="W829" i="4"/>
  <c r="W820" i="4"/>
  <c r="W803" i="4"/>
  <c r="W786" i="4"/>
  <c r="W769" i="4"/>
  <c r="W965" i="4"/>
  <c r="W748" i="4"/>
  <c r="W725" i="4"/>
  <c r="W716" i="4"/>
  <c r="W697" i="4"/>
  <c r="W689" i="4"/>
  <c r="W681" i="4"/>
  <c r="W666" i="4"/>
  <c r="W660" i="4"/>
  <c r="W653" i="4"/>
  <c r="W564" i="4"/>
  <c r="W551" i="4"/>
  <c r="W534" i="4"/>
  <c r="W517" i="4"/>
  <c r="W834" i="4"/>
  <c r="W757" i="4"/>
  <c r="W705" i="4"/>
  <c r="W673" i="4"/>
  <c r="W632" i="4"/>
  <c r="W618" i="4"/>
  <c r="W609" i="4"/>
  <c r="W600" i="4"/>
  <c r="W586" i="4"/>
  <c r="W577" i="4"/>
  <c r="W568" i="4"/>
  <c r="W555" i="4"/>
  <c r="W538" i="4"/>
  <c r="W521" i="4"/>
  <c r="W504" i="4"/>
  <c r="W500" i="4"/>
  <c r="W496" i="4"/>
  <c r="W492" i="4"/>
  <c r="W488" i="4"/>
  <c r="W484" i="4"/>
  <c r="W480" i="4"/>
  <c r="W476" i="4"/>
  <c r="W472" i="4"/>
  <c r="W468" i="4"/>
  <c r="W464" i="4"/>
  <c r="W460" i="4"/>
  <c r="W456" i="4"/>
  <c r="W452" i="4"/>
  <c r="W448" i="4"/>
  <c r="W444" i="4"/>
  <c r="W440" i="4"/>
  <c r="W436" i="4"/>
  <c r="W432" i="4"/>
  <c r="W428" i="4"/>
  <c r="W424" i="4"/>
  <c r="W420" i="4"/>
  <c r="W416" i="4"/>
  <c r="W412" i="4"/>
  <c r="W408" i="4"/>
  <c r="W404" i="4"/>
  <c r="W400" i="4"/>
  <c r="W396" i="4"/>
  <c r="W392" i="4"/>
  <c r="W388" i="4"/>
  <c r="W384" i="4"/>
  <c r="W380" i="4"/>
  <c r="W376" i="4"/>
  <c r="W372" i="4"/>
  <c r="W368" i="4"/>
  <c r="W364" i="4"/>
  <c r="W360" i="4"/>
  <c r="W745" i="4"/>
  <c r="W736" i="4"/>
  <c r="W646" i="4"/>
  <c r="W641" i="4"/>
  <c r="W559" i="4"/>
  <c r="W542" i="4"/>
  <c r="W525" i="4"/>
  <c r="W508" i="4"/>
  <c r="W713" i="4"/>
  <c r="W665" i="4"/>
  <c r="W658" i="4"/>
  <c r="W636" i="4"/>
  <c r="W622" i="4"/>
  <c r="W613" i="4"/>
  <c r="W604" i="4"/>
  <c r="W590" i="4"/>
  <c r="W581" i="4"/>
  <c r="W572" i="4"/>
  <c r="W563" i="4"/>
  <c r="W546" i="4"/>
  <c r="W529" i="4"/>
  <c r="W512" i="4"/>
  <c r="W756" i="4"/>
  <c r="W733" i="4"/>
  <c r="W724" i="4"/>
  <c r="W696" i="4"/>
  <c r="W688" i="4"/>
  <c r="W680" i="4"/>
  <c r="W652" i="4"/>
  <c r="W567" i="4"/>
  <c r="W550" i="4"/>
  <c r="W533" i="4"/>
  <c r="W516" i="4"/>
  <c r="W909" i="4"/>
  <c r="W816" i="4"/>
  <c r="W704" i="4"/>
  <c r="W672" i="4"/>
  <c r="W626" i="4"/>
  <c r="W617" i="4"/>
  <c r="W608" i="4"/>
  <c r="W594" i="4"/>
  <c r="W585" i="4"/>
  <c r="W576" i="4"/>
  <c r="W554" i="4"/>
  <c r="W537" i="4"/>
  <c r="W520" i="4"/>
  <c r="W901" i="4"/>
  <c r="W753" i="4"/>
  <c r="W744" i="4"/>
  <c r="W721" i="4"/>
  <c r="W657" i="4"/>
  <c r="W645" i="4"/>
  <c r="W640" i="4"/>
  <c r="W558" i="4"/>
  <c r="W541" i="4"/>
  <c r="W524" i="4"/>
  <c r="W893" i="4"/>
  <c r="W712" i="4"/>
  <c r="W670" i="4"/>
  <c r="W664" i="4"/>
  <c r="W650" i="4"/>
  <c r="W630" i="4"/>
  <c r="W621" i="4"/>
  <c r="W612" i="4"/>
  <c r="W598" i="4"/>
  <c r="W589" i="4"/>
  <c r="W580" i="4"/>
  <c r="W562" i="4"/>
  <c r="W545" i="4"/>
  <c r="W528" i="4"/>
  <c r="W515" i="4"/>
  <c r="W741" i="4"/>
  <c r="W732" i="4"/>
  <c r="W701" i="4"/>
  <c r="W693" i="4"/>
  <c r="W685" i="4"/>
  <c r="W677" i="4"/>
  <c r="W566" i="4"/>
  <c r="W549" i="4"/>
  <c r="W532" i="4"/>
  <c r="W519" i="4"/>
  <c r="W799" i="4"/>
  <c r="W765" i="4"/>
  <c r="W662" i="4"/>
  <c r="W634" i="4"/>
  <c r="W625" i="4"/>
  <c r="W616" i="4"/>
  <c r="W602" i="4"/>
  <c r="W593" i="4"/>
  <c r="W584" i="4"/>
  <c r="W570" i="4"/>
  <c r="W553" i="4"/>
  <c r="W536" i="4"/>
  <c r="W523" i="4"/>
  <c r="W871" i="4"/>
  <c r="W762" i="4"/>
  <c r="W752" i="4"/>
  <c r="W729" i="4"/>
  <c r="W720" i="4"/>
  <c r="W709" i="4"/>
  <c r="W669" i="4"/>
  <c r="W656" i="4"/>
  <c r="W649" i="4"/>
  <c r="W644" i="4"/>
  <c r="W638" i="4"/>
  <c r="W629" i="4"/>
  <c r="W620" i="4"/>
  <c r="W606" i="4"/>
  <c r="W597" i="4"/>
  <c r="W588" i="4"/>
  <c r="W574" i="4"/>
  <c r="W561" i="4"/>
  <c r="W544" i="4"/>
  <c r="W749" i="4"/>
  <c r="W740" i="4"/>
  <c r="W717" i="4"/>
  <c r="W700" i="4"/>
  <c r="W692" i="4"/>
  <c r="W684" i="4"/>
  <c r="W676" i="4"/>
  <c r="W661" i="4"/>
  <c r="W1244" i="4"/>
  <c r="W854" i="4"/>
  <c r="W761" i="4"/>
  <c r="W654" i="4"/>
  <c r="W633" i="4"/>
  <c r="W624" i="4"/>
  <c r="W610" i="4"/>
  <c r="W601" i="4"/>
  <c r="W1041" i="4"/>
  <c r="W849" i="4"/>
  <c r="W782" i="4"/>
  <c r="W737" i="4"/>
  <c r="W728" i="4"/>
  <c r="W708" i="4"/>
  <c r="W674" i="4"/>
  <c r="W668" i="4"/>
  <c r="W648" i="4"/>
  <c r="W642" i="4"/>
  <c r="W560" i="4"/>
  <c r="W531" i="4"/>
  <c r="W510" i="4"/>
  <c r="W471" i="4"/>
  <c r="W377" i="4"/>
  <c r="W628" i="4"/>
  <c r="W573" i="4"/>
  <c r="W557" i="4"/>
  <c r="W502" i="4"/>
  <c r="W495" i="4"/>
  <c r="W489" i="4"/>
  <c r="W477" i="4"/>
  <c r="W459" i="4"/>
  <c r="W454" i="4"/>
  <c r="W449" i="4"/>
  <c r="W443" i="4"/>
  <c r="W438" i="4"/>
  <c r="W433" i="4"/>
  <c r="W427" i="4"/>
  <c r="W422" i="4"/>
  <c r="W413" i="4"/>
  <c r="W399" i="4"/>
  <c r="W390" i="4"/>
  <c r="W381" i="4"/>
  <c r="W482" i="4"/>
  <c r="W465" i="4"/>
  <c r="W543" i="4"/>
  <c r="W518" i="4"/>
  <c r="W494" i="4"/>
  <c r="W470" i="4"/>
  <c r="W417" i="4"/>
  <c r="W403" i="4"/>
  <c r="W394" i="4"/>
  <c r="W385" i="4"/>
  <c r="W359" i="4"/>
  <c r="W355" i="4"/>
  <c r="W351" i="4"/>
  <c r="W347" i="4"/>
  <c r="W343" i="4"/>
  <c r="W339" i="4"/>
  <c r="W335" i="4"/>
  <c r="W331" i="4"/>
  <c r="W327" i="4"/>
  <c r="W323" i="4"/>
  <c r="W319" i="4"/>
  <c r="W315" i="4"/>
  <c r="W311" i="4"/>
  <c r="W307" i="4"/>
  <c r="W303" i="4"/>
  <c r="W299" i="4"/>
  <c r="W295" i="4"/>
  <c r="W291" i="4"/>
  <c r="W287" i="4"/>
  <c r="W283" i="4"/>
  <c r="W279" i="4"/>
  <c r="W275" i="4"/>
  <c r="W271" i="4"/>
  <c r="W267" i="4"/>
  <c r="W263" i="4"/>
  <c r="W259" i="4"/>
  <c r="W255" i="4"/>
  <c r="W251" i="4"/>
  <c r="W247" i="4"/>
  <c r="W243" i="4"/>
  <c r="W239" i="4"/>
  <c r="W235" i="4"/>
  <c r="W231" i="4"/>
  <c r="W227" i="4"/>
  <c r="W223" i="4"/>
  <c r="W219" i="4"/>
  <c r="W215" i="4"/>
  <c r="W211" i="4"/>
  <c r="W207" i="4"/>
  <c r="W203" i="4"/>
  <c r="W199" i="4"/>
  <c r="W195" i="4"/>
  <c r="W191" i="4"/>
  <c r="W187" i="4"/>
  <c r="W183" i="4"/>
  <c r="W179" i="4"/>
  <c r="W175" i="4"/>
  <c r="W171" i="4"/>
  <c r="W167" i="4"/>
  <c r="W163" i="4"/>
  <c r="W159" i="4"/>
  <c r="W155" i="4"/>
  <c r="W151" i="4"/>
  <c r="W147" i="4"/>
  <c r="W143" i="4"/>
  <c r="W139" i="4"/>
  <c r="W135" i="4"/>
  <c r="W131" i="4"/>
  <c r="W127" i="4"/>
  <c r="W123" i="4"/>
  <c r="W119" i="4"/>
  <c r="W115" i="4"/>
  <c r="W111" i="4"/>
  <c r="W107" i="4"/>
  <c r="W103" i="4"/>
  <c r="W614" i="4"/>
  <c r="W569" i="4"/>
  <c r="W556" i="4"/>
  <c r="W530" i="4"/>
  <c r="W509" i="4"/>
  <c r="W487" i="4"/>
  <c r="W363" i="4"/>
  <c r="W540" i="4"/>
  <c r="W527" i="4"/>
  <c r="W501" i="4"/>
  <c r="W475" i="4"/>
  <c r="W458" i="4"/>
  <c r="W453" i="4"/>
  <c r="W447" i="4"/>
  <c r="W442" i="4"/>
  <c r="W437" i="4"/>
  <c r="W431" i="4"/>
  <c r="W426" i="4"/>
  <c r="W421" i="4"/>
  <c r="W407" i="4"/>
  <c r="W398" i="4"/>
  <c r="W389" i="4"/>
  <c r="W367" i="4"/>
  <c r="W507" i="4"/>
  <c r="W481" i="4"/>
  <c r="W463" i="4"/>
  <c r="W371" i="4"/>
  <c r="W605" i="4"/>
  <c r="W582" i="4"/>
  <c r="W539" i="4"/>
  <c r="W493" i="4"/>
  <c r="W486" i="4"/>
  <c r="W469" i="4"/>
  <c r="W411" i="4"/>
  <c r="W402" i="4"/>
  <c r="W393" i="4"/>
  <c r="W375" i="4"/>
  <c r="W358" i="4"/>
  <c r="W354" i="4"/>
  <c r="W350" i="4"/>
  <c r="W346" i="4"/>
  <c r="W342" i="4"/>
  <c r="W338" i="4"/>
  <c r="W334" i="4"/>
  <c r="W330" i="4"/>
  <c r="W326" i="4"/>
  <c r="W322" i="4"/>
  <c r="W318" i="4"/>
  <c r="W314" i="4"/>
  <c r="W310" i="4"/>
  <c r="W306" i="4"/>
  <c r="W302" i="4"/>
  <c r="W298" i="4"/>
  <c r="W294" i="4"/>
  <c r="W290" i="4"/>
  <c r="W286" i="4"/>
  <c r="W282" i="4"/>
  <c r="W278" i="4"/>
  <c r="W274" i="4"/>
  <c r="W270" i="4"/>
  <c r="W266" i="4"/>
  <c r="W262" i="4"/>
  <c r="W258" i="4"/>
  <c r="W254" i="4"/>
  <c r="W250" i="4"/>
  <c r="W246" i="4"/>
  <c r="W242" i="4"/>
  <c r="W238" i="4"/>
  <c r="W234" i="4"/>
  <c r="W230" i="4"/>
  <c r="W226" i="4"/>
  <c r="W222" i="4"/>
  <c r="W218" i="4"/>
  <c r="W214" i="4"/>
  <c r="W210" i="4"/>
  <c r="W206" i="4"/>
  <c r="W202" i="4"/>
  <c r="W198" i="4"/>
  <c r="W194" i="4"/>
  <c r="W565" i="4"/>
  <c r="W552" i="4"/>
  <c r="W506" i="4"/>
  <c r="W499" i="4"/>
  <c r="W474" i="4"/>
  <c r="W379" i="4"/>
  <c r="W362" i="4"/>
  <c r="W526" i="4"/>
  <c r="W514" i="4"/>
  <c r="W462" i="4"/>
  <c r="W457" i="4"/>
  <c r="W451" i="4"/>
  <c r="W446" i="4"/>
  <c r="W441" i="4"/>
  <c r="W435" i="4"/>
  <c r="W430" i="4"/>
  <c r="W425" i="4"/>
  <c r="W415" i="4"/>
  <c r="W406" i="4"/>
  <c r="W397" i="4"/>
  <c r="W383" i="4"/>
  <c r="W366" i="4"/>
  <c r="W578" i="4"/>
  <c r="W498" i="4"/>
  <c r="W491" i="4"/>
  <c r="W479" i="4"/>
  <c r="W370" i="4"/>
  <c r="W535" i="4"/>
  <c r="W485" i="4"/>
  <c r="W467" i="4"/>
  <c r="W419" i="4"/>
  <c r="W410" i="4"/>
  <c r="W401" i="4"/>
  <c r="W387" i="4"/>
  <c r="W374" i="4"/>
  <c r="W357" i="4"/>
  <c r="W353" i="4"/>
  <c r="W349" i="4"/>
  <c r="W345" i="4"/>
  <c r="W341" i="4"/>
  <c r="W337" i="4"/>
  <c r="W333" i="4"/>
  <c r="W329" i="4"/>
  <c r="W325" i="4"/>
  <c r="W321" i="4"/>
  <c r="W317" i="4"/>
  <c r="W313" i="4"/>
  <c r="W309" i="4"/>
  <c r="W305" i="4"/>
  <c r="W301" i="4"/>
  <c r="W297" i="4"/>
  <c r="W293" i="4"/>
  <c r="W289" i="4"/>
  <c r="W285" i="4"/>
  <c r="W281" i="4"/>
  <c r="W277" i="4"/>
  <c r="W273" i="4"/>
  <c r="W269" i="4"/>
  <c r="W265" i="4"/>
  <c r="W261" i="4"/>
  <c r="W257" i="4"/>
  <c r="W253" i="4"/>
  <c r="W249" i="4"/>
  <c r="W245" i="4"/>
  <c r="W241" i="4"/>
  <c r="W237" i="4"/>
  <c r="W233" i="4"/>
  <c r="W229" i="4"/>
  <c r="W225" i="4"/>
  <c r="W221" i="4"/>
  <c r="W217" i="4"/>
  <c r="W596" i="4"/>
  <c r="W548" i="4"/>
  <c r="W505" i="4"/>
  <c r="W473" i="4"/>
  <c r="W378" i="4"/>
  <c r="W361" i="4"/>
  <c r="W592" i="4"/>
  <c r="W513" i="4"/>
  <c r="W490" i="4"/>
  <c r="W478" i="4"/>
  <c r="W461" i="4"/>
  <c r="W455" i="4"/>
  <c r="W450" i="4"/>
  <c r="W445" i="4"/>
  <c r="W439" i="4"/>
  <c r="W434" i="4"/>
  <c r="W429" i="4"/>
  <c r="W423" i="4"/>
  <c r="W414" i="4"/>
  <c r="W405" i="4"/>
  <c r="W391" i="4"/>
  <c r="W382" i="4"/>
  <c r="W365" i="4"/>
  <c r="W778" i="4"/>
  <c r="W637" i="4"/>
  <c r="W547" i="4"/>
  <c r="W511" i="4"/>
  <c r="W503" i="4"/>
  <c r="W483" i="4"/>
  <c r="W418" i="4"/>
  <c r="W409" i="4"/>
  <c r="W395" i="4"/>
  <c r="W386" i="4"/>
  <c r="W373" i="4"/>
  <c r="W356" i="4"/>
  <c r="W352" i="4"/>
  <c r="W348" i="4"/>
  <c r="W344" i="4"/>
  <c r="W340" i="4"/>
  <c r="W336" i="4"/>
  <c r="W332" i="4"/>
  <c r="W328" i="4"/>
  <c r="W324" i="4"/>
  <c r="W320" i="4"/>
  <c r="W316" i="4"/>
  <c r="W312" i="4"/>
  <c r="W308" i="4"/>
  <c r="W304" i="4"/>
  <c r="W300" i="4"/>
  <c r="W104" i="4"/>
  <c r="W113" i="4"/>
  <c r="W122" i="4"/>
  <c r="W136" i="4"/>
  <c r="W145" i="4"/>
  <c r="W284" i="4"/>
  <c r="V9" i="4"/>
  <c r="V10" i="4" s="1"/>
  <c r="Y10" i="4" s="1"/>
  <c r="W16" i="4"/>
  <c r="W20" i="4"/>
  <c r="W24" i="4"/>
  <c r="W28" i="4"/>
  <c r="W32" i="4"/>
  <c r="W36" i="4"/>
  <c r="W40" i="4"/>
  <c r="W44" i="4"/>
  <c r="W48" i="4"/>
  <c r="W52" i="4"/>
  <c r="W56" i="4"/>
  <c r="W60" i="4"/>
  <c r="W64" i="4"/>
  <c r="W68" i="4"/>
  <c r="W72" i="4"/>
  <c r="W76" i="4"/>
  <c r="W80" i="4"/>
  <c r="W84" i="4"/>
  <c r="W88" i="4"/>
  <c r="W92" i="4"/>
  <c r="W96" i="4"/>
  <c r="W100" i="4"/>
  <c r="W160" i="4"/>
  <c r="W205" i="4"/>
  <c r="W272" i="4"/>
  <c r="W497" i="4"/>
  <c r="W109" i="4"/>
  <c r="W118" i="4"/>
  <c r="W132" i="4"/>
  <c r="W141" i="4"/>
  <c r="W150" i="4"/>
  <c r="W165" i="4"/>
  <c r="W170" i="4"/>
  <c r="W186" i="4"/>
  <c r="W192" i="4"/>
  <c r="W260" i="4"/>
  <c r="W176" i="4"/>
  <c r="W181" i="4"/>
  <c r="W213" i="4"/>
  <c r="W248" i="4"/>
  <c r="W105" i="4"/>
  <c r="W114" i="4"/>
  <c r="W128" i="4"/>
  <c r="W137" i="4"/>
  <c r="W146" i="4"/>
  <c r="W156" i="4"/>
  <c r="W200" i="4"/>
  <c r="W236" i="4"/>
  <c r="W522" i="4"/>
  <c r="W17" i="4"/>
  <c r="W21" i="4"/>
  <c r="W25" i="4"/>
  <c r="W29" i="4"/>
  <c r="W33" i="4"/>
  <c r="W37" i="4"/>
  <c r="W41" i="4"/>
  <c r="W45" i="4"/>
  <c r="W49" i="4"/>
  <c r="W53" i="4"/>
  <c r="W57" i="4"/>
  <c r="W61" i="4"/>
  <c r="W65" i="4"/>
  <c r="W69" i="4"/>
  <c r="W73" i="4"/>
  <c r="W77" i="4"/>
  <c r="W81" i="4"/>
  <c r="W85" i="4"/>
  <c r="W89" i="4"/>
  <c r="W93" i="4"/>
  <c r="W97" i="4"/>
  <c r="W101" i="4"/>
  <c r="W161" i="4"/>
  <c r="W224" i="4"/>
  <c r="W288" i="4"/>
  <c r="W12" i="4"/>
  <c r="W110" i="4"/>
  <c r="W124" i="4"/>
  <c r="W133" i="4"/>
  <c r="W142" i="4"/>
  <c r="W166" i="4"/>
  <c r="W182" i="4"/>
  <c r="W193" i="4"/>
  <c r="W208" i="4"/>
  <c r="W276" i="4"/>
  <c r="W13" i="4"/>
  <c r="W152" i="4"/>
  <c r="W172" i="4"/>
  <c r="W177" i="4"/>
  <c r="W188" i="4"/>
  <c r="W264" i="4"/>
  <c r="W106" i="4"/>
  <c r="W120" i="4"/>
  <c r="W129" i="4"/>
  <c r="W138" i="4"/>
  <c r="W157" i="4"/>
  <c r="W201" i="4"/>
  <c r="W216" i="4"/>
  <c r="W252" i="4"/>
  <c r="W369" i="4"/>
  <c r="I4" i="36" a="1"/>
  <c r="U70" i="4" l="1"/>
  <c r="U166" i="4"/>
  <c r="U297" i="4"/>
  <c r="U194" i="4"/>
  <c r="U66" i="4"/>
  <c r="U23" i="4"/>
  <c r="U77" i="4"/>
  <c r="U206" i="4"/>
  <c r="U20" i="4"/>
  <c r="U167" i="4"/>
  <c r="U225" i="4"/>
  <c r="U62" i="4"/>
  <c r="U45" i="4"/>
  <c r="U151" i="4"/>
  <c r="U233" i="4"/>
  <c r="U122" i="4"/>
  <c r="U64" i="4"/>
  <c r="U24" i="4"/>
  <c r="U143" i="4"/>
  <c r="U54" i="4"/>
  <c r="U142" i="4"/>
  <c r="U161" i="4"/>
  <c r="U198" i="4"/>
  <c r="U19" i="4"/>
  <c r="U186" i="4"/>
  <c r="U237" i="4"/>
  <c r="U201" i="4"/>
  <c r="U31" i="4"/>
  <c r="U101" i="4"/>
  <c r="U191" i="4"/>
  <c r="U32" i="4"/>
  <c r="U215" i="4"/>
  <c r="U42" i="4"/>
  <c r="U39" i="4"/>
  <c r="U37" i="4"/>
  <c r="U128" i="4"/>
  <c r="U134" i="4"/>
  <c r="U38" i="4"/>
  <c r="U173" i="4"/>
  <c r="U133" i="4"/>
  <c r="U181" i="4"/>
  <c r="U34" i="4"/>
  <c r="U592" i="4"/>
  <c r="U93" i="4"/>
  <c r="U137" i="4"/>
  <c r="U170" i="4"/>
  <c r="U175" i="4"/>
  <c r="U86" i="4"/>
  <c r="U69" i="4"/>
  <c r="U289" i="4"/>
  <c r="U25" i="4"/>
  <c r="U109" i="4"/>
  <c r="U120" i="4"/>
  <c r="U30" i="4"/>
  <c r="U249" i="4"/>
  <c r="U119" i="4"/>
  <c r="U65" i="4"/>
  <c r="U165" i="4"/>
  <c r="U58" i="4"/>
  <c r="U125" i="4"/>
  <c r="U102" i="4"/>
  <c r="U26" i="4"/>
  <c r="U147" i="4"/>
  <c r="U317" i="4"/>
  <c r="U57" i="4"/>
  <c r="U123" i="4"/>
  <c r="U150" i="4"/>
  <c r="U21" i="4"/>
  <c r="U98" i="4"/>
  <c r="U22" i="4"/>
  <c r="U214" i="4"/>
  <c r="U261" i="4"/>
  <c r="U110" i="4"/>
  <c r="U41" i="4"/>
  <c r="U85" i="4"/>
  <c r="U14" i="4"/>
  <c r="U138" i="4"/>
  <c r="U207" i="4"/>
  <c r="U17" i="4"/>
  <c r="U114" i="4"/>
  <c r="U141" i="4"/>
  <c r="U94" i="4"/>
  <c r="U277" i="4"/>
  <c r="U49" i="4"/>
  <c r="U90" i="4"/>
  <c r="U182" i="4"/>
  <c r="U61" i="4"/>
  <c r="U35" i="4"/>
  <c r="U29" i="4"/>
  <c r="U153" i="4"/>
  <c r="U273" i="4"/>
  <c r="U118" i="4"/>
  <c r="U55" i="4"/>
  <c r="U129" i="4"/>
  <c r="U177" i="4"/>
  <c r="U193" i="4"/>
  <c r="U189" i="4"/>
  <c r="U305" i="4"/>
  <c r="U78" i="4"/>
  <c r="U53" i="4"/>
  <c r="U187" i="4"/>
  <c r="U505" i="4"/>
  <c r="U209" i="4"/>
  <c r="U561" i="4"/>
  <c r="U74" i="4"/>
  <c r="U33" i="4"/>
  <c r="U115" i="4"/>
  <c r="U171" i="4"/>
  <c r="U285" i="4"/>
  <c r="U313" i="4"/>
  <c r="U44" i="4"/>
  <c r="I4" i="36"/>
  <c r="U104" i="4"/>
  <c r="U275" i="4"/>
  <c r="U525" i="4"/>
  <c r="U712" i="4"/>
  <c r="U1186" i="4"/>
  <c r="U293" i="4"/>
  <c r="U339" i="4"/>
  <c r="U440" i="4"/>
  <c r="U848" i="4"/>
  <c r="U1250" i="4"/>
  <c r="U583" i="4"/>
  <c r="U504" i="4"/>
  <c r="U962" i="4"/>
  <c r="U1067" i="4"/>
  <c r="U91" i="4"/>
  <c r="U443" i="4"/>
  <c r="U517" i="4"/>
  <c r="U1005" i="4"/>
  <c r="U1131" i="4"/>
  <c r="U152" i="4"/>
  <c r="U547" i="4"/>
  <c r="U1049" i="4"/>
  <c r="U1195" i="4"/>
  <c r="U216" i="4"/>
  <c r="U560" i="4"/>
  <c r="U1033" i="4"/>
  <c r="U1259" i="4"/>
  <c r="U280" i="4"/>
  <c r="U950" i="4"/>
  <c r="U924" i="4"/>
  <c r="U1052" i="4"/>
  <c r="U382" i="4"/>
  <c r="U344" i="4"/>
  <c r="U835" i="4"/>
  <c r="U1113" i="4"/>
  <c r="U1116" i="4"/>
  <c r="U197" i="4"/>
  <c r="U329" i="4"/>
  <c r="U522" i="4"/>
  <c r="U758" i="4"/>
  <c r="U1133" i="4"/>
  <c r="U1180" i="4"/>
  <c r="U548" i="4"/>
  <c r="U683" i="4"/>
  <c r="U874" i="4"/>
  <c r="U853" i="4"/>
  <c r="U1244" i="4"/>
  <c r="U451" i="4"/>
  <c r="U602" i="4"/>
  <c r="U763" i="4"/>
  <c r="U917" i="4"/>
  <c r="U1308" i="4"/>
  <c r="U234" i="4"/>
  <c r="U515" i="4"/>
  <c r="U806" i="4"/>
  <c r="U1046" i="4"/>
  <c r="U88" i="4"/>
  <c r="U298" i="4"/>
  <c r="U580" i="4"/>
  <c r="U747" i="4"/>
  <c r="U1165" i="4"/>
  <c r="U76" i="4"/>
  <c r="U375" i="4"/>
  <c r="U487" i="4"/>
  <c r="U815" i="4"/>
  <c r="U1229" i="4"/>
  <c r="U384" i="4"/>
  <c r="U742" i="4"/>
  <c r="U870" i="4"/>
  <c r="U1293" i="4"/>
  <c r="U211" i="4"/>
  <c r="U566" i="4"/>
  <c r="U563" i="4"/>
  <c r="U648" i="4"/>
  <c r="U1122" i="4"/>
  <c r="U72" i="4"/>
  <c r="U159" i="4"/>
  <c r="U190" i="4"/>
  <c r="U391" i="4"/>
  <c r="U333" i="4"/>
  <c r="U370" i="4"/>
  <c r="U457" i="4"/>
  <c r="U238" i="4"/>
  <c r="U302" i="4"/>
  <c r="U388" i="4"/>
  <c r="U389" i="4"/>
  <c r="U363" i="4"/>
  <c r="U279" i="4"/>
  <c r="U343" i="4"/>
  <c r="U610" i="4"/>
  <c r="U449" i="4"/>
  <c r="U156" i="4"/>
  <c r="U220" i="4"/>
  <c r="U284" i="4"/>
  <c r="U348" i="4"/>
  <c r="U633" i="4"/>
  <c r="U691" i="4"/>
  <c r="U611" i="4"/>
  <c r="U532" i="4"/>
  <c r="U612" i="4"/>
  <c r="U491" i="4"/>
  <c r="U808" i="4"/>
  <c r="U581" i="4"/>
  <c r="U542" i="4"/>
  <c r="U444" i="4"/>
  <c r="U508" i="4"/>
  <c r="U534" i="4"/>
  <c r="U564" i="4"/>
  <c r="U596" i="4"/>
  <c r="U963" i="4"/>
  <c r="U850" i="4"/>
  <c r="U775" i="4"/>
  <c r="U880" i="4"/>
  <c r="U780" i="4"/>
  <c r="U823" i="4"/>
  <c r="U751" i="4"/>
  <c r="U858" i="4"/>
  <c r="U876" i="4"/>
  <c r="U652" i="4"/>
  <c r="U716" i="4"/>
  <c r="U864" i="4"/>
  <c r="U980" i="4"/>
  <c r="U1010" i="4"/>
  <c r="U1066" i="4"/>
  <c r="U1038" i="4"/>
  <c r="U928" i="4"/>
  <c r="U986" i="4"/>
  <c r="U977" i="4"/>
  <c r="U857" i="4"/>
  <c r="U921" i="4"/>
  <c r="U1070" i="4"/>
  <c r="U1169" i="4"/>
  <c r="U1233" i="4"/>
  <c r="U1297" i="4"/>
  <c r="U1126" i="4"/>
  <c r="U1190" i="4"/>
  <c r="U1254" i="4"/>
  <c r="U1071" i="4"/>
  <c r="U1135" i="4"/>
  <c r="U1199" i="4"/>
  <c r="U1263" i="4"/>
  <c r="U1056" i="4"/>
  <c r="U1120" i="4"/>
  <c r="U1184" i="4"/>
  <c r="U1248" i="4"/>
  <c r="U1312" i="4"/>
  <c r="U87" i="4"/>
  <c r="U202" i="4"/>
  <c r="U68" i="4"/>
  <c r="U185" i="4"/>
  <c r="U229" i="4"/>
  <c r="U400" i="4"/>
  <c r="U337" i="4"/>
  <c r="U498" i="4"/>
  <c r="U462" i="4"/>
  <c r="U242" i="4"/>
  <c r="U306" i="4"/>
  <c r="U393" i="4"/>
  <c r="U398" i="4"/>
  <c r="U380" i="4"/>
  <c r="U283" i="4"/>
  <c r="U347" i="4"/>
  <c r="U706" i="4"/>
  <c r="U454" i="4"/>
  <c r="U160" i="4"/>
  <c r="U224" i="4"/>
  <c r="U288" i="4"/>
  <c r="U352" i="4"/>
  <c r="U624" i="4"/>
  <c r="U699" i="4"/>
  <c r="U625" i="4"/>
  <c r="U545" i="4"/>
  <c r="U645" i="4"/>
  <c r="U495" i="4"/>
  <c r="U520" i="4"/>
  <c r="U590" i="4"/>
  <c r="U559" i="4"/>
  <c r="U448" i="4"/>
  <c r="U521" i="4"/>
  <c r="U551" i="4"/>
  <c r="U573" i="4"/>
  <c r="U628" i="4"/>
  <c r="U787" i="4"/>
  <c r="U855" i="4"/>
  <c r="U792" i="4"/>
  <c r="U887" i="4"/>
  <c r="U797" i="4"/>
  <c r="U842" i="4"/>
  <c r="U755" i="4"/>
  <c r="U863" i="4"/>
  <c r="U923" i="4"/>
  <c r="U656" i="4"/>
  <c r="U720" i="4"/>
  <c r="U915" i="4"/>
  <c r="U1031" i="4"/>
  <c r="U1016" i="4"/>
  <c r="U1101" i="4"/>
  <c r="U1093" i="4"/>
  <c r="U932" i="4"/>
  <c r="U992" i="4"/>
  <c r="U1063" i="4"/>
  <c r="U861" i="4"/>
  <c r="U925" i="4"/>
  <c r="U1097" i="4"/>
  <c r="U1173" i="4"/>
  <c r="U1237" i="4"/>
  <c r="U1301" i="4"/>
  <c r="U1130" i="4"/>
  <c r="U1194" i="4"/>
  <c r="U1258" i="4"/>
  <c r="U1075" i="4"/>
  <c r="U1139" i="4"/>
  <c r="U1203" i="4"/>
  <c r="U1267" i="4"/>
  <c r="U1060" i="4"/>
  <c r="U1124" i="4"/>
  <c r="U1188" i="4"/>
  <c r="U1252" i="4"/>
  <c r="U83" i="4"/>
  <c r="U195" i="4"/>
  <c r="U205" i="4"/>
  <c r="U56" i="4"/>
  <c r="U145" i="4"/>
  <c r="U174" i="4"/>
  <c r="U210" i="4"/>
  <c r="U405" i="4"/>
  <c r="U341" i="4"/>
  <c r="U523" i="4"/>
  <c r="U514" i="4"/>
  <c r="U246" i="4"/>
  <c r="U310" i="4"/>
  <c r="U402" i="4"/>
  <c r="U407" i="4"/>
  <c r="U569" i="4"/>
  <c r="U287" i="4"/>
  <c r="U351" i="4"/>
  <c r="U372" i="4"/>
  <c r="U459" i="4"/>
  <c r="U164" i="4"/>
  <c r="U228" i="4"/>
  <c r="U292" i="4"/>
  <c r="U356" i="4"/>
  <c r="U654" i="4"/>
  <c r="U738" i="4"/>
  <c r="U634" i="4"/>
  <c r="U562" i="4"/>
  <c r="U650" i="4"/>
  <c r="U499" i="4"/>
  <c r="U533" i="4"/>
  <c r="U599" i="4"/>
  <c r="U572" i="4"/>
  <c r="U452" i="4"/>
  <c r="U538" i="4"/>
  <c r="U568" i="4"/>
  <c r="U582" i="4"/>
  <c r="U642" i="4"/>
  <c r="U804" i="4"/>
  <c r="U894" i="4"/>
  <c r="U809" i="4"/>
  <c r="U942" i="4"/>
  <c r="U810" i="4"/>
  <c r="U882" i="4"/>
  <c r="U772" i="4"/>
  <c r="U890" i="4"/>
  <c r="U959" i="4"/>
  <c r="U660" i="4"/>
  <c r="U724" i="4"/>
  <c r="U935" i="4"/>
  <c r="U1161" i="4"/>
  <c r="U1021" i="4"/>
  <c r="U1129" i="4"/>
  <c r="U1141" i="4"/>
  <c r="U936" i="4"/>
  <c r="U997" i="4"/>
  <c r="U1105" i="4"/>
  <c r="U865" i="4"/>
  <c r="U929" i="4"/>
  <c r="U988" i="4"/>
  <c r="U1177" i="4"/>
  <c r="U1241" i="4"/>
  <c r="U1305" i="4"/>
  <c r="U1134" i="4"/>
  <c r="U1198" i="4"/>
  <c r="U1262" i="4"/>
  <c r="U1079" i="4"/>
  <c r="U1143" i="4"/>
  <c r="U1207" i="4"/>
  <c r="U1271" i="4"/>
  <c r="U1064" i="4"/>
  <c r="U1128" i="4"/>
  <c r="U1192" i="4"/>
  <c r="U1256" i="4"/>
  <c r="U241" i="4"/>
  <c r="U79" i="4"/>
  <c r="V1311" i="4"/>
  <c r="V1307" i="4"/>
  <c r="V1303" i="4"/>
  <c r="V1299" i="4"/>
  <c r="V1295" i="4"/>
  <c r="V1291" i="4"/>
  <c r="V1287" i="4"/>
  <c r="V1283" i="4"/>
  <c r="V1279" i="4"/>
  <c r="V1275" i="4"/>
  <c r="V1271" i="4"/>
  <c r="V1267" i="4"/>
  <c r="V1263" i="4"/>
  <c r="V1259" i="4"/>
  <c r="V1255" i="4"/>
  <c r="V1251" i="4"/>
  <c r="V1247" i="4"/>
  <c r="V1243" i="4"/>
  <c r="V1239" i="4"/>
  <c r="V1235" i="4"/>
  <c r="V1231" i="4"/>
  <c r="V1227" i="4"/>
  <c r="V1223" i="4"/>
  <c r="V1219" i="4"/>
  <c r="V1215" i="4"/>
  <c r="V1211" i="4"/>
  <c r="V1207" i="4"/>
  <c r="V1203" i="4"/>
  <c r="V1199" i="4"/>
  <c r="V1195" i="4"/>
  <c r="V1191" i="4"/>
  <c r="V1187" i="4"/>
  <c r="V1183" i="4"/>
  <c r="V1179" i="4"/>
  <c r="V1175" i="4"/>
  <c r="V1171" i="4"/>
  <c r="V1167" i="4"/>
  <c r="V1163" i="4"/>
  <c r="V1159" i="4"/>
  <c r="V1155" i="4"/>
  <c r="V1151" i="4"/>
  <c r="V1147" i="4"/>
  <c r="V1143" i="4"/>
  <c r="V1139" i="4"/>
  <c r="V1135" i="4"/>
  <c r="V1131" i="4"/>
  <c r="V1127" i="4"/>
  <c r="V1123" i="4"/>
  <c r="V1119" i="4"/>
  <c r="V1115" i="4"/>
  <c r="V1111" i="4"/>
  <c r="V1107" i="4"/>
  <c r="V1103" i="4"/>
  <c r="V1099" i="4"/>
  <c r="V1095" i="4"/>
  <c r="V1091" i="4"/>
  <c r="V1087" i="4"/>
  <c r="V1083" i="4"/>
  <c r="V1079" i="4"/>
  <c r="V1075" i="4"/>
  <c r="V1071" i="4"/>
  <c r="V1067" i="4"/>
  <c r="V1063" i="4"/>
  <c r="V1059" i="4"/>
  <c r="V1055" i="4"/>
  <c r="V1051" i="4"/>
  <c r="V1047" i="4"/>
  <c r="V1043" i="4"/>
  <c r="V1039" i="4"/>
  <c r="V1035" i="4"/>
  <c r="V1031" i="4"/>
  <c r="V1027" i="4"/>
  <c r="V1023" i="4"/>
  <c r="V1019" i="4"/>
  <c r="V1015" i="4"/>
  <c r="V1011" i="4"/>
  <c r="V1007" i="4"/>
  <c r="V1003" i="4"/>
  <c r="V999" i="4"/>
  <c r="V995" i="4"/>
  <c r="V991" i="4"/>
  <c r="V987" i="4"/>
  <c r="V1310" i="4"/>
  <c r="V1306" i="4"/>
  <c r="V1302" i="4"/>
  <c r="V1298" i="4"/>
  <c r="V1294" i="4"/>
  <c r="V1290" i="4"/>
  <c r="V1286" i="4"/>
  <c r="V1282" i="4"/>
  <c r="V1278" i="4"/>
  <c r="V1274" i="4"/>
  <c r="V1270" i="4"/>
  <c r="V1266" i="4"/>
  <c r="V1262" i="4"/>
  <c r="V1258" i="4"/>
  <c r="V1254" i="4"/>
  <c r="V1250" i="4"/>
  <c r="V1246" i="4"/>
  <c r="V1242" i="4"/>
  <c r="V1238" i="4"/>
  <c r="V1234" i="4"/>
  <c r="V1230" i="4"/>
  <c r="V1226" i="4"/>
  <c r="V1222" i="4"/>
  <c r="V1218" i="4"/>
  <c r="V1214" i="4"/>
  <c r="V1210" i="4"/>
  <c r="V1206" i="4"/>
  <c r="V1202" i="4"/>
  <c r="V1198" i="4"/>
  <c r="V1194" i="4"/>
  <c r="V1190" i="4"/>
  <c r="V1186" i="4"/>
  <c r="X1186" i="4" s="1"/>
  <c r="V1182" i="4"/>
  <c r="V1178" i="4"/>
  <c r="V1174" i="4"/>
  <c r="V1170" i="4"/>
  <c r="V1166" i="4"/>
  <c r="V1162" i="4"/>
  <c r="V1158" i="4"/>
  <c r="V1154" i="4"/>
  <c r="V1150" i="4"/>
  <c r="V1146" i="4"/>
  <c r="V1142" i="4"/>
  <c r="V1138" i="4"/>
  <c r="V1134" i="4"/>
  <c r="V1130" i="4"/>
  <c r="V1126" i="4"/>
  <c r="V1122" i="4"/>
  <c r="V1118" i="4"/>
  <c r="V1114" i="4"/>
  <c r="V1110" i="4"/>
  <c r="V1106" i="4"/>
  <c r="V1102" i="4"/>
  <c r="V1098" i="4"/>
  <c r="V1094" i="4"/>
  <c r="V1090" i="4"/>
  <c r="V1086" i="4"/>
  <c r="V1082" i="4"/>
  <c r="V1078" i="4"/>
  <c r="V1074" i="4"/>
  <c r="V1070" i="4"/>
  <c r="V1066" i="4"/>
  <c r="V1062" i="4"/>
  <c r="V1058" i="4"/>
  <c r="V1054" i="4"/>
  <c r="V1050" i="4"/>
  <c r="V1046" i="4"/>
  <c r="V1042" i="4"/>
  <c r="V1038" i="4"/>
  <c r="V1034" i="4"/>
  <c r="V1030" i="4"/>
  <c r="V1026" i="4"/>
  <c r="V1022" i="4"/>
  <c r="V1018" i="4"/>
  <c r="V1014" i="4"/>
  <c r="V1010" i="4"/>
  <c r="V1006" i="4"/>
  <c r="V1002" i="4"/>
  <c r="V998" i="4"/>
  <c r="V994" i="4"/>
  <c r="V990" i="4"/>
  <c r="V986" i="4"/>
  <c r="V982" i="4"/>
  <c r="V1309" i="4"/>
  <c r="V1305" i="4"/>
  <c r="V1301" i="4"/>
  <c r="V1297" i="4"/>
  <c r="V1293" i="4"/>
  <c r="V1289" i="4"/>
  <c r="V1285" i="4"/>
  <c r="V1281" i="4"/>
  <c r="V1277" i="4"/>
  <c r="V1273" i="4"/>
  <c r="V1269" i="4"/>
  <c r="V1265" i="4"/>
  <c r="V1261" i="4"/>
  <c r="V1257" i="4"/>
  <c r="V1253" i="4"/>
  <c r="V1249" i="4"/>
  <c r="V1245" i="4"/>
  <c r="V1241" i="4"/>
  <c r="V1237" i="4"/>
  <c r="V1233" i="4"/>
  <c r="V1229" i="4"/>
  <c r="V1225" i="4"/>
  <c r="V1221" i="4"/>
  <c r="V1217" i="4"/>
  <c r="V1213" i="4"/>
  <c r="V1209" i="4"/>
  <c r="V1205" i="4"/>
  <c r="V1201" i="4"/>
  <c r="V1197" i="4"/>
  <c r="V1193" i="4"/>
  <c r="V1189" i="4"/>
  <c r="V1185" i="4"/>
  <c r="V1181" i="4"/>
  <c r="V1177" i="4"/>
  <c r="V1173" i="4"/>
  <c r="V1169" i="4"/>
  <c r="V1165" i="4"/>
  <c r="V1161" i="4"/>
  <c r="V1157" i="4"/>
  <c r="V1153" i="4"/>
  <c r="V1149" i="4"/>
  <c r="V1145" i="4"/>
  <c r="V1141" i="4"/>
  <c r="V1137" i="4"/>
  <c r="V1133" i="4"/>
  <c r="V1129" i="4"/>
  <c r="V1125" i="4"/>
  <c r="V1121" i="4"/>
  <c r="V1117" i="4"/>
  <c r="V1113" i="4"/>
  <c r="V1109" i="4"/>
  <c r="V1105" i="4"/>
  <c r="V1101" i="4"/>
  <c r="V1097" i="4"/>
  <c r="V1093" i="4"/>
  <c r="V1089" i="4"/>
  <c r="V1085" i="4"/>
  <c r="V1081" i="4"/>
  <c r="V1077" i="4"/>
  <c r="V1073" i="4"/>
  <c r="V1069" i="4"/>
  <c r="V1312" i="4"/>
  <c r="V1308" i="4"/>
  <c r="V1304" i="4"/>
  <c r="V1300" i="4"/>
  <c r="V1296" i="4"/>
  <c r="V1292" i="4"/>
  <c r="V1288" i="4"/>
  <c r="V1284" i="4"/>
  <c r="V1280" i="4"/>
  <c r="V1276" i="4"/>
  <c r="V1272" i="4"/>
  <c r="V1268" i="4"/>
  <c r="V1264" i="4"/>
  <c r="V1260" i="4"/>
  <c r="V1256" i="4"/>
  <c r="V1252" i="4"/>
  <c r="V1248" i="4"/>
  <c r="V1244" i="4"/>
  <c r="V1240" i="4"/>
  <c r="V1236" i="4"/>
  <c r="V1232" i="4"/>
  <c r="V1228" i="4"/>
  <c r="V1224" i="4"/>
  <c r="V1220" i="4"/>
  <c r="V1216" i="4"/>
  <c r="V1212" i="4"/>
  <c r="V1208" i="4"/>
  <c r="V1204" i="4"/>
  <c r="V1200" i="4"/>
  <c r="V1196" i="4"/>
  <c r="V1192" i="4"/>
  <c r="V1188" i="4"/>
  <c r="V1184" i="4"/>
  <c r="V1180" i="4"/>
  <c r="V1176" i="4"/>
  <c r="V1172" i="4"/>
  <c r="V1168" i="4"/>
  <c r="V1164" i="4"/>
  <c r="V1148" i="4"/>
  <c r="V1080" i="4"/>
  <c r="V973" i="4"/>
  <c r="V969" i="4"/>
  <c r="V965" i="4"/>
  <c r="V961" i="4"/>
  <c r="V957" i="4"/>
  <c r="V953" i="4"/>
  <c r="V949" i="4"/>
  <c r="V945" i="4"/>
  <c r="V941" i="4"/>
  <c r="V937" i="4"/>
  <c r="V933" i="4"/>
  <c r="V929" i="4"/>
  <c r="V925" i="4"/>
  <c r="V921" i="4"/>
  <c r="V917" i="4"/>
  <c r="V913" i="4"/>
  <c r="V909" i="4"/>
  <c r="V905" i="4"/>
  <c r="V901" i="4"/>
  <c r="V897" i="4"/>
  <c r="V893" i="4"/>
  <c r="V889" i="4"/>
  <c r="V885" i="4"/>
  <c r="V881" i="4"/>
  <c r="V877" i="4"/>
  <c r="V873" i="4"/>
  <c r="V869" i="4"/>
  <c r="V865" i="4"/>
  <c r="V861" i="4"/>
  <c r="V857" i="4"/>
  <c r="V853" i="4"/>
  <c r="V849" i="4"/>
  <c r="V845" i="4"/>
  <c r="V841" i="4"/>
  <c r="V837" i="4"/>
  <c r="V833" i="4"/>
  <c r="V829" i="4"/>
  <c r="V825" i="4"/>
  <c r="V821" i="4"/>
  <c r="V817" i="4"/>
  <c r="V813" i="4"/>
  <c r="V809" i="4"/>
  <c r="V805" i="4"/>
  <c r="V801" i="4"/>
  <c r="V797" i="4"/>
  <c r="V793" i="4"/>
  <c r="V789" i="4"/>
  <c r="V785" i="4"/>
  <c r="V781" i="4"/>
  <c r="V777" i="4"/>
  <c r="V773" i="4"/>
  <c r="V769" i="4"/>
  <c r="V765" i="4"/>
  <c r="V761" i="4"/>
  <c r="V757" i="4"/>
  <c r="V1160" i="4"/>
  <c r="V1136" i="4"/>
  <c r="V1116" i="4"/>
  <c r="V1064" i="4"/>
  <c r="V1088" i="4"/>
  <c r="V1052" i="4"/>
  <c r="V977" i="4"/>
  <c r="V1124" i="4"/>
  <c r="V1057" i="4"/>
  <c r="V1040" i="4"/>
  <c r="V1029" i="4"/>
  <c r="V1024" i="4"/>
  <c r="V1013" i="4"/>
  <c r="V1008" i="4"/>
  <c r="V997" i="4"/>
  <c r="V992" i="4"/>
  <c r="V1096" i="4"/>
  <c r="V1045" i="4"/>
  <c r="V981" i="4"/>
  <c r="V972" i="4"/>
  <c r="V968" i="4"/>
  <c r="V964" i="4"/>
  <c r="V960" i="4"/>
  <c r="V956" i="4"/>
  <c r="V952" i="4"/>
  <c r="V948" i="4"/>
  <c r="V944" i="4"/>
  <c r="V940" i="4"/>
  <c r="V936" i="4"/>
  <c r="V932" i="4"/>
  <c r="V928" i="4"/>
  <c r="V924" i="4"/>
  <c r="V920" i="4"/>
  <c r="V916" i="4"/>
  <c r="V912" i="4"/>
  <c r="V908" i="4"/>
  <c r="V904" i="4"/>
  <c r="V900" i="4"/>
  <c r="V896" i="4"/>
  <c r="V892" i="4"/>
  <c r="V888" i="4"/>
  <c r="V884" i="4"/>
  <c r="V880" i="4"/>
  <c r="V1144" i="4"/>
  <c r="V1156" i="4"/>
  <c r="V1104" i="4"/>
  <c r="V976" i="4"/>
  <c r="V1132" i="4"/>
  <c r="V1076" i="4"/>
  <c r="V1068" i="4"/>
  <c r="V1056" i="4"/>
  <c r="V1033" i="4"/>
  <c r="V1028" i="4"/>
  <c r="V1017" i="4"/>
  <c r="V1012" i="4"/>
  <c r="V1001" i="4"/>
  <c r="V996" i="4"/>
  <c r="V985" i="4"/>
  <c r="V1112" i="4"/>
  <c r="V1061" i="4"/>
  <c r="V1044" i="4"/>
  <c r="V980" i="4"/>
  <c r="V971" i="4"/>
  <c r="V967" i="4"/>
  <c r="V963" i="4"/>
  <c r="V959" i="4"/>
  <c r="V955" i="4"/>
  <c r="V951" i="4"/>
  <c r="V947" i="4"/>
  <c r="V943" i="4"/>
  <c r="V939" i="4"/>
  <c r="V935" i="4"/>
  <c r="V931" i="4"/>
  <c r="V927" i="4"/>
  <c r="V923" i="4"/>
  <c r="V919" i="4"/>
  <c r="V915" i="4"/>
  <c r="V911" i="4"/>
  <c r="V907" i="4"/>
  <c r="V903" i="4"/>
  <c r="V899" i="4"/>
  <c r="V895" i="4"/>
  <c r="V891" i="4"/>
  <c r="V887" i="4"/>
  <c r="V883" i="4"/>
  <c r="V879" i="4"/>
  <c r="V875" i="4"/>
  <c r="V871" i="4"/>
  <c r="V867" i="4"/>
  <c r="V863" i="4"/>
  <c r="V859" i="4"/>
  <c r="V855" i="4"/>
  <c r="V851" i="4"/>
  <c r="V1084" i="4"/>
  <c r="V1049" i="4"/>
  <c r="V1120" i="4"/>
  <c r="V1152" i="4"/>
  <c r="V1140" i="4"/>
  <c r="V1092" i="4"/>
  <c r="V1037" i="4"/>
  <c r="V1032" i="4"/>
  <c r="V1021" i="4"/>
  <c r="V1016" i="4"/>
  <c r="V1005" i="4"/>
  <c r="V1000" i="4"/>
  <c r="V989" i="4"/>
  <c r="V984" i="4"/>
  <c r="V979" i="4"/>
  <c r="V1060" i="4"/>
  <c r="V974" i="4"/>
  <c r="V970" i="4"/>
  <c r="V966" i="4"/>
  <c r="V962" i="4"/>
  <c r="V1128" i="4"/>
  <c r="V1100" i="4"/>
  <c r="V1065" i="4"/>
  <c r="V1048" i="4"/>
  <c r="V1108" i="4"/>
  <c r="V1072" i="4"/>
  <c r="V1041" i="4"/>
  <c r="V1036" i="4"/>
  <c r="V1025" i="4"/>
  <c r="V1020" i="4"/>
  <c r="V1009" i="4"/>
  <c r="V1004" i="4"/>
  <c r="V993" i="4"/>
  <c r="V988" i="4"/>
  <c r="V864" i="4"/>
  <c r="V848" i="4"/>
  <c r="V820" i="4"/>
  <c r="V803" i="4"/>
  <c r="V786" i="4"/>
  <c r="V756" i="4"/>
  <c r="V752" i="4"/>
  <c r="V748" i="4"/>
  <c r="V744" i="4"/>
  <c r="V740" i="4"/>
  <c r="V736" i="4"/>
  <c r="V732" i="4"/>
  <c r="V728" i="4"/>
  <c r="V724" i="4"/>
  <c r="V720" i="4"/>
  <c r="V716" i="4"/>
  <c r="V712" i="4"/>
  <c r="X712" i="4" s="1"/>
  <c r="V708" i="4"/>
  <c r="V704" i="4"/>
  <c r="V700" i="4"/>
  <c r="V696" i="4"/>
  <c r="V692" i="4"/>
  <c r="V688" i="4"/>
  <c r="V684" i="4"/>
  <c r="V680" i="4"/>
  <c r="V676" i="4"/>
  <c r="V672" i="4"/>
  <c r="V668" i="4"/>
  <c r="V664" i="4"/>
  <c r="V660" i="4"/>
  <c r="V656" i="4"/>
  <c r="V652" i="4"/>
  <c r="V648" i="4"/>
  <c r="V644" i="4"/>
  <c r="V640" i="4"/>
  <c r="V636" i="4"/>
  <c r="V632" i="4"/>
  <c r="V628" i="4"/>
  <c r="V624" i="4"/>
  <c r="V620" i="4"/>
  <c r="V616" i="4"/>
  <c r="V612" i="4"/>
  <c r="V608" i="4"/>
  <c r="V604" i="4"/>
  <c r="V600" i="4"/>
  <c r="V596" i="4"/>
  <c r="V592" i="4"/>
  <c r="X592" i="4" s="1"/>
  <c r="V588" i="4"/>
  <c r="V584" i="4"/>
  <c r="V580" i="4"/>
  <c r="V576" i="4"/>
  <c r="V572" i="4"/>
  <c r="V568" i="4"/>
  <c r="V564" i="4"/>
  <c r="V560" i="4"/>
  <c r="V556" i="4"/>
  <c r="V552" i="4"/>
  <c r="V548" i="4"/>
  <c r="V544" i="4"/>
  <c r="V540" i="4"/>
  <c r="V536" i="4"/>
  <c r="V532" i="4"/>
  <c r="V528" i="4"/>
  <c r="V524" i="4"/>
  <c r="V520" i="4"/>
  <c r="V516" i="4"/>
  <c r="V512" i="4"/>
  <c r="V508" i="4"/>
  <c r="V843" i="4"/>
  <c r="V824" i="4"/>
  <c r="V807" i="4"/>
  <c r="V790" i="4"/>
  <c r="V760" i="4"/>
  <c r="V978" i="4"/>
  <c r="V876" i="4"/>
  <c r="V870" i="4"/>
  <c r="V838" i="4"/>
  <c r="V828" i="4"/>
  <c r="V811" i="4"/>
  <c r="V794" i="4"/>
  <c r="V764" i="4"/>
  <c r="V975" i="4"/>
  <c r="V946" i="4"/>
  <c r="V934" i="4"/>
  <c r="V906" i="4"/>
  <c r="V898" i="4"/>
  <c r="V890" i="4"/>
  <c r="V858" i="4"/>
  <c r="V815" i="4"/>
  <c r="V798" i="4"/>
  <c r="V768" i="4"/>
  <c r="V958" i="4"/>
  <c r="V914" i="4"/>
  <c r="V852" i="4"/>
  <c r="V847" i="4"/>
  <c r="V832" i="4"/>
  <c r="V819" i="4"/>
  <c r="V802" i="4"/>
  <c r="V772" i="4"/>
  <c r="V755" i="4"/>
  <c r="V751" i="4"/>
  <c r="V747" i="4"/>
  <c r="V743" i="4"/>
  <c r="V739" i="4"/>
  <c r="V735" i="4"/>
  <c r="V731" i="4"/>
  <c r="V727" i="4"/>
  <c r="V723" i="4"/>
  <c r="V719" i="4"/>
  <c r="V715" i="4"/>
  <c r="V711" i="4"/>
  <c r="V707" i="4"/>
  <c r="V703" i="4"/>
  <c r="V699" i="4"/>
  <c r="V695" i="4"/>
  <c r="V691" i="4"/>
  <c r="V687" i="4"/>
  <c r="V683" i="4"/>
  <c r="V679" i="4"/>
  <c r="V675" i="4"/>
  <c r="V671" i="4"/>
  <c r="V667" i="4"/>
  <c r="V663" i="4"/>
  <c r="V659" i="4"/>
  <c r="V655" i="4"/>
  <c r="V651" i="4"/>
  <c r="V882" i="4"/>
  <c r="V842" i="4"/>
  <c r="V823" i="4"/>
  <c r="V806" i="4"/>
  <c r="V776" i="4"/>
  <c r="V759" i="4"/>
  <c r="V922" i="4"/>
  <c r="V868" i="4"/>
  <c r="V827" i="4"/>
  <c r="V810" i="4"/>
  <c r="V780" i="4"/>
  <c r="V763" i="4"/>
  <c r="V862" i="4"/>
  <c r="V836" i="4"/>
  <c r="V814" i="4"/>
  <c r="V784" i="4"/>
  <c r="V767" i="4"/>
  <c r="V942" i="4"/>
  <c r="V874" i="4"/>
  <c r="V856" i="4"/>
  <c r="V846" i="4"/>
  <c r="V831" i="4"/>
  <c r="V818" i="4"/>
  <c r="V788" i="4"/>
  <c r="V771" i="4"/>
  <c r="V754" i="4"/>
  <c r="V750" i="4"/>
  <c r="V746" i="4"/>
  <c r="V742" i="4"/>
  <c r="V738" i="4"/>
  <c r="V734" i="4"/>
  <c r="V730" i="4"/>
  <c r="V726" i="4"/>
  <c r="V722" i="4"/>
  <c r="V718" i="4"/>
  <c r="V714" i="4"/>
  <c r="V710" i="4"/>
  <c r="V706" i="4"/>
  <c r="V702" i="4"/>
  <c r="V698" i="4"/>
  <c r="V694" i="4"/>
  <c r="V690" i="4"/>
  <c r="V686" i="4"/>
  <c r="V682" i="4"/>
  <c r="V678" i="4"/>
  <c r="V674" i="4"/>
  <c r="V670" i="4"/>
  <c r="V666" i="4"/>
  <c r="V662" i="4"/>
  <c r="V658" i="4"/>
  <c r="V654" i="4"/>
  <c r="V650" i="4"/>
  <c r="V954" i="4"/>
  <c r="V930" i="4"/>
  <c r="V822" i="4"/>
  <c r="V792" i="4"/>
  <c r="V775" i="4"/>
  <c r="V840" i="4"/>
  <c r="V826" i="4"/>
  <c r="V796" i="4"/>
  <c r="V779" i="4"/>
  <c r="V762" i="4"/>
  <c r="V910" i="4"/>
  <c r="V902" i="4"/>
  <c r="V894" i="4"/>
  <c r="V850" i="4"/>
  <c r="V835" i="4"/>
  <c r="V800" i="4"/>
  <c r="V783" i="4"/>
  <c r="V1053" i="4"/>
  <c r="V886" i="4"/>
  <c r="V872" i="4"/>
  <c r="V866" i="4"/>
  <c r="V860" i="4"/>
  <c r="V830" i="4"/>
  <c r="V804" i="4"/>
  <c r="V787" i="4"/>
  <c r="V770" i="4"/>
  <c r="V938" i="4"/>
  <c r="V918" i="4"/>
  <c r="V844" i="4"/>
  <c r="X844" i="4" s="1"/>
  <c r="V808" i="4"/>
  <c r="V791" i="4"/>
  <c r="V983" i="4"/>
  <c r="V926" i="4"/>
  <c r="V854" i="4"/>
  <c r="V834" i="4"/>
  <c r="V816" i="4"/>
  <c r="V799" i="4"/>
  <c r="V782" i="4"/>
  <c r="V839" i="4"/>
  <c r="V778" i="4"/>
  <c r="V637" i="4"/>
  <c r="V623" i="4"/>
  <c r="V614" i="4"/>
  <c r="V605" i="4"/>
  <c r="V591" i="4"/>
  <c r="V582" i="4"/>
  <c r="V573" i="4"/>
  <c r="V547" i="4"/>
  <c r="V530" i="4"/>
  <c r="V513" i="4"/>
  <c r="V950" i="4"/>
  <c r="V774" i="4"/>
  <c r="V725" i="4"/>
  <c r="V697" i="4"/>
  <c r="V689" i="4"/>
  <c r="V681" i="4"/>
  <c r="V653" i="4"/>
  <c r="V551" i="4"/>
  <c r="V534" i="4"/>
  <c r="V517" i="4"/>
  <c r="V705" i="4"/>
  <c r="V673" i="4"/>
  <c r="V627" i="4"/>
  <c r="V618" i="4"/>
  <c r="V609" i="4"/>
  <c r="V595" i="4"/>
  <c r="V586" i="4"/>
  <c r="V577" i="4"/>
  <c r="V555" i="4"/>
  <c r="V538" i="4"/>
  <c r="V521" i="4"/>
  <c r="V504" i="4"/>
  <c r="V500" i="4"/>
  <c r="V496" i="4"/>
  <c r="V492" i="4"/>
  <c r="V488" i="4"/>
  <c r="V484" i="4"/>
  <c r="V480" i="4"/>
  <c r="V476" i="4"/>
  <c r="V472" i="4"/>
  <c r="V468" i="4"/>
  <c r="V464" i="4"/>
  <c r="V460" i="4"/>
  <c r="V456" i="4"/>
  <c r="V452" i="4"/>
  <c r="V448" i="4"/>
  <c r="V444" i="4"/>
  <c r="V440" i="4"/>
  <c r="V436" i="4"/>
  <c r="V432" i="4"/>
  <c r="V428" i="4"/>
  <c r="V424" i="4"/>
  <c r="V420" i="4"/>
  <c r="V416" i="4"/>
  <c r="V412" i="4"/>
  <c r="V408" i="4"/>
  <c r="V404" i="4"/>
  <c r="V400" i="4"/>
  <c r="V396" i="4"/>
  <c r="V392" i="4"/>
  <c r="V388" i="4"/>
  <c r="V384" i="4"/>
  <c r="V745" i="4"/>
  <c r="V646" i="4"/>
  <c r="V641" i="4"/>
  <c r="V559" i="4"/>
  <c r="V542" i="4"/>
  <c r="V525" i="4"/>
  <c r="X525" i="4" s="1"/>
  <c r="V713" i="4"/>
  <c r="V665" i="4"/>
  <c r="V631" i="4"/>
  <c r="V622" i="4"/>
  <c r="V613" i="4"/>
  <c r="V599" i="4"/>
  <c r="V590" i="4"/>
  <c r="V581" i="4"/>
  <c r="V563" i="4"/>
  <c r="V546" i="4"/>
  <c r="V529" i="4"/>
  <c r="V733" i="4"/>
  <c r="V567" i="4"/>
  <c r="V550" i="4"/>
  <c r="V533" i="4"/>
  <c r="V812" i="4"/>
  <c r="V635" i="4"/>
  <c r="V626" i="4"/>
  <c r="V617" i="4"/>
  <c r="V603" i="4"/>
  <c r="V594" i="4"/>
  <c r="V585" i="4"/>
  <c r="V571" i="4"/>
  <c r="V554" i="4"/>
  <c r="V537" i="4"/>
  <c r="V766" i="4"/>
  <c r="V753" i="4"/>
  <c r="V721" i="4"/>
  <c r="V657" i="4"/>
  <c r="V645" i="4"/>
  <c r="V558" i="4"/>
  <c r="V541" i="4"/>
  <c r="V511" i="4"/>
  <c r="V639" i="4"/>
  <c r="V630" i="4"/>
  <c r="V621" i="4"/>
  <c r="V607" i="4"/>
  <c r="V598" i="4"/>
  <c r="V589" i="4"/>
  <c r="V575" i="4"/>
  <c r="V562" i="4"/>
  <c r="V545" i="4"/>
  <c r="V515" i="4"/>
  <c r="V878" i="4"/>
  <c r="V741" i="4"/>
  <c r="V701" i="4"/>
  <c r="V693" i="4"/>
  <c r="V685" i="4"/>
  <c r="V677" i="4"/>
  <c r="V566" i="4"/>
  <c r="V549" i="4"/>
  <c r="V519" i="4"/>
  <c r="V795" i="4"/>
  <c r="V634" i="4"/>
  <c r="V625" i="4"/>
  <c r="V611" i="4"/>
  <c r="V602" i="4"/>
  <c r="V593" i="4"/>
  <c r="V729" i="4"/>
  <c r="V709" i="4"/>
  <c r="V669" i="4"/>
  <c r="V649" i="4"/>
  <c r="V643" i="4"/>
  <c r="V557" i="4"/>
  <c r="V638" i="4"/>
  <c r="V629" i="4"/>
  <c r="V615" i="4"/>
  <c r="V606" i="4"/>
  <c r="V597" i="4"/>
  <c r="V749" i="4"/>
  <c r="V717" i="4"/>
  <c r="V661" i="4"/>
  <c r="V633" i="4"/>
  <c r="V619" i="4"/>
  <c r="V610" i="4"/>
  <c r="V758" i="4"/>
  <c r="V503" i="4"/>
  <c r="V483" i="4"/>
  <c r="V418" i="4"/>
  <c r="V409" i="4"/>
  <c r="V395" i="4"/>
  <c r="V386" i="4"/>
  <c r="V373" i="4"/>
  <c r="V360" i="4"/>
  <c r="V356" i="4"/>
  <c r="V352" i="4"/>
  <c r="V348" i="4"/>
  <c r="V344" i="4"/>
  <c r="V340" i="4"/>
  <c r="V336" i="4"/>
  <c r="V332" i="4"/>
  <c r="V328" i="4"/>
  <c r="V324" i="4"/>
  <c r="V320" i="4"/>
  <c r="V316" i="4"/>
  <c r="V312" i="4"/>
  <c r="V308" i="4"/>
  <c r="V304" i="4"/>
  <c r="V300" i="4"/>
  <c r="V296" i="4"/>
  <c r="V292" i="4"/>
  <c r="V288" i="4"/>
  <c r="V284" i="4"/>
  <c r="V280" i="4"/>
  <c r="V276" i="4"/>
  <c r="V272" i="4"/>
  <c r="V268" i="4"/>
  <c r="V264" i="4"/>
  <c r="V260" i="4"/>
  <c r="V256" i="4"/>
  <c r="V252" i="4"/>
  <c r="V248" i="4"/>
  <c r="V244" i="4"/>
  <c r="V240" i="4"/>
  <c r="V236" i="4"/>
  <c r="V232" i="4"/>
  <c r="V228" i="4"/>
  <c r="V224" i="4"/>
  <c r="V220" i="4"/>
  <c r="V216" i="4"/>
  <c r="V212" i="4"/>
  <c r="V208" i="4"/>
  <c r="V204" i="4"/>
  <c r="V200" i="4"/>
  <c r="V196" i="4"/>
  <c r="V192" i="4"/>
  <c r="V188" i="4"/>
  <c r="V184" i="4"/>
  <c r="V180" i="4"/>
  <c r="V176" i="4"/>
  <c r="V172" i="4"/>
  <c r="V168" i="4"/>
  <c r="V164" i="4"/>
  <c r="V160" i="4"/>
  <c r="V156" i="4"/>
  <c r="V152" i="4"/>
  <c r="V148" i="4"/>
  <c r="V144" i="4"/>
  <c r="V140" i="4"/>
  <c r="V136" i="4"/>
  <c r="V132" i="4"/>
  <c r="V128" i="4"/>
  <c r="X128" i="4" s="1"/>
  <c r="V124" i="4"/>
  <c r="V120" i="4"/>
  <c r="X120" i="4" s="1"/>
  <c r="V116" i="4"/>
  <c r="V112" i="4"/>
  <c r="V108" i="4"/>
  <c r="V587" i="4"/>
  <c r="V531" i="4"/>
  <c r="V510" i="4"/>
  <c r="V471" i="4"/>
  <c r="V377" i="4"/>
  <c r="V364" i="4"/>
  <c r="V737" i="4"/>
  <c r="V570" i="4"/>
  <c r="V502" i="4"/>
  <c r="V495" i="4"/>
  <c r="V489" i="4"/>
  <c r="V477" i="4"/>
  <c r="V459" i="4"/>
  <c r="V454" i="4"/>
  <c r="V449" i="4"/>
  <c r="V443" i="4"/>
  <c r="V438" i="4"/>
  <c r="V433" i="4"/>
  <c r="V427" i="4"/>
  <c r="V422" i="4"/>
  <c r="V413" i="4"/>
  <c r="V399" i="4"/>
  <c r="V390" i="4"/>
  <c r="V381" i="4"/>
  <c r="V368" i="4"/>
  <c r="V482" i="4"/>
  <c r="V465" i="4"/>
  <c r="V372" i="4"/>
  <c r="V583" i="4"/>
  <c r="V543" i="4"/>
  <c r="V518" i="4"/>
  <c r="V494" i="4"/>
  <c r="V470" i="4"/>
  <c r="V417" i="4"/>
  <c r="V403" i="4"/>
  <c r="V394" i="4"/>
  <c r="V385" i="4"/>
  <c r="V376" i="4"/>
  <c r="V359" i="4"/>
  <c r="V355" i="4"/>
  <c r="V351" i="4"/>
  <c r="V347" i="4"/>
  <c r="V343" i="4"/>
  <c r="V339" i="4"/>
  <c r="V335" i="4"/>
  <c r="V331" i="4"/>
  <c r="V327" i="4"/>
  <c r="V323" i="4"/>
  <c r="V319" i="4"/>
  <c r="V315" i="4"/>
  <c r="V311" i="4"/>
  <c r="V307" i="4"/>
  <c r="V303" i="4"/>
  <c r="V299" i="4"/>
  <c r="V295" i="4"/>
  <c r="V291" i="4"/>
  <c r="V287" i="4"/>
  <c r="V283" i="4"/>
  <c r="V279" i="4"/>
  <c r="V275" i="4"/>
  <c r="X275" i="4" s="1"/>
  <c r="V271" i="4"/>
  <c r="V267" i="4"/>
  <c r="V263" i="4"/>
  <c r="V259" i="4"/>
  <c r="V255" i="4"/>
  <c r="V251" i="4"/>
  <c r="V247" i="4"/>
  <c r="V243" i="4"/>
  <c r="V239" i="4"/>
  <c r="V235" i="4"/>
  <c r="V231" i="4"/>
  <c r="V227" i="4"/>
  <c r="V223" i="4"/>
  <c r="V219" i="4"/>
  <c r="V215" i="4"/>
  <c r="V211" i="4"/>
  <c r="V207" i="4"/>
  <c r="X207" i="4" s="1"/>
  <c r="V203" i="4"/>
  <c r="V199" i="4"/>
  <c r="V195" i="4"/>
  <c r="V569" i="4"/>
  <c r="V509" i="4"/>
  <c r="V487" i="4"/>
  <c r="V380" i="4"/>
  <c r="V363" i="4"/>
  <c r="V553" i="4"/>
  <c r="V527" i="4"/>
  <c r="V501" i="4"/>
  <c r="V475" i="4"/>
  <c r="V458" i="4"/>
  <c r="V453" i="4"/>
  <c r="V447" i="4"/>
  <c r="V442" i="4"/>
  <c r="V437" i="4"/>
  <c r="V431" i="4"/>
  <c r="V426" i="4"/>
  <c r="V421" i="4"/>
  <c r="V407" i="4"/>
  <c r="V398" i="4"/>
  <c r="V389" i="4"/>
  <c r="V367" i="4"/>
  <c r="V507" i="4"/>
  <c r="V481" i="4"/>
  <c r="V463" i="4"/>
  <c r="V371" i="4"/>
  <c r="V601" i="4"/>
  <c r="V579" i="4"/>
  <c r="V539" i="4"/>
  <c r="V493" i="4"/>
  <c r="V486" i="4"/>
  <c r="V469" i="4"/>
  <c r="V411" i="4"/>
  <c r="V402" i="4"/>
  <c r="V393" i="4"/>
  <c r="V375" i="4"/>
  <c r="V358" i="4"/>
  <c r="V354" i="4"/>
  <c r="V350" i="4"/>
  <c r="V346" i="4"/>
  <c r="V342" i="4"/>
  <c r="V338" i="4"/>
  <c r="V334" i="4"/>
  <c r="V330" i="4"/>
  <c r="V326" i="4"/>
  <c r="V322" i="4"/>
  <c r="V318" i="4"/>
  <c r="V314" i="4"/>
  <c r="V310" i="4"/>
  <c r="V306" i="4"/>
  <c r="V302" i="4"/>
  <c r="V298" i="4"/>
  <c r="V294" i="4"/>
  <c r="V290" i="4"/>
  <c r="V286" i="4"/>
  <c r="V282" i="4"/>
  <c r="V278" i="4"/>
  <c r="V274" i="4"/>
  <c r="V270" i="4"/>
  <c r="V266" i="4"/>
  <c r="V262" i="4"/>
  <c r="V258" i="4"/>
  <c r="V254" i="4"/>
  <c r="V250" i="4"/>
  <c r="V246" i="4"/>
  <c r="V242" i="4"/>
  <c r="V238" i="4"/>
  <c r="V234" i="4"/>
  <c r="V230" i="4"/>
  <c r="V226" i="4"/>
  <c r="V222" i="4"/>
  <c r="V218" i="4"/>
  <c r="V214" i="4"/>
  <c r="X214" i="4" s="1"/>
  <c r="V210" i="4"/>
  <c r="V206" i="4"/>
  <c r="X206" i="4" s="1"/>
  <c r="V202" i="4"/>
  <c r="V198" i="4"/>
  <c r="X198" i="4" s="1"/>
  <c r="V194" i="4"/>
  <c r="X194" i="4" s="1"/>
  <c r="V190" i="4"/>
  <c r="V186" i="4"/>
  <c r="X186" i="4" s="1"/>
  <c r="V182" i="4"/>
  <c r="X182" i="4" s="1"/>
  <c r="V178" i="4"/>
  <c r="V174" i="4"/>
  <c r="V170" i="4"/>
  <c r="X170" i="4" s="1"/>
  <c r="V565" i="4"/>
  <c r="V506" i="4"/>
  <c r="V499" i="4"/>
  <c r="V474" i="4"/>
  <c r="V379" i="4"/>
  <c r="V362" i="4"/>
  <c r="V526" i="4"/>
  <c r="V514" i="4"/>
  <c r="V462" i="4"/>
  <c r="V457" i="4"/>
  <c r="V451" i="4"/>
  <c r="V446" i="4"/>
  <c r="V441" i="4"/>
  <c r="V435" i="4"/>
  <c r="V430" i="4"/>
  <c r="V425" i="4"/>
  <c r="V415" i="4"/>
  <c r="V406" i="4"/>
  <c r="V397" i="4"/>
  <c r="V383" i="4"/>
  <c r="V366" i="4"/>
  <c r="V578" i="4"/>
  <c r="V523" i="4"/>
  <c r="V498" i="4"/>
  <c r="V491" i="4"/>
  <c r="V479" i="4"/>
  <c r="V370" i="4"/>
  <c r="V535" i="4"/>
  <c r="V485" i="4"/>
  <c r="V467" i="4"/>
  <c r="V419" i="4"/>
  <c r="V410" i="4"/>
  <c r="V401" i="4"/>
  <c r="V387" i="4"/>
  <c r="V374" i="4"/>
  <c r="V357" i="4"/>
  <c r="V353" i="4"/>
  <c r="V349" i="4"/>
  <c r="V345" i="4"/>
  <c r="V341" i="4"/>
  <c r="V337" i="4"/>
  <c r="V333" i="4"/>
  <c r="V329" i="4"/>
  <c r="V325" i="4"/>
  <c r="V321" i="4"/>
  <c r="V317" i="4"/>
  <c r="V313" i="4"/>
  <c r="X313" i="4" s="1"/>
  <c r="V647" i="4"/>
  <c r="V561" i="4"/>
  <c r="X561" i="4" s="1"/>
  <c r="V505" i="4"/>
  <c r="X505" i="4" s="1"/>
  <c r="V473" i="4"/>
  <c r="V378" i="4"/>
  <c r="V361" i="4"/>
  <c r="V522" i="4"/>
  <c r="V497" i="4"/>
  <c r="V466" i="4"/>
  <c r="V369" i="4"/>
  <c r="V574" i="4"/>
  <c r="V445" i="4"/>
  <c r="V289" i="4"/>
  <c r="V225" i="4"/>
  <c r="X225" i="4" s="1"/>
  <c r="V162" i="4"/>
  <c r="V102" i="4"/>
  <c r="X102" i="4" s="1"/>
  <c r="V98" i="4"/>
  <c r="X98" i="4" s="1"/>
  <c r="V94" i="4"/>
  <c r="V90" i="4"/>
  <c r="X90" i="4" s="1"/>
  <c r="V86" i="4"/>
  <c r="V82" i="4"/>
  <c r="V78" i="4"/>
  <c r="X78" i="4" s="1"/>
  <c r="V74" i="4"/>
  <c r="X74" i="4" s="1"/>
  <c r="V70" i="4"/>
  <c r="X70" i="4" s="1"/>
  <c r="V66" i="4"/>
  <c r="X66" i="4" s="1"/>
  <c r="V62" i="4"/>
  <c r="X62" i="4" s="1"/>
  <c r="V58" i="4"/>
  <c r="X58" i="4" s="1"/>
  <c r="V54" i="4"/>
  <c r="X54" i="4" s="1"/>
  <c r="V50" i="4"/>
  <c r="V46" i="4"/>
  <c r="V42" i="4"/>
  <c r="X42" i="4" s="1"/>
  <c r="V38" i="4"/>
  <c r="X38" i="4" s="1"/>
  <c r="V34" i="4"/>
  <c r="X34" i="4" s="1"/>
  <c r="V30" i="4"/>
  <c r="X30" i="4" s="1"/>
  <c r="V26" i="4"/>
  <c r="X26" i="4" s="1"/>
  <c r="V22" i="4"/>
  <c r="X22" i="4" s="1"/>
  <c r="V18" i="4"/>
  <c r="V14" i="4"/>
  <c r="X14" i="4" s="1"/>
  <c r="V37" i="4"/>
  <c r="X37" i="4" s="1"/>
  <c r="V25" i="4"/>
  <c r="X25" i="4" s="1"/>
  <c r="V23" i="4"/>
  <c r="X23" i="4" s="1"/>
  <c r="V439" i="4"/>
  <c r="V365" i="4"/>
  <c r="V237" i="4"/>
  <c r="X237" i="4" s="1"/>
  <c r="V201" i="4"/>
  <c r="X201" i="4" s="1"/>
  <c r="V157" i="4"/>
  <c r="V147" i="4"/>
  <c r="X147" i="4" s="1"/>
  <c r="V138" i="4"/>
  <c r="X138" i="4" s="1"/>
  <c r="V129" i="4"/>
  <c r="X129" i="4" s="1"/>
  <c r="V115" i="4"/>
  <c r="X115" i="4" s="1"/>
  <c r="V106" i="4"/>
  <c r="V53" i="4"/>
  <c r="X53" i="4" s="1"/>
  <c r="V21" i="4"/>
  <c r="X21" i="4" s="1"/>
  <c r="V39" i="4"/>
  <c r="V143" i="4"/>
  <c r="X143" i="4" s="1"/>
  <c r="V434" i="4"/>
  <c r="V301" i="4"/>
  <c r="V249" i="4"/>
  <c r="X249" i="4" s="1"/>
  <c r="V177" i="4"/>
  <c r="X177" i="4" s="1"/>
  <c r="V49" i="4"/>
  <c r="X49" i="4" s="1"/>
  <c r="V17" i="4"/>
  <c r="X17" i="4" s="1"/>
  <c r="V19" i="4"/>
  <c r="X19" i="4" s="1"/>
  <c r="V429" i="4"/>
  <c r="V261" i="4"/>
  <c r="X261" i="4" s="1"/>
  <c r="V193" i="4"/>
  <c r="V187" i="4"/>
  <c r="X187" i="4" s="1"/>
  <c r="V171" i="4"/>
  <c r="X171" i="4" s="1"/>
  <c r="V166" i="4"/>
  <c r="X166" i="4" s="1"/>
  <c r="V151" i="4"/>
  <c r="X151" i="4" s="1"/>
  <c r="V142" i="4"/>
  <c r="X142" i="4" s="1"/>
  <c r="V133" i="4"/>
  <c r="X133" i="4" s="1"/>
  <c r="V119" i="4"/>
  <c r="X119" i="4" s="1"/>
  <c r="V110" i="4"/>
  <c r="X110" i="4" s="1"/>
  <c r="V13" i="4"/>
  <c r="V73" i="4"/>
  <c r="V41" i="4"/>
  <c r="X41" i="4" s="1"/>
  <c r="V29" i="4"/>
  <c r="X29" i="4" s="1"/>
  <c r="V31" i="4"/>
  <c r="X31" i="4" s="1"/>
  <c r="V423" i="4"/>
  <c r="V273" i="4"/>
  <c r="X273" i="4" s="1"/>
  <c r="V161" i="4"/>
  <c r="X161" i="4" s="1"/>
  <c r="V101" i="4"/>
  <c r="X101" i="4" s="1"/>
  <c r="V97" i="4"/>
  <c r="V93" i="4"/>
  <c r="X93" i="4" s="1"/>
  <c r="V89" i="4"/>
  <c r="V85" i="4"/>
  <c r="X85" i="4" s="1"/>
  <c r="V81" i="4"/>
  <c r="V77" i="4"/>
  <c r="X77" i="4" s="1"/>
  <c r="V69" i="4"/>
  <c r="X69" i="4" s="1"/>
  <c r="V65" i="4"/>
  <c r="X65" i="4" s="1"/>
  <c r="V61" i="4"/>
  <c r="X61" i="4" s="1"/>
  <c r="V57" i="4"/>
  <c r="X57" i="4" s="1"/>
  <c r="V45" i="4"/>
  <c r="X45" i="4" s="1"/>
  <c r="V33" i="4"/>
  <c r="X33" i="4" s="1"/>
  <c r="V167" i="4"/>
  <c r="X167" i="4" s="1"/>
  <c r="V125" i="4"/>
  <c r="X125" i="4" s="1"/>
  <c r="V285" i="4"/>
  <c r="X285" i="4" s="1"/>
  <c r="V146" i="4"/>
  <c r="V137" i="4"/>
  <c r="X137" i="4" s="1"/>
  <c r="V123" i="4"/>
  <c r="V114" i="4"/>
  <c r="X114" i="4" s="1"/>
  <c r="V105" i="4"/>
  <c r="V414" i="4"/>
  <c r="V297" i="4"/>
  <c r="X297" i="4" s="1"/>
  <c r="V233" i="4"/>
  <c r="X233" i="4" s="1"/>
  <c r="V221" i="4"/>
  <c r="V213" i="4"/>
  <c r="V181" i="4"/>
  <c r="X181" i="4" s="1"/>
  <c r="V155" i="4"/>
  <c r="V245" i="4"/>
  <c r="V191" i="4"/>
  <c r="X191" i="4" s="1"/>
  <c r="V175" i="4"/>
  <c r="X175" i="4" s="1"/>
  <c r="V165" i="4"/>
  <c r="X165" i="4" s="1"/>
  <c r="V150" i="4"/>
  <c r="X150" i="4" s="1"/>
  <c r="V141" i="4"/>
  <c r="X141" i="4" s="1"/>
  <c r="V127" i="4"/>
  <c r="V118" i="4"/>
  <c r="X118" i="4" s="1"/>
  <c r="V109" i="4"/>
  <c r="X109" i="4" s="1"/>
  <c r="V12" i="4"/>
  <c r="V56" i="4"/>
  <c r="V36" i="4"/>
  <c r="V28" i="4"/>
  <c r="V20" i="4"/>
  <c r="X20" i="4" s="1"/>
  <c r="V43" i="4"/>
  <c r="V450" i="4"/>
  <c r="V134" i="4"/>
  <c r="X134" i="4" s="1"/>
  <c r="V490" i="4"/>
  <c r="V405" i="4"/>
  <c r="V257" i="4"/>
  <c r="V205" i="4"/>
  <c r="V100" i="4"/>
  <c r="V96" i="4"/>
  <c r="V92" i="4"/>
  <c r="V88" i="4"/>
  <c r="V84" i="4"/>
  <c r="V80" i="4"/>
  <c r="V76" i="4"/>
  <c r="V72" i="4"/>
  <c r="V68" i="4"/>
  <c r="V64" i="4"/>
  <c r="X64" i="4" s="1"/>
  <c r="V60" i="4"/>
  <c r="V52" i="4"/>
  <c r="V48" i="4"/>
  <c r="V44" i="4"/>
  <c r="X44" i="4" s="1"/>
  <c r="V40" i="4"/>
  <c r="V32" i="4"/>
  <c r="X32" i="4" s="1"/>
  <c r="V24" i="4"/>
  <c r="V16" i="4"/>
  <c r="V15" i="4"/>
  <c r="V269" i="4"/>
  <c r="V159" i="4"/>
  <c r="V145" i="4"/>
  <c r="V131" i="4"/>
  <c r="V122" i="4"/>
  <c r="V113" i="4"/>
  <c r="V104" i="4"/>
  <c r="X104" i="4" s="1"/>
  <c r="V478" i="4"/>
  <c r="V309" i="4"/>
  <c r="V281" i="4"/>
  <c r="V197" i="4"/>
  <c r="V185" i="4"/>
  <c r="V169" i="4"/>
  <c r="V154" i="4"/>
  <c r="V391" i="4"/>
  <c r="V293" i="4"/>
  <c r="X293" i="4" s="1"/>
  <c r="V229" i="4"/>
  <c r="V179" i="4"/>
  <c r="V149" i="4"/>
  <c r="V135" i="4"/>
  <c r="V126" i="4"/>
  <c r="V117" i="4"/>
  <c r="V87" i="4"/>
  <c r="V67" i="4"/>
  <c r="V55" i="4"/>
  <c r="X55" i="4" s="1"/>
  <c r="V47" i="4"/>
  <c r="V27" i="4"/>
  <c r="V241" i="4"/>
  <c r="V163" i="4"/>
  <c r="V103" i="4"/>
  <c r="V99" i="4"/>
  <c r="V95" i="4"/>
  <c r="V91" i="4"/>
  <c r="V83" i="4"/>
  <c r="V79" i="4"/>
  <c r="V75" i="4"/>
  <c r="V71" i="4"/>
  <c r="V63" i="4"/>
  <c r="V59" i="4"/>
  <c r="V51" i="4"/>
  <c r="V35" i="4"/>
  <c r="X35" i="4" s="1"/>
  <c r="V461" i="4"/>
  <c r="V382" i="4"/>
  <c r="V253" i="4"/>
  <c r="V217" i="4"/>
  <c r="V158" i="4"/>
  <c r="V139" i="4"/>
  <c r="V130" i="4"/>
  <c r="V121" i="4"/>
  <c r="V107" i="4"/>
  <c r="V111" i="4"/>
  <c r="V642" i="4"/>
  <c r="V455" i="4"/>
  <c r="V305" i="4"/>
  <c r="V265" i="4"/>
  <c r="V189" i="4"/>
  <c r="X189" i="4" s="1"/>
  <c r="V173" i="4"/>
  <c r="X173" i="4" s="1"/>
  <c r="V153" i="4"/>
  <c r="X153" i="4" s="1"/>
  <c r="V277" i="4"/>
  <c r="X277" i="4" s="1"/>
  <c r="V209" i="4"/>
  <c r="X209" i="4" s="1"/>
  <c r="V183" i="4"/>
  <c r="U52" i="4"/>
  <c r="U169" i="4"/>
  <c r="U203" i="4"/>
  <c r="X203" i="4" s="1"/>
  <c r="U414" i="4"/>
  <c r="U345" i="4"/>
  <c r="X345" i="4" s="1"/>
  <c r="U578" i="4"/>
  <c r="U549" i="4"/>
  <c r="X549" i="4" s="1"/>
  <c r="U250" i="4"/>
  <c r="U314" i="4"/>
  <c r="X314" i="4" s="1"/>
  <c r="U411" i="4"/>
  <c r="X411" i="4" s="1"/>
  <c r="U416" i="4"/>
  <c r="X416" i="4" s="1"/>
  <c r="U227" i="4"/>
  <c r="U291" i="4"/>
  <c r="U355" i="4"/>
  <c r="U465" i="4"/>
  <c r="X465" i="4" s="1"/>
  <c r="U477" i="4"/>
  <c r="X477" i="4" s="1"/>
  <c r="U168" i="4"/>
  <c r="U232" i="4"/>
  <c r="U296" i="4"/>
  <c r="U360" i="4"/>
  <c r="U661" i="4"/>
  <c r="X661" i="4" s="1"/>
  <c r="U588" i="4"/>
  <c r="X588" i="4" s="1"/>
  <c r="U655" i="4"/>
  <c r="X655" i="4" s="1"/>
  <c r="U575" i="4"/>
  <c r="X575" i="4" s="1"/>
  <c r="U657" i="4"/>
  <c r="X657" i="4" s="1"/>
  <c r="U503" i="4"/>
  <c r="X503" i="4" s="1"/>
  <c r="U550" i="4"/>
  <c r="X550" i="4" s="1"/>
  <c r="U613" i="4"/>
  <c r="X613" i="4" s="1"/>
  <c r="U604" i="4"/>
  <c r="X604" i="4" s="1"/>
  <c r="U456" i="4"/>
  <c r="X456" i="4" s="1"/>
  <c r="U555" i="4"/>
  <c r="X555" i="4" s="1"/>
  <c r="U600" i="4"/>
  <c r="X600" i="4" s="1"/>
  <c r="U591" i="4"/>
  <c r="X591" i="4" s="1"/>
  <c r="U647" i="4"/>
  <c r="U821" i="4"/>
  <c r="X821" i="4" s="1"/>
  <c r="U902" i="4"/>
  <c r="X902" i="4" s="1"/>
  <c r="U822" i="4"/>
  <c r="X822" i="4" s="1"/>
  <c r="U767" i="4"/>
  <c r="X767" i="4" s="1"/>
  <c r="U827" i="4"/>
  <c r="X827" i="4" s="1"/>
  <c r="U999" i="4"/>
  <c r="X999" i="4" s="1"/>
  <c r="U789" i="4"/>
  <c r="U898" i="4"/>
  <c r="X898" i="4" s="1"/>
  <c r="U1015" i="4"/>
  <c r="X1015" i="4" s="1"/>
  <c r="U664" i="4"/>
  <c r="X664" i="4" s="1"/>
  <c r="U728" i="4"/>
  <c r="X728" i="4" s="1"/>
  <c r="U769" i="4"/>
  <c r="X769" i="4" s="1"/>
  <c r="U978" i="4"/>
  <c r="U1026" i="4"/>
  <c r="U1055" i="4"/>
  <c r="X1055" i="4" s="1"/>
  <c r="U1153" i="4"/>
  <c r="X1153" i="4" s="1"/>
  <c r="U940" i="4"/>
  <c r="X940" i="4" s="1"/>
  <c r="U1002" i="4"/>
  <c r="X1002" i="4" s="1"/>
  <c r="U1157" i="4"/>
  <c r="X1157" i="4" s="1"/>
  <c r="U869" i="4"/>
  <c r="X869" i="4" s="1"/>
  <c r="U933" i="4"/>
  <c r="X933" i="4" s="1"/>
  <c r="U993" i="4"/>
  <c r="X993" i="4" s="1"/>
  <c r="U1181" i="4"/>
  <c r="X1181" i="4" s="1"/>
  <c r="U1245" i="4"/>
  <c r="X1245" i="4" s="1"/>
  <c r="U1309" i="4"/>
  <c r="X1309" i="4" s="1"/>
  <c r="U1138" i="4"/>
  <c r="X1138" i="4" s="1"/>
  <c r="U1202" i="4"/>
  <c r="X1202" i="4" s="1"/>
  <c r="U1266" i="4"/>
  <c r="X1266" i="4" s="1"/>
  <c r="U1083" i="4"/>
  <c r="U1147" i="4"/>
  <c r="U1211" i="4"/>
  <c r="U1275" i="4"/>
  <c r="U1068" i="4"/>
  <c r="X1068" i="4" s="1"/>
  <c r="U1132" i="4"/>
  <c r="X1132" i="4" s="1"/>
  <c r="U1196" i="4"/>
  <c r="X1196" i="4" s="1"/>
  <c r="U1260" i="4"/>
  <c r="X1260" i="4" s="1"/>
  <c r="U75" i="4"/>
  <c r="X75" i="4" s="1"/>
  <c r="U158" i="4"/>
  <c r="U40" i="4"/>
  <c r="X40" i="4" s="1"/>
  <c r="U131" i="4"/>
  <c r="U154" i="4"/>
  <c r="U179" i="4"/>
  <c r="U423" i="4"/>
  <c r="X423" i="4" s="1"/>
  <c r="U349" i="4"/>
  <c r="U366" i="4"/>
  <c r="U362" i="4"/>
  <c r="U254" i="4"/>
  <c r="X254" i="4" s="1"/>
  <c r="U318" i="4"/>
  <c r="X318" i="4" s="1"/>
  <c r="U420" i="4"/>
  <c r="X420" i="4" s="1"/>
  <c r="U421" i="4"/>
  <c r="U231" i="4"/>
  <c r="U295" i="4"/>
  <c r="U359" i="4"/>
  <c r="U482" i="4"/>
  <c r="X482" i="4" s="1"/>
  <c r="U489" i="4"/>
  <c r="X489" i="4" s="1"/>
  <c r="U172" i="4"/>
  <c r="X172" i="4" s="1"/>
  <c r="U236" i="4"/>
  <c r="X236" i="4" s="1"/>
  <c r="U300" i="4"/>
  <c r="X300" i="4" s="1"/>
  <c r="U373" i="4"/>
  <c r="X373" i="4" s="1"/>
  <c r="U682" i="4"/>
  <c r="U620" i="4"/>
  <c r="U718" i="4"/>
  <c r="X718" i="4" s="1"/>
  <c r="U589" i="4"/>
  <c r="X589" i="4" s="1"/>
  <c r="U663" i="4"/>
  <c r="X663" i="4" s="1"/>
  <c r="U507" i="4"/>
  <c r="X507" i="4" s="1"/>
  <c r="U567" i="4"/>
  <c r="X567" i="4" s="1"/>
  <c r="U622" i="4"/>
  <c r="U636" i="4"/>
  <c r="X636" i="4" s="1"/>
  <c r="U460" i="4"/>
  <c r="X460" i="4" s="1"/>
  <c r="U577" i="4"/>
  <c r="X577" i="4" s="1"/>
  <c r="U632" i="4"/>
  <c r="X632" i="4" s="1"/>
  <c r="U605" i="4"/>
  <c r="X605" i="4" s="1"/>
  <c r="U737" i="4"/>
  <c r="U830" i="4"/>
  <c r="U910" i="4"/>
  <c r="X910" i="4" s="1"/>
  <c r="U919" i="4"/>
  <c r="X919" i="4" s="1"/>
  <c r="U784" i="4"/>
  <c r="X784" i="4" s="1"/>
  <c r="U868" i="4"/>
  <c r="X868" i="4" s="1"/>
  <c r="U703" i="4"/>
  <c r="X703" i="4" s="1"/>
  <c r="U802" i="4"/>
  <c r="U906" i="4"/>
  <c r="X906" i="4" s="1"/>
  <c r="U760" i="4"/>
  <c r="X760" i="4" s="1"/>
  <c r="U668" i="4"/>
  <c r="X668" i="4" s="1"/>
  <c r="U732" i="4"/>
  <c r="X732" i="4" s="1"/>
  <c r="U782" i="4"/>
  <c r="U983" i="4"/>
  <c r="U1032" i="4"/>
  <c r="X1032" i="4" s="1"/>
  <c r="U1061" i="4"/>
  <c r="X1061" i="4" s="1"/>
  <c r="U976" i="4"/>
  <c r="X976" i="4" s="1"/>
  <c r="U944" i="4"/>
  <c r="X944" i="4" s="1"/>
  <c r="U1008" i="4"/>
  <c r="X1008" i="4" s="1"/>
  <c r="U987" i="4"/>
  <c r="U873" i="4"/>
  <c r="X873" i="4" s="1"/>
  <c r="U937" i="4"/>
  <c r="X937" i="4" s="1"/>
  <c r="U998" i="4"/>
  <c r="X998" i="4" s="1"/>
  <c r="U1185" i="4"/>
  <c r="X1185" i="4" s="1"/>
  <c r="U1249" i="4"/>
  <c r="X1249" i="4" s="1"/>
  <c r="U1078" i="4"/>
  <c r="X1078" i="4" s="1"/>
  <c r="U1142" i="4"/>
  <c r="X1142" i="4" s="1"/>
  <c r="U1206" i="4"/>
  <c r="X1206" i="4" s="1"/>
  <c r="U1270" i="4"/>
  <c r="X1270" i="4" s="1"/>
  <c r="U1087" i="4"/>
  <c r="U1151" i="4"/>
  <c r="U1215" i="4"/>
  <c r="U1279" i="4"/>
  <c r="U1072" i="4"/>
  <c r="U1136" i="4"/>
  <c r="X1136" i="4" s="1"/>
  <c r="U1200" i="4"/>
  <c r="X1200" i="4" s="1"/>
  <c r="U1264" i="4"/>
  <c r="X1264" i="4" s="1"/>
  <c r="U71" i="4"/>
  <c r="U183" i="4"/>
  <c r="X183" i="4" s="1"/>
  <c r="U321" i="4"/>
  <c r="X321" i="4" s="1"/>
  <c r="U82" i="4"/>
  <c r="X82" i="4" s="1"/>
  <c r="U18" i="4"/>
  <c r="U157" i="4"/>
  <c r="U301" i="4"/>
  <c r="U73" i="4"/>
  <c r="X73" i="4" s="1"/>
  <c r="U199" i="4"/>
  <c r="X199" i="4" s="1"/>
  <c r="U116" i="4"/>
  <c r="X116" i="4" s="1"/>
  <c r="U155" i="4"/>
  <c r="U48" i="4"/>
  <c r="U28" i="4"/>
  <c r="U140" i="4"/>
  <c r="U429" i="4"/>
  <c r="U353" i="4"/>
  <c r="U383" i="4"/>
  <c r="U379" i="4"/>
  <c r="U258" i="4"/>
  <c r="X258" i="4" s="1"/>
  <c r="U322" i="4"/>
  <c r="X322" i="4" s="1"/>
  <c r="U469" i="4"/>
  <c r="X469" i="4" s="1"/>
  <c r="U426" i="4"/>
  <c r="X426" i="4" s="1"/>
  <c r="U235" i="4"/>
  <c r="U299" i="4"/>
  <c r="X299" i="4" s="1"/>
  <c r="U376" i="4"/>
  <c r="X376" i="4" s="1"/>
  <c r="U368" i="4"/>
  <c r="U502" i="4"/>
  <c r="U176" i="4"/>
  <c r="X176" i="4" s="1"/>
  <c r="U240" i="4"/>
  <c r="X240" i="4" s="1"/>
  <c r="U304" i="4"/>
  <c r="X304" i="4" s="1"/>
  <c r="U386" i="4"/>
  <c r="X386" i="4" s="1"/>
  <c r="U690" i="4"/>
  <c r="U643" i="4"/>
  <c r="X643" i="4" s="1"/>
  <c r="U750" i="4"/>
  <c r="U598" i="4"/>
  <c r="X598" i="4" s="1"/>
  <c r="U670" i="4"/>
  <c r="X670" i="4" s="1"/>
  <c r="U524" i="4"/>
  <c r="X524" i="4" s="1"/>
  <c r="U576" i="4"/>
  <c r="X576" i="4" s="1"/>
  <c r="U631" i="4"/>
  <c r="X631" i="4" s="1"/>
  <c r="U641" i="4"/>
  <c r="X641" i="4" s="1"/>
  <c r="U464" i="4"/>
  <c r="X464" i="4" s="1"/>
  <c r="U586" i="4"/>
  <c r="X586" i="4" s="1"/>
  <c r="U653" i="4"/>
  <c r="X653" i="4" s="1"/>
  <c r="U614" i="4"/>
  <c r="X614" i="4" s="1"/>
  <c r="U765" i="4"/>
  <c r="X765" i="4" s="1"/>
  <c r="U860" i="4"/>
  <c r="U939" i="4"/>
  <c r="U930" i="4"/>
  <c r="X930" i="4" s="1"/>
  <c r="U801" i="4"/>
  <c r="X801" i="4" s="1"/>
  <c r="U888" i="4"/>
  <c r="U707" i="4"/>
  <c r="X707" i="4" s="1"/>
  <c r="U819" i="4"/>
  <c r="X819" i="4" s="1"/>
  <c r="U934" i="4"/>
  <c r="X934" i="4" s="1"/>
  <c r="U777" i="4"/>
  <c r="X777" i="4" s="1"/>
  <c r="U672" i="4"/>
  <c r="X672" i="4" s="1"/>
  <c r="U736" i="4"/>
  <c r="X736" i="4" s="1"/>
  <c r="U799" i="4"/>
  <c r="X799" i="4" s="1"/>
  <c r="U1047" i="4"/>
  <c r="X1047" i="4" s="1"/>
  <c r="U1037" i="4"/>
  <c r="X1037" i="4" s="1"/>
  <c r="U1074" i="4"/>
  <c r="X1074" i="4" s="1"/>
  <c r="U1121" i="4"/>
  <c r="X1121" i="4" s="1"/>
  <c r="U948" i="4"/>
  <c r="X948" i="4" s="1"/>
  <c r="U1013" i="4"/>
  <c r="X1013" i="4" s="1"/>
  <c r="U1003" i="4"/>
  <c r="X1003" i="4" s="1"/>
  <c r="U877" i="4"/>
  <c r="X877" i="4" s="1"/>
  <c r="U941" i="4"/>
  <c r="X941" i="4" s="1"/>
  <c r="U1004" i="4"/>
  <c r="X1004" i="4" s="1"/>
  <c r="U1189" i="4"/>
  <c r="X1189" i="4" s="1"/>
  <c r="U1253" i="4"/>
  <c r="X1253" i="4" s="1"/>
  <c r="U1082" i="4"/>
  <c r="X1082" i="4" s="1"/>
  <c r="U1146" i="4"/>
  <c r="X1146" i="4" s="1"/>
  <c r="U1210" i="4"/>
  <c r="X1210" i="4" s="1"/>
  <c r="U1274" i="4"/>
  <c r="X1274" i="4" s="1"/>
  <c r="U1091" i="4"/>
  <c r="U1155" i="4"/>
  <c r="U1219" i="4"/>
  <c r="U1283" i="4"/>
  <c r="U1076" i="4"/>
  <c r="X1076" i="4" s="1"/>
  <c r="U1140" i="4"/>
  <c r="X1140" i="4" s="1"/>
  <c r="U1204" i="4"/>
  <c r="X1204" i="4" s="1"/>
  <c r="U1268" i="4"/>
  <c r="X1268" i="4" s="1"/>
  <c r="U67" i="4"/>
  <c r="X67" i="4" s="1"/>
  <c r="U139" i="4"/>
  <c r="X139" i="4" s="1"/>
  <c r="U105" i="4"/>
  <c r="U132" i="4"/>
  <c r="X132" i="4" s="1"/>
  <c r="U245" i="4"/>
  <c r="U36" i="4"/>
  <c r="U16" i="4"/>
  <c r="X16" i="4" s="1"/>
  <c r="U113" i="4"/>
  <c r="U108" i="4"/>
  <c r="X108" i="4" s="1"/>
  <c r="U149" i="4"/>
  <c r="X149" i="4" s="1"/>
  <c r="U434" i="4"/>
  <c r="X434" i="4" s="1"/>
  <c r="U357" i="4"/>
  <c r="U392" i="4"/>
  <c r="X392" i="4" s="1"/>
  <c r="U474" i="4"/>
  <c r="U262" i="4"/>
  <c r="X262" i="4" s="1"/>
  <c r="U326" i="4"/>
  <c r="X326" i="4" s="1"/>
  <c r="U486" i="4"/>
  <c r="X486" i="4" s="1"/>
  <c r="U431" i="4"/>
  <c r="X431" i="4" s="1"/>
  <c r="U239" i="4"/>
  <c r="X239" i="4" s="1"/>
  <c r="U303" i="4"/>
  <c r="X303" i="4" s="1"/>
  <c r="U385" i="4"/>
  <c r="X385" i="4" s="1"/>
  <c r="U381" i="4"/>
  <c r="U584" i="4"/>
  <c r="X584" i="4" s="1"/>
  <c r="U180" i="4"/>
  <c r="X180" i="4" s="1"/>
  <c r="U244" i="4"/>
  <c r="X244" i="4" s="1"/>
  <c r="U308" i="4"/>
  <c r="X308" i="4" s="1"/>
  <c r="U395" i="4"/>
  <c r="X395" i="4" s="1"/>
  <c r="U698" i="4"/>
  <c r="X698" i="4" s="1"/>
  <c r="U649" i="4"/>
  <c r="X649" i="4" s="1"/>
  <c r="U762" i="4"/>
  <c r="X762" i="4" s="1"/>
  <c r="U607" i="4"/>
  <c r="X607" i="4" s="1"/>
  <c r="U710" i="4"/>
  <c r="X710" i="4" s="1"/>
  <c r="U537" i="4"/>
  <c r="X537" i="4" s="1"/>
  <c r="U608" i="4"/>
  <c r="X608" i="4" s="1"/>
  <c r="U651" i="4"/>
  <c r="X651" i="4" s="1"/>
  <c r="U646" i="4"/>
  <c r="U468" i="4"/>
  <c r="X468" i="4" s="1"/>
  <c r="U595" i="4"/>
  <c r="X595" i="4" s="1"/>
  <c r="U681" i="4"/>
  <c r="U623" i="4"/>
  <c r="X623" i="4" s="1"/>
  <c r="U778" i="4"/>
  <c r="U866" i="4"/>
  <c r="X866" i="4" s="1"/>
  <c r="U966" i="4"/>
  <c r="X966" i="4" s="1"/>
  <c r="U954" i="4"/>
  <c r="X954" i="4" s="1"/>
  <c r="U814" i="4"/>
  <c r="X814" i="4" s="1"/>
  <c r="U896" i="4"/>
  <c r="U711" i="4"/>
  <c r="X711" i="4" s="1"/>
  <c r="U832" i="4"/>
  <c r="X832" i="4" s="1"/>
  <c r="U946" i="4"/>
  <c r="X946" i="4" s="1"/>
  <c r="U790" i="4"/>
  <c r="U676" i="4"/>
  <c r="U740" i="4"/>
  <c r="U816" i="4"/>
  <c r="X816" i="4" s="1"/>
  <c r="U1053" i="4"/>
  <c r="X1053" i="4" s="1"/>
  <c r="U1042" i="4"/>
  <c r="X1042" i="4" s="1"/>
  <c r="U985" i="4"/>
  <c r="X985" i="4" s="1"/>
  <c r="U991" i="4"/>
  <c r="X991" i="4" s="1"/>
  <c r="U952" i="4"/>
  <c r="U1018" i="4"/>
  <c r="X1018" i="4" s="1"/>
  <c r="U1019" i="4"/>
  <c r="U881" i="4"/>
  <c r="X881" i="4" s="1"/>
  <c r="U945" i="4"/>
  <c r="U1009" i="4"/>
  <c r="X1009" i="4" s="1"/>
  <c r="U1193" i="4"/>
  <c r="X1193" i="4" s="1"/>
  <c r="U1257" i="4"/>
  <c r="X1257" i="4" s="1"/>
  <c r="U1086" i="4"/>
  <c r="X1086" i="4" s="1"/>
  <c r="U1150" i="4"/>
  <c r="X1150" i="4" s="1"/>
  <c r="U1214" i="4"/>
  <c r="X1214" i="4" s="1"/>
  <c r="U1278" i="4"/>
  <c r="X1278" i="4" s="1"/>
  <c r="U1095" i="4"/>
  <c r="X1095" i="4" s="1"/>
  <c r="U1159" i="4"/>
  <c r="X1159" i="4" s="1"/>
  <c r="U1223" i="4"/>
  <c r="X1223" i="4" s="1"/>
  <c r="U1287" i="4"/>
  <c r="X1287" i="4" s="1"/>
  <c r="U1080" i="4"/>
  <c r="U1144" i="4"/>
  <c r="X1144" i="4" s="1"/>
  <c r="U1208" i="4"/>
  <c r="X1208" i="4" s="1"/>
  <c r="U1272" i="4"/>
  <c r="X1272" i="4" s="1"/>
  <c r="U63" i="4"/>
  <c r="U43" i="4"/>
  <c r="X43" i="4" s="1"/>
  <c r="U15" i="4"/>
  <c r="U439" i="4"/>
  <c r="X439" i="4" s="1"/>
  <c r="U374" i="4"/>
  <c r="X374" i="4" s="1"/>
  <c r="U397" i="4"/>
  <c r="X397" i="4" s="1"/>
  <c r="U506" i="4"/>
  <c r="X506" i="4" s="1"/>
  <c r="U266" i="4"/>
  <c r="X266" i="4" s="1"/>
  <c r="U330" i="4"/>
  <c r="X330" i="4" s="1"/>
  <c r="U493" i="4"/>
  <c r="X493" i="4" s="1"/>
  <c r="U437" i="4"/>
  <c r="X437" i="4" s="1"/>
  <c r="U243" i="4"/>
  <c r="X243" i="4" s="1"/>
  <c r="U307" i="4"/>
  <c r="X307" i="4" s="1"/>
  <c r="U394" i="4"/>
  <c r="X394" i="4" s="1"/>
  <c r="U390" i="4"/>
  <c r="U619" i="4"/>
  <c r="U184" i="4"/>
  <c r="X184" i="4" s="1"/>
  <c r="U248" i="4"/>
  <c r="X248" i="4" s="1"/>
  <c r="U312" i="4"/>
  <c r="X312" i="4" s="1"/>
  <c r="U404" i="4"/>
  <c r="X404" i="4" s="1"/>
  <c r="U717" i="4"/>
  <c r="X717" i="4" s="1"/>
  <c r="U669" i="4"/>
  <c r="X669" i="4" s="1"/>
  <c r="U791" i="4"/>
  <c r="X791" i="4" s="1"/>
  <c r="U621" i="4"/>
  <c r="U721" i="4"/>
  <c r="U554" i="4"/>
  <c r="X554" i="4" s="1"/>
  <c r="U671" i="4"/>
  <c r="U665" i="4"/>
  <c r="X665" i="4" s="1"/>
  <c r="U658" i="4"/>
  <c r="X658" i="4" s="1"/>
  <c r="U472" i="4"/>
  <c r="U609" i="4"/>
  <c r="X609" i="4" s="1"/>
  <c r="U689" i="4"/>
  <c r="U637" i="4"/>
  <c r="X637" i="4" s="1"/>
  <c r="U795" i="4"/>
  <c r="X795" i="4" s="1"/>
  <c r="U872" i="4"/>
  <c r="X872" i="4" s="1"/>
  <c r="U779" i="4"/>
  <c r="X779" i="4" s="1"/>
  <c r="U1065" i="4"/>
  <c r="X1065" i="4" s="1"/>
  <c r="U836" i="4"/>
  <c r="X836" i="4" s="1"/>
  <c r="U904" i="4"/>
  <c r="X904" i="4" s="1"/>
  <c r="U715" i="4"/>
  <c r="X715" i="4" s="1"/>
  <c r="U847" i="4"/>
  <c r="X847" i="4" s="1"/>
  <c r="U974" i="4"/>
  <c r="X974" i="4" s="1"/>
  <c r="U807" i="4"/>
  <c r="X807" i="4" s="1"/>
  <c r="U680" i="4"/>
  <c r="U744" i="4"/>
  <c r="U834" i="4"/>
  <c r="X834" i="4" s="1"/>
  <c r="U1089" i="4"/>
  <c r="X1089" i="4" s="1"/>
  <c r="U1073" i="4"/>
  <c r="X1073" i="4" s="1"/>
  <c r="U990" i="4"/>
  <c r="X990" i="4" s="1"/>
  <c r="U1007" i="4"/>
  <c r="X1007" i="4" s="1"/>
  <c r="U956" i="4"/>
  <c r="U1024" i="4"/>
  <c r="X1024" i="4" s="1"/>
  <c r="U1035" i="4"/>
  <c r="X1035" i="4" s="1"/>
  <c r="U885" i="4"/>
  <c r="X885" i="4" s="1"/>
  <c r="U949" i="4"/>
  <c r="X949" i="4" s="1"/>
  <c r="U1014" i="4"/>
  <c r="X1014" i="4" s="1"/>
  <c r="U1197" i="4"/>
  <c r="U1261" i="4"/>
  <c r="U1090" i="4"/>
  <c r="U1154" i="4"/>
  <c r="U1218" i="4"/>
  <c r="U1282" i="4"/>
  <c r="U1099" i="4"/>
  <c r="X1099" i="4" s="1"/>
  <c r="U1163" i="4"/>
  <c r="X1163" i="4" s="1"/>
  <c r="U1227" i="4"/>
  <c r="X1227" i="4" s="1"/>
  <c r="U1291" i="4"/>
  <c r="X1291" i="4" s="1"/>
  <c r="U1084" i="4"/>
  <c r="X1084" i="4" s="1"/>
  <c r="U1148" i="4"/>
  <c r="U1212" i="4"/>
  <c r="X1212" i="4" s="1"/>
  <c r="U1276" i="4"/>
  <c r="X1276" i="4" s="1"/>
  <c r="U59" i="4"/>
  <c r="X59" i="4" s="1"/>
  <c r="U130" i="4"/>
  <c r="U136" i="4"/>
  <c r="U178" i="4"/>
  <c r="U135" i="4"/>
  <c r="X135" i="4" s="1"/>
  <c r="U445" i="4"/>
  <c r="X445" i="4" s="1"/>
  <c r="U387" i="4"/>
  <c r="X387" i="4" s="1"/>
  <c r="U406" i="4"/>
  <c r="X406" i="4" s="1"/>
  <c r="U536" i="4"/>
  <c r="X536" i="4" s="1"/>
  <c r="U270" i="4"/>
  <c r="X270" i="4" s="1"/>
  <c r="U334" i="4"/>
  <c r="X334" i="4" s="1"/>
  <c r="U539" i="4"/>
  <c r="X539" i="4" s="1"/>
  <c r="U442" i="4"/>
  <c r="X442" i="4" s="1"/>
  <c r="U247" i="4"/>
  <c r="X247" i="4" s="1"/>
  <c r="U311" i="4"/>
  <c r="X311" i="4" s="1"/>
  <c r="U403" i="4"/>
  <c r="X403" i="4" s="1"/>
  <c r="U399" i="4"/>
  <c r="X399" i="4" s="1"/>
  <c r="U726" i="4"/>
  <c r="X726" i="4" s="1"/>
  <c r="U188" i="4"/>
  <c r="X188" i="4" s="1"/>
  <c r="U252" i="4"/>
  <c r="X252" i="4" s="1"/>
  <c r="U316" i="4"/>
  <c r="X316" i="4" s="1"/>
  <c r="U409" i="4"/>
  <c r="X409" i="4" s="1"/>
  <c r="U749" i="4"/>
  <c r="X749" i="4" s="1"/>
  <c r="U709" i="4"/>
  <c r="U616" i="4"/>
  <c r="U630" i="4"/>
  <c r="X630" i="4" s="1"/>
  <c r="U753" i="4"/>
  <c r="U571" i="4"/>
  <c r="X571" i="4" s="1"/>
  <c r="U678" i="4"/>
  <c r="X678" i="4" s="1"/>
  <c r="U679" i="4"/>
  <c r="X679" i="4" s="1"/>
  <c r="U745" i="4"/>
  <c r="U476" i="4"/>
  <c r="X476" i="4" s="1"/>
  <c r="U618" i="4"/>
  <c r="U697" i="4"/>
  <c r="U659" i="4"/>
  <c r="X659" i="4" s="1"/>
  <c r="U812" i="4"/>
  <c r="X812" i="4" s="1"/>
  <c r="U886" i="4"/>
  <c r="X886" i="4" s="1"/>
  <c r="U796" i="4"/>
  <c r="U788" i="4"/>
  <c r="X788" i="4" s="1"/>
  <c r="U851" i="4"/>
  <c r="X851" i="4" s="1"/>
  <c r="U922" i="4"/>
  <c r="X922" i="4" s="1"/>
  <c r="U719" i="4"/>
  <c r="X719" i="4" s="1"/>
  <c r="U852" i="4"/>
  <c r="X852" i="4" s="1"/>
  <c r="U1117" i="4"/>
  <c r="X1117" i="4" s="1"/>
  <c r="U824" i="4"/>
  <c r="X824" i="4" s="1"/>
  <c r="U684" i="4"/>
  <c r="U748" i="4"/>
  <c r="U854" i="4"/>
  <c r="X854" i="4" s="1"/>
  <c r="U1081" i="4"/>
  <c r="X1081" i="4" s="1"/>
  <c r="U1109" i="4"/>
  <c r="U996" i="4"/>
  <c r="U1023" i="4"/>
  <c r="U960" i="4"/>
  <c r="U1029" i="4"/>
  <c r="X1029" i="4" s="1"/>
  <c r="U1145" i="4"/>
  <c r="X1145" i="4" s="1"/>
  <c r="U889" i="4"/>
  <c r="X889" i="4" s="1"/>
  <c r="U953" i="4"/>
  <c r="X953" i="4" s="1"/>
  <c r="U1020" i="4"/>
  <c r="X1020" i="4" s="1"/>
  <c r="U1201" i="4"/>
  <c r="X1201" i="4" s="1"/>
  <c r="U1265" i="4"/>
  <c r="X1265" i="4" s="1"/>
  <c r="U1094" i="4"/>
  <c r="U1158" i="4"/>
  <c r="U1222" i="4"/>
  <c r="U1286" i="4"/>
  <c r="U1103" i="4"/>
  <c r="X1103" i="4" s="1"/>
  <c r="U1167" i="4"/>
  <c r="X1167" i="4" s="1"/>
  <c r="U1231" i="4"/>
  <c r="X1231" i="4" s="1"/>
  <c r="U1295" i="4"/>
  <c r="X1295" i="4" s="1"/>
  <c r="U1088" i="4"/>
  <c r="X1088" i="4" s="1"/>
  <c r="U1152" i="4"/>
  <c r="U1216" i="4"/>
  <c r="X1216" i="4" s="1"/>
  <c r="U1280" i="4"/>
  <c r="X1280" i="4" s="1"/>
  <c r="U163" i="4"/>
  <c r="X163" i="4" s="1"/>
  <c r="U47" i="4"/>
  <c r="X47" i="4" s="1"/>
  <c r="U100" i="4"/>
  <c r="U269" i="4"/>
  <c r="U473" i="4"/>
  <c r="X473" i="4" s="1"/>
  <c r="U450" i="4"/>
  <c r="X450" i="4" s="1"/>
  <c r="U396" i="4"/>
  <c r="X396" i="4" s="1"/>
  <c r="U415" i="4"/>
  <c r="X415" i="4" s="1"/>
  <c r="U565" i="4"/>
  <c r="X565" i="4" s="1"/>
  <c r="U274" i="4"/>
  <c r="X274" i="4" s="1"/>
  <c r="U338" i="4"/>
  <c r="U552" i="4"/>
  <c r="U447" i="4"/>
  <c r="X447" i="4" s="1"/>
  <c r="U251" i="4"/>
  <c r="X251" i="4" s="1"/>
  <c r="U315" i="4"/>
  <c r="X315" i="4" s="1"/>
  <c r="U412" i="4"/>
  <c r="X412" i="4" s="1"/>
  <c r="U408" i="4"/>
  <c r="U364" i="4"/>
  <c r="X364" i="4" s="1"/>
  <c r="U192" i="4"/>
  <c r="X192" i="4" s="1"/>
  <c r="U256" i="4"/>
  <c r="X256" i="4" s="1"/>
  <c r="U320" i="4"/>
  <c r="X320" i="4" s="1"/>
  <c r="U418" i="4"/>
  <c r="X418" i="4" s="1"/>
  <c r="U761" i="4"/>
  <c r="X761" i="4" s="1"/>
  <c r="U729" i="4"/>
  <c r="U662" i="4"/>
  <c r="X662" i="4" s="1"/>
  <c r="U639" i="4"/>
  <c r="X639" i="4" s="1"/>
  <c r="U463" i="4"/>
  <c r="U585" i="4"/>
  <c r="X585" i="4" s="1"/>
  <c r="U686" i="4"/>
  <c r="U687" i="4"/>
  <c r="X687" i="4" s="1"/>
  <c r="U770" i="4"/>
  <c r="X770" i="4" s="1"/>
  <c r="U480" i="4"/>
  <c r="X480" i="4" s="1"/>
  <c r="U627" i="4"/>
  <c r="X627" i="4" s="1"/>
  <c r="U725" i="4"/>
  <c r="X725" i="4" s="1"/>
  <c r="U666" i="4"/>
  <c r="X666" i="4" s="1"/>
  <c r="U839" i="4"/>
  <c r="U927" i="4"/>
  <c r="X927" i="4" s="1"/>
  <c r="U813" i="4"/>
  <c r="X813" i="4" s="1"/>
  <c r="U805" i="4"/>
  <c r="X805" i="4" s="1"/>
  <c r="U862" i="4"/>
  <c r="X862" i="4" s="1"/>
  <c r="U931" i="4"/>
  <c r="U723" i="4"/>
  <c r="X723" i="4" s="1"/>
  <c r="U875" i="4"/>
  <c r="U764" i="4"/>
  <c r="X764" i="4" s="1"/>
  <c r="U843" i="4"/>
  <c r="X843" i="4" s="1"/>
  <c r="U688" i="4"/>
  <c r="X688" i="4" s="1"/>
  <c r="U752" i="4"/>
  <c r="X752" i="4" s="1"/>
  <c r="U859" i="4"/>
  <c r="X859" i="4" s="1"/>
  <c r="U1149" i="4"/>
  <c r="X1149" i="4" s="1"/>
  <c r="U1054" i="4"/>
  <c r="X1054" i="4" s="1"/>
  <c r="U1001" i="4"/>
  <c r="U1039" i="4"/>
  <c r="X1039" i="4" s="1"/>
  <c r="U964" i="4"/>
  <c r="X964" i="4" s="1"/>
  <c r="U1034" i="4"/>
  <c r="U829" i="4"/>
  <c r="X829" i="4" s="1"/>
  <c r="U893" i="4"/>
  <c r="X893" i="4" s="1"/>
  <c r="U957" i="4"/>
  <c r="X957" i="4" s="1"/>
  <c r="U1025" i="4"/>
  <c r="X1025" i="4" s="1"/>
  <c r="U1205" i="4"/>
  <c r="X1205" i="4" s="1"/>
  <c r="U1269" i="4"/>
  <c r="X1269" i="4" s="1"/>
  <c r="U1098" i="4"/>
  <c r="U1162" i="4"/>
  <c r="U1226" i="4"/>
  <c r="U1290" i="4"/>
  <c r="U1107" i="4"/>
  <c r="X1107" i="4" s="1"/>
  <c r="U1171" i="4"/>
  <c r="X1171" i="4" s="1"/>
  <c r="U1235" i="4"/>
  <c r="X1235" i="4" s="1"/>
  <c r="U1299" i="4"/>
  <c r="X1299" i="4" s="1"/>
  <c r="U1092" i="4"/>
  <c r="X1092" i="4" s="1"/>
  <c r="U1156" i="4"/>
  <c r="X1156" i="4" s="1"/>
  <c r="U1220" i="4"/>
  <c r="U1284" i="4"/>
  <c r="U378" i="4"/>
  <c r="U121" i="4"/>
  <c r="U96" i="4"/>
  <c r="U309" i="4"/>
  <c r="X309" i="4" s="1"/>
  <c r="U126" i="4"/>
  <c r="X126" i="4" s="1"/>
  <c r="U455" i="4"/>
  <c r="X455" i="4" s="1"/>
  <c r="U401" i="4"/>
  <c r="X401" i="4" s="1"/>
  <c r="U425" i="4"/>
  <c r="X425" i="4" s="1"/>
  <c r="U597" i="4"/>
  <c r="X597" i="4" s="1"/>
  <c r="U278" i="4"/>
  <c r="U342" i="4"/>
  <c r="U601" i="4"/>
  <c r="X601" i="4" s="1"/>
  <c r="U453" i="4"/>
  <c r="X453" i="4" s="1"/>
  <c r="U255" i="4"/>
  <c r="U319" i="4"/>
  <c r="U417" i="4"/>
  <c r="X417" i="4" s="1"/>
  <c r="U413" i="4"/>
  <c r="X413" i="4" s="1"/>
  <c r="U377" i="4"/>
  <c r="X377" i="4" s="1"/>
  <c r="U196" i="4"/>
  <c r="X196" i="4" s="1"/>
  <c r="U260" i="4"/>
  <c r="X260" i="4" s="1"/>
  <c r="U324" i="4"/>
  <c r="X324" i="4" s="1"/>
  <c r="U519" i="4"/>
  <c r="U606" i="4"/>
  <c r="U540" i="4"/>
  <c r="X540" i="4" s="1"/>
  <c r="U677" i="4"/>
  <c r="X677" i="4" s="1"/>
  <c r="U730" i="4"/>
  <c r="X730" i="4" s="1"/>
  <c r="U467" i="4"/>
  <c r="U594" i="4"/>
  <c r="X594" i="4" s="1"/>
  <c r="U694" i="4"/>
  <c r="X694" i="4" s="1"/>
  <c r="U695" i="4"/>
  <c r="X695" i="4" s="1"/>
  <c r="U918" i="4"/>
  <c r="X918" i="4" s="1"/>
  <c r="U484" i="4"/>
  <c r="X484" i="4" s="1"/>
  <c r="U673" i="4"/>
  <c r="X673" i="4" s="1"/>
  <c r="U757" i="4"/>
  <c r="X757" i="4" s="1"/>
  <c r="U714" i="4"/>
  <c r="U871" i="4"/>
  <c r="U951" i="4"/>
  <c r="X951" i="4" s="1"/>
  <c r="U826" i="4"/>
  <c r="U818" i="4"/>
  <c r="X818" i="4" s="1"/>
  <c r="U895" i="4"/>
  <c r="X895" i="4" s="1"/>
  <c r="U943" i="4"/>
  <c r="X943" i="4" s="1"/>
  <c r="U727" i="4"/>
  <c r="X727" i="4" s="1"/>
  <c r="U914" i="4"/>
  <c r="X914" i="4" s="1"/>
  <c r="U781" i="4"/>
  <c r="X781" i="4" s="1"/>
  <c r="U883" i="4"/>
  <c r="X883" i="4" s="1"/>
  <c r="U692" i="4"/>
  <c r="X692" i="4" s="1"/>
  <c r="U756" i="4"/>
  <c r="X756" i="4" s="1"/>
  <c r="U884" i="4"/>
  <c r="X884" i="4" s="1"/>
  <c r="U979" i="4"/>
  <c r="X979" i="4" s="1"/>
  <c r="U975" i="4"/>
  <c r="U1006" i="4"/>
  <c r="X1006" i="4" s="1"/>
  <c r="U1050" i="4"/>
  <c r="X1050" i="4" s="1"/>
  <c r="U968" i="4"/>
  <c r="X968" i="4" s="1"/>
  <c r="U1040" i="4"/>
  <c r="X1040" i="4" s="1"/>
  <c r="U833" i="4"/>
  <c r="X833" i="4" s="1"/>
  <c r="U897" i="4"/>
  <c r="X897" i="4" s="1"/>
  <c r="U961" i="4"/>
  <c r="X961" i="4" s="1"/>
  <c r="U1030" i="4"/>
  <c r="U1209" i="4"/>
  <c r="X1209" i="4" s="1"/>
  <c r="U1273" i="4"/>
  <c r="X1273" i="4" s="1"/>
  <c r="U1102" i="4"/>
  <c r="X1102" i="4" s="1"/>
  <c r="U1166" i="4"/>
  <c r="X1166" i="4" s="1"/>
  <c r="U1230" i="4"/>
  <c r="X1230" i="4" s="1"/>
  <c r="U1294" i="4"/>
  <c r="X1294" i="4" s="1"/>
  <c r="U1111" i="4"/>
  <c r="X1111" i="4" s="1"/>
  <c r="U1175" i="4"/>
  <c r="X1175" i="4" s="1"/>
  <c r="U1239" i="4"/>
  <c r="X1239" i="4" s="1"/>
  <c r="U1303" i="4"/>
  <c r="X1303" i="4" s="1"/>
  <c r="U1096" i="4"/>
  <c r="U1160" i="4"/>
  <c r="U1224" i="4"/>
  <c r="U1288" i="4"/>
  <c r="U144" i="4"/>
  <c r="U325" i="4"/>
  <c r="X325" i="4" s="1"/>
  <c r="U97" i="4"/>
  <c r="X97" i="4" s="1"/>
  <c r="U92" i="4"/>
  <c r="U219" i="4"/>
  <c r="X219" i="4" s="1"/>
  <c r="U281" i="4"/>
  <c r="U461" i="4"/>
  <c r="U410" i="4"/>
  <c r="X410" i="4" s="1"/>
  <c r="U430" i="4"/>
  <c r="X430" i="4" s="1"/>
  <c r="U667" i="4"/>
  <c r="X667" i="4" s="1"/>
  <c r="U282" i="4"/>
  <c r="U346" i="4"/>
  <c r="U674" i="4"/>
  <c r="X674" i="4" s="1"/>
  <c r="U458" i="4"/>
  <c r="X458" i="4" s="1"/>
  <c r="U259" i="4"/>
  <c r="X259" i="4" s="1"/>
  <c r="U323" i="4"/>
  <c r="X323" i="4" s="1"/>
  <c r="U470" i="4"/>
  <c r="U422" i="4"/>
  <c r="X422" i="4" s="1"/>
  <c r="U510" i="4"/>
  <c r="X510" i="4" s="1"/>
  <c r="U200" i="4"/>
  <c r="U264" i="4"/>
  <c r="U328" i="4"/>
  <c r="U544" i="4"/>
  <c r="X544" i="4" s="1"/>
  <c r="U615" i="4"/>
  <c r="X615" i="4" s="1"/>
  <c r="U553" i="4"/>
  <c r="X553" i="4" s="1"/>
  <c r="U685" i="4"/>
  <c r="X685" i="4" s="1"/>
  <c r="U511" i="4"/>
  <c r="X511" i="4" s="1"/>
  <c r="U471" i="4"/>
  <c r="X471" i="4" s="1"/>
  <c r="U603" i="4"/>
  <c r="U702" i="4"/>
  <c r="X702" i="4" s="1"/>
  <c r="U713" i="4"/>
  <c r="X713" i="4" s="1"/>
  <c r="U424" i="4"/>
  <c r="X424" i="4" s="1"/>
  <c r="U488" i="4"/>
  <c r="X488" i="4" s="1"/>
  <c r="U705" i="4"/>
  <c r="X705" i="4" s="1"/>
  <c r="U774" i="4"/>
  <c r="X774" i="4" s="1"/>
  <c r="U746" i="4"/>
  <c r="U878" i="4"/>
  <c r="U766" i="4"/>
  <c r="U840" i="4"/>
  <c r="U831" i="4"/>
  <c r="X831" i="4" s="1"/>
  <c r="U903" i="4"/>
  <c r="X903" i="4" s="1"/>
  <c r="U971" i="4"/>
  <c r="X971" i="4" s="1"/>
  <c r="U731" i="4"/>
  <c r="U958" i="4"/>
  <c r="X958" i="4" s="1"/>
  <c r="U794" i="4"/>
  <c r="X794" i="4" s="1"/>
  <c r="U947" i="4"/>
  <c r="X947" i="4" s="1"/>
  <c r="U696" i="4"/>
  <c r="X696" i="4" s="1"/>
  <c r="U773" i="4"/>
  <c r="X773" i="4" s="1"/>
  <c r="U891" i="4"/>
  <c r="X891" i="4" s="1"/>
  <c r="U984" i="4"/>
  <c r="X984" i="4" s="1"/>
  <c r="U995" i="4"/>
  <c r="X995" i="4" s="1"/>
  <c r="U1012" i="4"/>
  <c r="U1085" i="4"/>
  <c r="X1085" i="4" s="1"/>
  <c r="U972" i="4"/>
  <c r="X972" i="4" s="1"/>
  <c r="U1051" i="4"/>
  <c r="U837" i="4"/>
  <c r="X837" i="4" s="1"/>
  <c r="U901" i="4"/>
  <c r="X901" i="4" s="1"/>
  <c r="U965" i="4"/>
  <c r="X965" i="4" s="1"/>
  <c r="U1036" i="4"/>
  <c r="U1213" i="4"/>
  <c r="X1213" i="4" s="1"/>
  <c r="U1277" i="4"/>
  <c r="X1277" i="4" s="1"/>
  <c r="U1106" i="4"/>
  <c r="X1106" i="4" s="1"/>
  <c r="U1170" i="4"/>
  <c r="X1170" i="4" s="1"/>
  <c r="U1234" i="4"/>
  <c r="X1234" i="4" s="1"/>
  <c r="U1298" i="4"/>
  <c r="X1298" i="4" s="1"/>
  <c r="U1115" i="4"/>
  <c r="X1115" i="4" s="1"/>
  <c r="U1179" i="4"/>
  <c r="U1243" i="4"/>
  <c r="U1307" i="4"/>
  <c r="U1100" i="4"/>
  <c r="X1100" i="4" s="1"/>
  <c r="U1164" i="4"/>
  <c r="U1228" i="4"/>
  <c r="X1228" i="4" s="1"/>
  <c r="U1292" i="4"/>
  <c r="U112" i="4"/>
  <c r="X112" i="4" s="1"/>
  <c r="U107" i="4"/>
  <c r="U117" i="4"/>
  <c r="X117" i="4" s="1"/>
  <c r="U478" i="4"/>
  <c r="X478" i="4" s="1"/>
  <c r="U419" i="4"/>
  <c r="X419" i="4" s="1"/>
  <c r="U435" i="4"/>
  <c r="U222" i="4"/>
  <c r="X222" i="4" s="1"/>
  <c r="U286" i="4"/>
  <c r="X286" i="4" s="1"/>
  <c r="U350" i="4"/>
  <c r="X350" i="4" s="1"/>
  <c r="U371" i="4"/>
  <c r="U501" i="4"/>
  <c r="U263" i="4"/>
  <c r="X263" i="4" s="1"/>
  <c r="U327" i="4"/>
  <c r="X327" i="4" s="1"/>
  <c r="U494" i="4"/>
  <c r="X494" i="4" s="1"/>
  <c r="U427" i="4"/>
  <c r="X427" i="4" s="1"/>
  <c r="U531" i="4"/>
  <c r="X531" i="4" s="1"/>
  <c r="U204" i="4"/>
  <c r="U268" i="4"/>
  <c r="U332" i="4"/>
  <c r="U369" i="4"/>
  <c r="X369" i="4" s="1"/>
  <c r="U629" i="4"/>
  <c r="X629" i="4" s="1"/>
  <c r="U570" i="4"/>
  <c r="U693" i="4"/>
  <c r="X693" i="4" s="1"/>
  <c r="U528" i="4"/>
  <c r="X528" i="4" s="1"/>
  <c r="U475" i="4"/>
  <c r="U617" i="4"/>
  <c r="X617" i="4" s="1"/>
  <c r="U733" i="4"/>
  <c r="U722" i="4"/>
  <c r="X722" i="4" s="1"/>
  <c r="U428" i="4"/>
  <c r="X428" i="4" s="1"/>
  <c r="U492" i="4"/>
  <c r="X492" i="4" s="1"/>
  <c r="U734" i="4"/>
  <c r="X734" i="4" s="1"/>
  <c r="U938" i="4"/>
  <c r="X938" i="4" s="1"/>
  <c r="U509" i="4"/>
  <c r="X509" i="4" s="1"/>
  <c r="U892" i="4"/>
  <c r="U783" i="4"/>
  <c r="X783" i="4" s="1"/>
  <c r="U879" i="4"/>
  <c r="X879" i="4" s="1"/>
  <c r="U846" i="4"/>
  <c r="X846" i="4" s="1"/>
  <c r="U911" i="4"/>
  <c r="X911" i="4" s="1"/>
  <c r="U759" i="4"/>
  <c r="X759" i="4" s="1"/>
  <c r="U735" i="4"/>
  <c r="U768" i="4"/>
  <c r="X768" i="4" s="1"/>
  <c r="U811" i="4"/>
  <c r="X811" i="4" s="1"/>
  <c r="U1137" i="4"/>
  <c r="X1137" i="4" s="1"/>
  <c r="U700" i="4"/>
  <c r="X700" i="4" s="1"/>
  <c r="U786" i="4"/>
  <c r="X786" i="4" s="1"/>
  <c r="U899" i="4"/>
  <c r="U989" i="4"/>
  <c r="X989" i="4" s="1"/>
  <c r="U1011" i="4"/>
  <c r="X1011" i="4" s="1"/>
  <c r="U1017" i="4"/>
  <c r="X1017" i="4" s="1"/>
  <c r="U912" i="4"/>
  <c r="X912" i="4" s="1"/>
  <c r="U981" i="4"/>
  <c r="X981" i="4" s="1"/>
  <c r="U1057" i="4"/>
  <c r="U841" i="4"/>
  <c r="X841" i="4" s="1"/>
  <c r="U905" i="4"/>
  <c r="X905" i="4" s="1"/>
  <c r="U969" i="4"/>
  <c r="X969" i="4" s="1"/>
  <c r="U1041" i="4"/>
  <c r="U1217" i="4"/>
  <c r="X1217" i="4" s="1"/>
  <c r="U1281" i="4"/>
  <c r="X1281" i="4" s="1"/>
  <c r="U1110" i="4"/>
  <c r="X1110" i="4" s="1"/>
  <c r="U1174" i="4"/>
  <c r="X1174" i="4" s="1"/>
  <c r="U1238" i="4"/>
  <c r="X1238" i="4" s="1"/>
  <c r="U1302" i="4"/>
  <c r="X1302" i="4" s="1"/>
  <c r="U1119" i="4"/>
  <c r="X1119" i="4" s="1"/>
  <c r="U1183" i="4"/>
  <c r="X1183" i="4" s="1"/>
  <c r="U1247" i="4"/>
  <c r="X1247" i="4" s="1"/>
  <c r="U1311" i="4"/>
  <c r="X1311" i="4" s="1"/>
  <c r="U1104" i="4"/>
  <c r="X1104" i="4" s="1"/>
  <c r="U1168" i="4"/>
  <c r="X1168" i="4" s="1"/>
  <c r="U1232" i="4"/>
  <c r="X1232" i="4" s="1"/>
  <c r="U1296" i="4"/>
  <c r="X1296" i="4" s="1"/>
  <c r="U103" i="4"/>
  <c r="X103" i="4" s="1"/>
  <c r="U253" i="4"/>
  <c r="X253" i="4" s="1"/>
  <c r="U265" i="4"/>
  <c r="X265" i="4" s="1"/>
  <c r="U162" i="4"/>
  <c r="U50" i="4"/>
  <c r="X50" i="4" s="1"/>
  <c r="U361" i="4"/>
  <c r="U223" i="4"/>
  <c r="U89" i="4"/>
  <c r="U221" i="4"/>
  <c r="X221" i="4" s="1"/>
  <c r="U12" i="4"/>
  <c r="U51" i="4"/>
  <c r="X51" i="4" s="1"/>
  <c r="U84" i="4"/>
  <c r="U218" i="4"/>
  <c r="U27" i="4"/>
  <c r="X27" i="4" s="1"/>
  <c r="U490" i="4"/>
  <c r="U485" i="4"/>
  <c r="X485" i="4" s="1"/>
  <c r="U441" i="4"/>
  <c r="X441" i="4" s="1"/>
  <c r="U226" i="4"/>
  <c r="X226" i="4" s="1"/>
  <c r="U290" i="4"/>
  <c r="X290" i="4" s="1"/>
  <c r="U354" i="4"/>
  <c r="X354" i="4" s="1"/>
  <c r="U481" i="4"/>
  <c r="U516" i="4"/>
  <c r="U267" i="4"/>
  <c r="X267" i="4" s="1"/>
  <c r="U331" i="4"/>
  <c r="X331" i="4" s="1"/>
  <c r="U518" i="4"/>
  <c r="X518" i="4" s="1"/>
  <c r="U433" i="4"/>
  <c r="X433" i="4" s="1"/>
  <c r="U557" i="4"/>
  <c r="X557" i="4" s="1"/>
  <c r="U208" i="4"/>
  <c r="U272" i="4"/>
  <c r="U336" i="4"/>
  <c r="U466" i="4"/>
  <c r="X466" i="4" s="1"/>
  <c r="U638" i="4"/>
  <c r="X638" i="4" s="1"/>
  <c r="U579" i="4"/>
  <c r="X579" i="4" s="1"/>
  <c r="U701" i="4"/>
  <c r="X701" i="4" s="1"/>
  <c r="U541" i="4"/>
  <c r="X541" i="4" s="1"/>
  <c r="U479" i="4"/>
  <c r="X479" i="4" s="1"/>
  <c r="U626" i="4"/>
  <c r="X626" i="4" s="1"/>
  <c r="U529" i="4"/>
  <c r="U754" i="4"/>
  <c r="U432" i="4"/>
  <c r="X432" i="4" s="1"/>
  <c r="U496" i="4"/>
  <c r="X496" i="4" s="1"/>
  <c r="U771" i="4"/>
  <c r="X771" i="4" s="1"/>
  <c r="U513" i="4"/>
  <c r="X513" i="4" s="1"/>
  <c r="U526" i="4"/>
  <c r="X526" i="4" s="1"/>
  <c r="U900" i="4"/>
  <c r="X900" i="4" s="1"/>
  <c r="U800" i="4"/>
  <c r="U967" i="4"/>
  <c r="X967" i="4" s="1"/>
  <c r="U856" i="4"/>
  <c r="U955" i="4"/>
  <c r="X955" i="4" s="1"/>
  <c r="U776" i="4"/>
  <c r="X776" i="4" s="1"/>
  <c r="U739" i="4"/>
  <c r="U785" i="4"/>
  <c r="U828" i="4"/>
  <c r="X828" i="4" s="1"/>
  <c r="U640" i="4"/>
  <c r="X640" i="4" s="1"/>
  <c r="U704" i="4"/>
  <c r="X704" i="4" s="1"/>
  <c r="U803" i="4"/>
  <c r="X803" i="4" s="1"/>
  <c r="U907" i="4"/>
  <c r="X907" i="4" s="1"/>
  <c r="U994" i="4"/>
  <c r="U1027" i="4"/>
  <c r="U1022" i="4"/>
  <c r="X1022" i="4" s="1"/>
  <c r="U916" i="4"/>
  <c r="X916" i="4" s="1"/>
  <c r="U1045" i="4"/>
  <c r="X1045" i="4" s="1"/>
  <c r="U1069" i="4"/>
  <c r="U845" i="4"/>
  <c r="X845" i="4" s="1"/>
  <c r="U909" i="4"/>
  <c r="X909" i="4" s="1"/>
  <c r="U973" i="4"/>
  <c r="X973" i="4" s="1"/>
  <c r="U1058" i="4"/>
  <c r="X1058" i="4" s="1"/>
  <c r="U1221" i="4"/>
  <c r="X1221" i="4" s="1"/>
  <c r="U1285" i="4"/>
  <c r="X1285" i="4" s="1"/>
  <c r="U1114" i="4"/>
  <c r="X1114" i="4" s="1"/>
  <c r="U1178" i="4"/>
  <c r="X1178" i="4" s="1"/>
  <c r="U1242" i="4"/>
  <c r="X1242" i="4" s="1"/>
  <c r="U1306" i="4"/>
  <c r="X1306" i="4" s="1"/>
  <c r="U1123" i="4"/>
  <c r="X1123" i="4" s="1"/>
  <c r="U1187" i="4"/>
  <c r="X1187" i="4" s="1"/>
  <c r="U1251" i="4"/>
  <c r="X1251" i="4" s="1"/>
  <c r="U1044" i="4"/>
  <c r="X1044" i="4" s="1"/>
  <c r="U1108" i="4"/>
  <c r="X1108" i="4" s="1"/>
  <c r="U1172" i="4"/>
  <c r="X1172" i="4" s="1"/>
  <c r="U1236" i="4"/>
  <c r="X1236" i="4" s="1"/>
  <c r="U1300" i="4"/>
  <c r="X1300" i="4" s="1"/>
  <c r="U99" i="4"/>
  <c r="X99" i="4" s="1"/>
  <c r="U148" i="4"/>
  <c r="X148" i="4" s="1"/>
  <c r="U111" i="4"/>
  <c r="X111" i="4" s="1"/>
  <c r="U46" i="4"/>
  <c r="X46" i="4" s="1"/>
  <c r="U106" i="4"/>
  <c r="X106" i="4" s="1"/>
  <c r="U124" i="4"/>
  <c r="X124" i="4" s="1"/>
  <c r="U13" i="4"/>
  <c r="X13" i="4" s="1"/>
  <c r="U81" i="4"/>
  <c r="U146" i="4"/>
  <c r="X146" i="4" s="1"/>
  <c r="U213" i="4"/>
  <c r="X213" i="4" s="1"/>
  <c r="U60" i="4"/>
  <c r="X60" i="4" s="1"/>
  <c r="U127" i="4"/>
  <c r="X127" i="4" s="1"/>
  <c r="U257" i="4"/>
  <c r="X257" i="4" s="1"/>
  <c r="U80" i="4"/>
  <c r="X80" i="4" s="1"/>
  <c r="U365" i="4"/>
  <c r="X365" i="4" s="1"/>
  <c r="U574" i="4"/>
  <c r="X574" i="4" s="1"/>
  <c r="U535" i="4"/>
  <c r="X535" i="4" s="1"/>
  <c r="U446" i="4"/>
  <c r="X446" i="4" s="1"/>
  <c r="U230" i="4"/>
  <c r="X230" i="4" s="1"/>
  <c r="U294" i="4"/>
  <c r="X294" i="4" s="1"/>
  <c r="U358" i="4"/>
  <c r="X358" i="4" s="1"/>
  <c r="U367" i="4"/>
  <c r="X367" i="4" s="1"/>
  <c r="U527" i="4"/>
  <c r="U271" i="4"/>
  <c r="X271" i="4" s="1"/>
  <c r="U335" i="4"/>
  <c r="X335" i="4" s="1"/>
  <c r="U556" i="4"/>
  <c r="U438" i="4"/>
  <c r="U587" i="4"/>
  <c r="U212" i="4"/>
  <c r="X212" i="4" s="1"/>
  <c r="U276" i="4"/>
  <c r="X276" i="4" s="1"/>
  <c r="U340" i="4"/>
  <c r="X340" i="4" s="1"/>
  <c r="U497" i="4"/>
  <c r="X497" i="4" s="1"/>
  <c r="U675" i="4"/>
  <c r="U593" i="4"/>
  <c r="U741" i="4"/>
  <c r="X741" i="4" s="1"/>
  <c r="U558" i="4"/>
  <c r="X558" i="4" s="1"/>
  <c r="U483" i="4"/>
  <c r="X483" i="4" s="1"/>
  <c r="U635" i="4"/>
  <c r="X635" i="4" s="1"/>
  <c r="U546" i="4"/>
  <c r="U512" i="4"/>
  <c r="X512" i="4" s="1"/>
  <c r="U436" i="4"/>
  <c r="X436" i="4" s="1"/>
  <c r="U500" i="4"/>
  <c r="X500" i="4" s="1"/>
  <c r="U825" i="4"/>
  <c r="X825" i="4" s="1"/>
  <c r="U530" i="4"/>
  <c r="X530" i="4" s="1"/>
  <c r="U543" i="4"/>
  <c r="X543" i="4" s="1"/>
  <c r="U908" i="4"/>
  <c r="X908" i="4" s="1"/>
  <c r="U817" i="4"/>
  <c r="U1059" i="4"/>
  <c r="X1059" i="4" s="1"/>
  <c r="U867" i="4"/>
  <c r="U970" i="4"/>
  <c r="X970" i="4" s="1"/>
  <c r="U793" i="4"/>
  <c r="U743" i="4"/>
  <c r="X743" i="4" s="1"/>
  <c r="U798" i="4"/>
  <c r="U838" i="4"/>
  <c r="X838" i="4" s="1"/>
  <c r="U644" i="4"/>
  <c r="U708" i="4"/>
  <c r="U820" i="4"/>
  <c r="X820" i="4" s="1"/>
  <c r="U926" i="4"/>
  <c r="X926" i="4" s="1"/>
  <c r="U1000" i="4"/>
  <c r="U1043" i="4"/>
  <c r="X1043" i="4" s="1"/>
  <c r="U1028" i="4"/>
  <c r="X1028" i="4" s="1"/>
  <c r="U920" i="4"/>
  <c r="U1062" i="4"/>
  <c r="X1062" i="4" s="1"/>
  <c r="U1077" i="4"/>
  <c r="X1077" i="4" s="1"/>
  <c r="U849" i="4"/>
  <c r="U913" i="4"/>
  <c r="U982" i="4"/>
  <c r="X982" i="4" s="1"/>
  <c r="U1125" i="4"/>
  <c r="X1125" i="4" s="1"/>
  <c r="U1225" i="4"/>
  <c r="X1225" i="4" s="1"/>
  <c r="U1289" i="4"/>
  <c r="X1289" i="4" s="1"/>
  <c r="U1118" i="4"/>
  <c r="X1118" i="4" s="1"/>
  <c r="U1182" i="4"/>
  <c r="X1182" i="4" s="1"/>
  <c r="U1246" i="4"/>
  <c r="X1246" i="4" s="1"/>
  <c r="U1310" i="4"/>
  <c r="X1310" i="4" s="1"/>
  <c r="U1127" i="4"/>
  <c r="X1127" i="4" s="1"/>
  <c r="U1191" i="4"/>
  <c r="X1191" i="4" s="1"/>
  <c r="U1255" i="4"/>
  <c r="X1255" i="4" s="1"/>
  <c r="U1048" i="4"/>
  <c r="X1048" i="4" s="1"/>
  <c r="U1112" i="4"/>
  <c r="X1112" i="4" s="1"/>
  <c r="U1176" i="4"/>
  <c r="X1176" i="4" s="1"/>
  <c r="U1240" i="4"/>
  <c r="X1240" i="4" s="1"/>
  <c r="U1304" i="4"/>
  <c r="X1304" i="4" s="1"/>
  <c r="U95" i="4"/>
  <c r="U217" i="4"/>
  <c r="X217" i="4" s="1"/>
  <c r="I5" i="36" a="1"/>
  <c r="I5" i="36" l="1"/>
  <c r="X89" i="4"/>
  <c r="X1164" i="4"/>
  <c r="X840" i="4"/>
  <c r="X748" i="4"/>
  <c r="X790" i="4"/>
  <c r="X86" i="4"/>
  <c r="X754" i="4"/>
  <c r="X766" i="4"/>
  <c r="X1034" i="4"/>
  <c r="X684" i="4"/>
  <c r="X481" i="4"/>
  <c r="X1012" i="4"/>
  <c r="X92" i="4"/>
  <c r="X690" i="4"/>
  <c r="X620" i="4"/>
  <c r="X193" i="4"/>
  <c r="X896" i="4"/>
  <c r="X939" i="4"/>
  <c r="X593" i="4"/>
  <c r="X739" i="4"/>
  <c r="X619" i="4"/>
  <c r="X860" i="4"/>
  <c r="X317" i="4"/>
  <c r="X675" i="4"/>
  <c r="X144" i="4"/>
  <c r="X390" i="4"/>
  <c r="X357" i="4"/>
  <c r="X1283" i="4"/>
  <c r="X1072" i="4"/>
  <c r="X793" i="4"/>
  <c r="X1290" i="4"/>
  <c r="X1219" i="4"/>
  <c r="X737" i="4"/>
  <c r="X527" i="4"/>
  <c r="X1226" i="4"/>
  <c r="X1155" i="4"/>
  <c r="X1162" i="4"/>
  <c r="X1091" i="4"/>
  <c r="X336" i="4"/>
  <c r="X1098" i="4"/>
  <c r="X960" i="4"/>
  <c r="X122" i="4"/>
  <c r="X272" i="4"/>
  <c r="X218" i="4"/>
  <c r="X346" i="4"/>
  <c r="X782" i="4"/>
  <c r="X359" i="4"/>
  <c r="X215" i="4"/>
  <c r="X546" i="4"/>
  <c r="X95" i="4"/>
  <c r="X208" i="4"/>
  <c r="X282" i="4"/>
  <c r="X875" i="4"/>
  <c r="X1109" i="4"/>
  <c r="X697" i="4"/>
  <c r="X231" i="4"/>
  <c r="X556" i="4"/>
  <c r="X1027" i="4"/>
  <c r="X1292" i="4"/>
  <c r="X378" i="4"/>
  <c r="X52" i="4"/>
  <c r="X100" i="4"/>
  <c r="X474" i="4"/>
  <c r="X96" i="4"/>
  <c r="X235" i="4"/>
  <c r="X18" i="4"/>
  <c r="X15" i="4"/>
  <c r="X383" i="4"/>
  <c r="X113" i="4"/>
  <c r="X250" i="4"/>
  <c r="X36" i="4"/>
  <c r="X301" i="4"/>
  <c r="X295" i="4"/>
  <c r="X155" i="4"/>
  <c r="X130" i="4"/>
  <c r="X245" i="4"/>
  <c r="X157" i="4"/>
  <c r="X63" i="4"/>
  <c r="X12" i="4"/>
  <c r="X931" i="4"/>
  <c r="X740" i="4"/>
  <c r="X646" i="4"/>
  <c r="X414" i="4"/>
  <c r="X81" i="4"/>
  <c r="X1284" i="4"/>
  <c r="X676" i="4"/>
  <c r="X1220" i="4"/>
  <c r="X1275" i="4"/>
  <c r="X223" i="4"/>
  <c r="X328" i="4"/>
  <c r="X888" i="4"/>
  <c r="X1211" i="4"/>
  <c r="X798" i="4"/>
  <c r="X878" i="4"/>
  <c r="X264" i="4"/>
  <c r="X362" i="4"/>
  <c r="X1147" i="4"/>
  <c r="X1026" i="4"/>
  <c r="X733" i="4"/>
  <c r="X746" i="4"/>
  <c r="X200" i="4"/>
  <c r="X1083" i="4"/>
  <c r="X978" i="4"/>
  <c r="X785" i="4"/>
  <c r="X371" i="4"/>
  <c r="X682" i="4"/>
  <c r="X349" i="4"/>
  <c r="X913" i="4"/>
  <c r="X475" i="4"/>
  <c r="X849" i="4"/>
  <c r="X867" i="4"/>
  <c r="X1019" i="4"/>
  <c r="X179" i="4"/>
  <c r="X709" i="4"/>
  <c r="X1282" i="4"/>
  <c r="X1218" i="4"/>
  <c r="X1080" i="4"/>
  <c r="X952" i="4"/>
  <c r="X502" i="4"/>
  <c r="X796" i="4"/>
  <c r="X1154" i="4"/>
  <c r="X778" i="4"/>
  <c r="X368" i="4"/>
  <c r="X1057" i="4"/>
  <c r="X1090" i="4"/>
  <c r="X681" i="4"/>
  <c r="X1000" i="4"/>
  <c r="X84" i="4"/>
  <c r="X107" i="4"/>
  <c r="X1036" i="4"/>
  <c r="X731" i="4"/>
  <c r="X338" i="4"/>
  <c r="X996" i="4"/>
  <c r="X136" i="4"/>
  <c r="X721" i="4"/>
  <c r="X578" i="4"/>
  <c r="X647" i="4"/>
  <c r="X71" i="4"/>
  <c r="X28" i="4"/>
  <c r="X131" i="4"/>
  <c r="X123" i="4"/>
  <c r="X24" i="4"/>
  <c r="X94" i="4"/>
  <c r="X289" i="4"/>
  <c r="X305" i="4"/>
  <c r="X39" i="4"/>
  <c r="I6" i="36"/>
  <c r="X162" i="4"/>
  <c r="X1179" i="4"/>
  <c r="X467" i="4"/>
  <c r="X945" i="4"/>
  <c r="X429" i="4"/>
  <c r="X987" i="4"/>
  <c r="X470" i="4"/>
  <c r="X408" i="4"/>
  <c r="X472" i="4"/>
  <c r="X48" i="4"/>
  <c r="X1293" i="4"/>
  <c r="X758" i="4"/>
  <c r="X856" i="4"/>
  <c r="X435" i="4"/>
  <c r="X606" i="4"/>
  <c r="X920" i="4"/>
  <c r="X490" i="4"/>
  <c r="X1160" i="4"/>
  <c r="X519" i="4"/>
  <c r="X1152" i="4"/>
  <c r="X1069" i="4"/>
  <c r="X800" i="4"/>
  <c r="X603" i="4"/>
  <c r="X1096" i="4"/>
  <c r="X983" i="4"/>
  <c r="X178" i="4"/>
  <c r="X1261" i="4"/>
  <c r="X817" i="4"/>
  <c r="X438" i="4"/>
  <c r="X714" i="4"/>
  <c r="X1197" i="4"/>
  <c r="X587" i="4"/>
  <c r="X975" i="4"/>
  <c r="X621" i="4"/>
  <c r="X622" i="4"/>
  <c r="X1271" i="4"/>
  <c r="X994" i="4"/>
  <c r="X618" i="4"/>
  <c r="X421" i="4"/>
  <c r="X360" i="4"/>
  <c r="X1207" i="4"/>
  <c r="X1129" i="4"/>
  <c r="X582" i="4"/>
  <c r="X164" i="4"/>
  <c r="X145" i="4"/>
  <c r="X1301" i="4"/>
  <c r="X923" i="4"/>
  <c r="X520" i="4"/>
  <c r="X398" i="4"/>
  <c r="X1120" i="4"/>
  <c r="X986" i="4"/>
  <c r="X850" i="4"/>
  <c r="X348" i="4"/>
  <c r="X391" i="4"/>
  <c r="X375" i="4"/>
  <c r="X296" i="4"/>
  <c r="X1143" i="4"/>
  <c r="X644" i="4"/>
  <c r="X899" i="4"/>
  <c r="X1051" i="4"/>
  <c r="X461" i="4"/>
  <c r="X319" i="4"/>
  <c r="X802" i="4"/>
  <c r="X232" i="4"/>
  <c r="X1079" i="4"/>
  <c r="X1161" i="4"/>
  <c r="X281" i="4"/>
  <c r="X255" i="4"/>
  <c r="X168" i="4"/>
  <c r="X516" i="4"/>
  <c r="X1307" i="4"/>
  <c r="X1198" i="4"/>
  <c r="X874" i="4"/>
  <c r="X708" i="4"/>
  <c r="X1243" i="4"/>
  <c r="X121" i="4"/>
  <c r="X1141" i="4"/>
  <c r="X642" i="4"/>
  <c r="X228" i="4"/>
  <c r="X174" i="4"/>
  <c r="X1130" i="4"/>
  <c r="X656" i="4"/>
  <c r="X590" i="4"/>
  <c r="X380" i="4"/>
  <c r="X1184" i="4"/>
  <c r="X977" i="4"/>
  <c r="X775" i="4"/>
  <c r="X633" i="4"/>
  <c r="X333" i="4"/>
  <c r="X487" i="4"/>
  <c r="X853" i="4"/>
  <c r="X1133" i="4"/>
  <c r="X382" i="4"/>
  <c r="X729" i="4"/>
  <c r="X1286" i="4"/>
  <c r="X105" i="4"/>
  <c r="X1021" i="4"/>
  <c r="X568" i="4"/>
  <c r="X459" i="4"/>
  <c r="X56" i="4"/>
  <c r="X1237" i="4"/>
  <c r="X863" i="4"/>
  <c r="X495" i="4"/>
  <c r="X393" i="4"/>
  <c r="X1056" i="4"/>
  <c r="X928" i="4"/>
  <c r="X963" i="4"/>
  <c r="X284" i="4"/>
  <c r="X190" i="4"/>
  <c r="X870" i="4"/>
  <c r="X76" i="4"/>
  <c r="X683" i="4"/>
  <c r="X522" i="4"/>
  <c r="X1195" i="4"/>
  <c r="X1222" i="4"/>
  <c r="X745" i="4"/>
  <c r="X169" i="4"/>
  <c r="X538" i="4"/>
  <c r="X372" i="4"/>
  <c r="X205" i="4"/>
  <c r="X1173" i="4"/>
  <c r="X755" i="4"/>
  <c r="X645" i="4"/>
  <c r="X306" i="4"/>
  <c r="X1263" i="4"/>
  <c r="X1038" i="4"/>
  <c r="X596" i="4"/>
  <c r="X220" i="4"/>
  <c r="X159" i="4"/>
  <c r="X742" i="4"/>
  <c r="X1308" i="4"/>
  <c r="X548" i="4"/>
  <c r="X329" i="4"/>
  <c r="X1049" i="4"/>
  <c r="X361" i="4"/>
  <c r="X1158" i="4"/>
  <c r="X1148" i="4"/>
  <c r="X750" i="4"/>
  <c r="X379" i="4"/>
  <c r="X1262" i="4"/>
  <c r="X935" i="4"/>
  <c r="X452" i="4"/>
  <c r="X351" i="4"/>
  <c r="X195" i="4"/>
  <c r="X1097" i="4"/>
  <c r="X842" i="4"/>
  <c r="X545" i="4"/>
  <c r="X242" i="4"/>
  <c r="X1199" i="4"/>
  <c r="X1066" i="4"/>
  <c r="X564" i="4"/>
  <c r="X156" i="4"/>
  <c r="X72" i="4"/>
  <c r="X384" i="4"/>
  <c r="X917" i="4"/>
  <c r="X197" i="4"/>
  <c r="X547" i="4"/>
  <c r="X1250" i="4"/>
  <c r="X1094" i="4"/>
  <c r="X956" i="4"/>
  <c r="X724" i="4"/>
  <c r="X572" i="4"/>
  <c r="X287" i="4"/>
  <c r="X83" i="4"/>
  <c r="X925" i="4"/>
  <c r="X797" i="4"/>
  <c r="X625" i="4"/>
  <c r="X462" i="4"/>
  <c r="X1135" i="4"/>
  <c r="X1010" i="4"/>
  <c r="X534" i="4"/>
  <c r="X449" i="4"/>
  <c r="X1122" i="4"/>
  <c r="X1046" i="4"/>
  <c r="X763" i="4"/>
  <c r="X152" i="4"/>
  <c r="X848" i="4"/>
  <c r="X839" i="4"/>
  <c r="X269" i="4"/>
  <c r="X353" i="4"/>
  <c r="X366" i="4"/>
  <c r="X1134" i="4"/>
  <c r="X660" i="4"/>
  <c r="X599" i="4"/>
  <c r="X569" i="4"/>
  <c r="X1252" i="4"/>
  <c r="X861" i="4"/>
  <c r="X887" i="4"/>
  <c r="X699" i="4"/>
  <c r="X498" i="4"/>
  <c r="X1071" i="4"/>
  <c r="X980" i="4"/>
  <c r="X508" i="4"/>
  <c r="X610" i="4"/>
  <c r="X648" i="4"/>
  <c r="X806" i="4"/>
  <c r="X602" i="4"/>
  <c r="X1259" i="4"/>
  <c r="X440" i="4"/>
  <c r="X342" i="4"/>
  <c r="X1001" i="4"/>
  <c r="X753" i="4"/>
  <c r="X355" i="4"/>
  <c r="X1305" i="4"/>
  <c r="X959" i="4"/>
  <c r="X533" i="4"/>
  <c r="X407" i="4"/>
  <c r="X1188" i="4"/>
  <c r="X1063" i="4"/>
  <c r="X792" i="4"/>
  <c r="X624" i="4"/>
  <c r="X337" i="4"/>
  <c r="X1254" i="4"/>
  <c r="X864" i="4"/>
  <c r="X444" i="4"/>
  <c r="X343" i="4"/>
  <c r="X563" i="4"/>
  <c r="X515" i="4"/>
  <c r="X451" i="4"/>
  <c r="X1033" i="4"/>
  <c r="X91" i="4"/>
  <c r="X339" i="4"/>
  <c r="X1041" i="4"/>
  <c r="X735" i="4"/>
  <c r="X1030" i="4"/>
  <c r="X278" i="4"/>
  <c r="X689" i="4"/>
  <c r="X140" i="4"/>
  <c r="X291" i="4"/>
  <c r="X1241" i="4"/>
  <c r="X890" i="4"/>
  <c r="X499" i="4"/>
  <c r="X402" i="4"/>
  <c r="X1124" i="4"/>
  <c r="X992" i="4"/>
  <c r="X855" i="4"/>
  <c r="X352" i="4"/>
  <c r="X400" i="4"/>
  <c r="X1190" i="4"/>
  <c r="X716" i="4"/>
  <c r="X542" i="4"/>
  <c r="X279" i="4"/>
  <c r="X566" i="4"/>
  <c r="X234" i="4"/>
  <c r="X560" i="4"/>
  <c r="X1067" i="4"/>
  <c r="X616" i="4"/>
  <c r="X830" i="4"/>
  <c r="X227" i="4"/>
  <c r="X1177" i="4"/>
  <c r="X772" i="4"/>
  <c r="X650" i="4"/>
  <c r="X310" i="4"/>
  <c r="X1060" i="4"/>
  <c r="X932" i="4"/>
  <c r="X787" i="4"/>
  <c r="X288" i="4"/>
  <c r="X229" i="4"/>
  <c r="X1126" i="4"/>
  <c r="X652" i="4"/>
  <c r="X581" i="4"/>
  <c r="X363" i="4"/>
  <c r="X211" i="4"/>
  <c r="X1165" i="4"/>
  <c r="X216" i="4"/>
  <c r="X962" i="4"/>
  <c r="X529" i="4"/>
  <c r="X501" i="4"/>
  <c r="X570" i="4"/>
  <c r="X1288" i="4"/>
  <c r="X1279" i="4"/>
  <c r="X154" i="4"/>
  <c r="X79" i="4"/>
  <c r="X988" i="4"/>
  <c r="X882" i="4"/>
  <c r="X562" i="4"/>
  <c r="X246" i="4"/>
  <c r="X1267" i="4"/>
  <c r="X1093" i="4"/>
  <c r="X628" i="4"/>
  <c r="X224" i="4"/>
  <c r="X185" i="4"/>
  <c r="X1297" i="4"/>
  <c r="X876" i="4"/>
  <c r="X808" i="4"/>
  <c r="X389" i="4"/>
  <c r="X747" i="4"/>
  <c r="X504" i="4"/>
  <c r="X1224" i="4"/>
  <c r="X744" i="4"/>
  <c r="X1215" i="4"/>
  <c r="X241" i="4"/>
  <c r="X929" i="4"/>
  <c r="X810" i="4"/>
  <c r="X634" i="4"/>
  <c r="X514" i="4"/>
  <c r="X1203" i="4"/>
  <c r="X1101" i="4"/>
  <c r="X573" i="4"/>
  <c r="X160" i="4"/>
  <c r="X68" i="4"/>
  <c r="X1233" i="4"/>
  <c r="X858" i="4"/>
  <c r="X491" i="4"/>
  <c r="X388" i="4"/>
  <c r="X580" i="4"/>
  <c r="X1052" i="4"/>
  <c r="X1131" i="4"/>
  <c r="X583" i="4"/>
  <c r="X826" i="4"/>
  <c r="X680" i="4"/>
  <c r="X1151" i="4"/>
  <c r="X789" i="4"/>
  <c r="X1256" i="4"/>
  <c r="X865" i="4"/>
  <c r="X942" i="4"/>
  <c r="X738" i="4"/>
  <c r="X523" i="4"/>
  <c r="X1139" i="4"/>
  <c r="X1016" i="4"/>
  <c r="X551" i="4"/>
  <c r="X454" i="4"/>
  <c r="X202" i="4"/>
  <c r="X1169" i="4"/>
  <c r="X751" i="4"/>
  <c r="X612" i="4"/>
  <c r="X302" i="4"/>
  <c r="X298" i="4"/>
  <c r="X1116" i="4"/>
  <c r="X924" i="4"/>
  <c r="X1005" i="4"/>
  <c r="X332" i="4"/>
  <c r="X686" i="4"/>
  <c r="X671" i="4"/>
  <c r="X1087" i="4"/>
  <c r="X158" i="4"/>
  <c r="X1192" i="4"/>
  <c r="X1105" i="4"/>
  <c r="X809" i="4"/>
  <c r="X654" i="4"/>
  <c r="X341" i="4"/>
  <c r="X1075" i="4"/>
  <c r="X1031" i="4"/>
  <c r="X521" i="4"/>
  <c r="X706" i="4"/>
  <c r="X87" i="4"/>
  <c r="X1070" i="4"/>
  <c r="X823" i="4"/>
  <c r="X532" i="4"/>
  <c r="X238" i="4"/>
  <c r="X88" i="4"/>
  <c r="X1113" i="4"/>
  <c r="X950" i="4"/>
  <c r="X517" i="4"/>
  <c r="X892" i="4"/>
  <c r="X268" i="4"/>
  <c r="X871" i="4"/>
  <c r="X552" i="4"/>
  <c r="X1023" i="4"/>
  <c r="X1128" i="4"/>
  <c r="X997" i="4"/>
  <c r="X894" i="4"/>
  <c r="X356" i="4"/>
  <c r="X405" i="4"/>
  <c r="X1258" i="4"/>
  <c r="X915" i="4"/>
  <c r="X448" i="4"/>
  <c r="X347" i="4"/>
  <c r="X1312" i="4"/>
  <c r="X921" i="4"/>
  <c r="X780" i="4"/>
  <c r="X611" i="4"/>
  <c r="X457" i="4"/>
  <c r="X1229" i="4"/>
  <c r="X835" i="4"/>
  <c r="X280" i="4"/>
  <c r="X443" i="4"/>
  <c r="X204" i="4"/>
  <c r="X463" i="4"/>
  <c r="X381" i="4"/>
  <c r="X1064" i="4"/>
  <c r="X936" i="4"/>
  <c r="X804" i="4"/>
  <c r="X292" i="4"/>
  <c r="X210" i="4"/>
  <c r="X1194" i="4"/>
  <c r="X720" i="4"/>
  <c r="X559" i="4"/>
  <c r="X283" i="4"/>
  <c r="X1248" i="4"/>
  <c r="X857" i="4"/>
  <c r="X880" i="4"/>
  <c r="X691" i="4"/>
  <c r="X370" i="4"/>
  <c r="X815" i="4"/>
  <c r="X1244" i="4"/>
  <c r="X1180" i="4"/>
  <c r="X344" i="4"/>
  <c r="Y41" i="4"/>
  <c r="Y17" i="4"/>
  <c r="Y86" i="4"/>
  <c r="Y1195" i="4"/>
  <c r="Y1190" i="4"/>
  <c r="Y1192" i="4"/>
  <c r="Y1265" i="4"/>
  <c r="Y1009" i="4"/>
  <c r="Y1114" i="4"/>
  <c r="Y1155" i="4"/>
  <c r="Y1260" i="4"/>
  <c r="Y1004" i="4"/>
  <c r="Y1109" i="4"/>
  <c r="Y1223" i="4"/>
  <c r="Y967" i="4"/>
  <c r="Y1081" i="4"/>
  <c r="Y1170" i="4"/>
  <c r="Y1182" i="4"/>
  <c r="Y834" i="4"/>
  <c r="Y1088" i="4"/>
  <c r="Y731" i="4"/>
  <c r="Y804" i="4"/>
  <c r="Y976" i="4"/>
  <c r="Y717" i="4"/>
  <c r="Y902" i="4"/>
  <c r="Y1197" i="4"/>
  <c r="Y815" i="4"/>
  <c r="Y904" i="4"/>
  <c r="Y1215" i="4"/>
  <c r="Y817" i="4"/>
  <c r="Y890" i="4"/>
  <c r="Y1165" i="4"/>
  <c r="Y835" i="4"/>
  <c r="Y940" i="4"/>
  <c r="Y1248" i="4"/>
  <c r="Y905" i="4"/>
  <c r="Y657" i="4"/>
  <c r="Y401" i="4"/>
  <c r="Y650" i="4"/>
  <c r="Y394" i="4"/>
  <c r="Y1108" i="4"/>
  <c r="Y572" i="4"/>
  <c r="Y992" i="4"/>
  <c r="Y501" i="4"/>
  <c r="Y622" i="4"/>
  <c r="Y871" i="4"/>
  <c r="Y471" i="4"/>
  <c r="Y691" i="4"/>
  <c r="Y1133" i="4"/>
  <c r="Y505" i="4"/>
  <c r="Y562" i="4"/>
  <c r="Y273" i="4"/>
  <c r="Y39" i="4"/>
  <c r="Y99" i="4"/>
  <c r="Y408" i="4"/>
  <c r="Y18" i="4"/>
  <c r="Y108" i="4"/>
  <c r="Y51" i="4"/>
  <c r="Y241" i="4"/>
  <c r="Y14" i="4"/>
  <c r="Y28" i="4"/>
  <c r="Y200" i="4"/>
  <c r="Y1062" i="4"/>
  <c r="Y1048" i="4"/>
  <c r="Y1105" i="4"/>
  <c r="Y1194" i="4"/>
  <c r="Y1219" i="4"/>
  <c r="Y1308" i="4"/>
  <c r="Y1036" i="4"/>
  <c r="Y1125" i="4"/>
  <c r="Y1207" i="4"/>
  <c r="Y1305" i="4"/>
  <c r="Y1033" i="4"/>
  <c r="Y1106" i="4"/>
  <c r="Y1003" i="4"/>
  <c r="Y738" i="4"/>
  <c r="Y875" i="4"/>
  <c r="Y932" i="4"/>
  <c r="Y1213" i="4"/>
  <c r="Y813" i="4"/>
  <c r="Y1014" i="4"/>
  <c r="Y710" i="4"/>
  <c r="Y863" i="4"/>
  <c r="Y936" i="4"/>
  <c r="Y1268" i="4"/>
  <c r="Y801" i="4"/>
  <c r="Y858" i="4"/>
  <c r="Y1071" i="4"/>
  <c r="Y771" i="4"/>
  <c r="Y860" i="4"/>
  <c r="Y1151" i="4"/>
  <c r="Y793" i="4"/>
  <c r="Y529" i="4"/>
  <c r="Y798" i="4"/>
  <c r="Y490" i="4"/>
  <c r="Y627" i="4"/>
  <c r="Y636" i="4"/>
  <c r="Y1277" i="4"/>
  <c r="Y533" i="4"/>
  <c r="Y638" i="4"/>
  <c r="Y807" i="4"/>
  <c r="Y439" i="4"/>
  <c r="Y640" i="4"/>
  <c r="Y686" i="4"/>
  <c r="Y894" i="4"/>
  <c r="Y466" i="4"/>
  <c r="Y571" i="4"/>
  <c r="Y853" i="4"/>
  <c r="Y516" i="4"/>
  <c r="Y616" i="4"/>
  <c r="Y438" i="4"/>
  <c r="Y165" i="4"/>
  <c r="Y302" i="4"/>
  <c r="Y1083" i="4"/>
  <c r="Y263" i="4"/>
  <c r="Y477" i="4"/>
  <c r="Y192" i="4"/>
  <c r="Y415" i="4"/>
  <c r="Y153" i="4"/>
  <c r="Y242" i="4"/>
  <c r="Y582" i="4"/>
  <c r="Y299" i="4"/>
  <c r="Y434" i="4"/>
  <c r="Y132" i="4"/>
  <c r="Y301" i="4"/>
  <c r="Y431" i="4"/>
  <c r="Y166" i="4"/>
  <c r="Y255" i="4"/>
  <c r="Y598" i="4"/>
  <c r="Y186" i="4"/>
  <c r="Y399" i="4"/>
  <c r="Y156" i="4"/>
  <c r="Y257" i="4"/>
  <c r="Y124" i="4"/>
  <c r="Y36" i="4"/>
  <c r="Y356" i="4"/>
  <c r="Y26" i="4"/>
  <c r="Y163" i="4"/>
  <c r="Y345" i="4"/>
  <c r="Y122" i="4"/>
  <c r="Y52" i="4"/>
  <c r="Y47" i="4"/>
  <c r="Y526" i="4"/>
  <c r="Y933" i="4"/>
  <c r="Y69" i="4"/>
  <c r="Y467" i="4"/>
  <c r="Y352" i="4"/>
  <c r="Y839" i="4"/>
  <c r="Y203" i="4"/>
  <c r="Y205" i="4"/>
  <c r="Y159" i="4"/>
  <c r="Y323" i="4"/>
  <c r="Y775" i="4"/>
  <c r="Y360" i="4"/>
  <c r="Y30" i="4"/>
  <c r="Y21" i="4"/>
  <c r="Y44" i="4"/>
  <c r="Y337" i="4"/>
  <c r="Y1304" i="4"/>
  <c r="Y1032" i="4"/>
  <c r="Y1089" i="4"/>
  <c r="Y1178" i="4"/>
  <c r="Y1203" i="4"/>
  <c r="Y1292" i="4"/>
  <c r="Y1020" i="4"/>
  <c r="Y1093" i="4"/>
  <c r="Y1191" i="4"/>
  <c r="Y1289" i="4"/>
  <c r="Y1017" i="4"/>
  <c r="Y1090" i="4"/>
  <c r="Y971" i="4"/>
  <c r="Y722" i="4"/>
  <c r="Y859" i="4"/>
  <c r="Y916" i="4"/>
  <c r="Y1200" i="4"/>
  <c r="Y797" i="4"/>
  <c r="Y982" i="4"/>
  <c r="Y1312" i="4"/>
  <c r="Y847" i="4"/>
  <c r="Y920" i="4"/>
  <c r="Y1181" i="4"/>
  <c r="Y785" i="4"/>
  <c r="Y842" i="4"/>
  <c r="Y1028" i="4"/>
  <c r="Y755" i="4"/>
  <c r="Y844" i="4"/>
  <c r="Y1117" i="4"/>
  <c r="Y777" i="4"/>
  <c r="Y513" i="4"/>
  <c r="Y745" i="4"/>
  <c r="Y474" i="4"/>
  <c r="Y611" i="4"/>
  <c r="Y620" i="4"/>
  <c r="Y1167" i="4"/>
  <c r="Y517" i="4"/>
  <c r="Y606" i="4"/>
  <c r="Y757" i="4"/>
  <c r="Y423" i="4"/>
  <c r="Y624" i="4"/>
  <c r="Y681" i="4"/>
  <c r="Y830" i="4"/>
  <c r="Y1264" i="4"/>
  <c r="Y555" i="4"/>
  <c r="Y816" i="4"/>
  <c r="Y500" i="4"/>
  <c r="Y600" i="4"/>
  <c r="Y435" i="4"/>
  <c r="Y149" i="4"/>
  <c r="Y286" i="4"/>
  <c r="Y653" i="4"/>
  <c r="Y247" i="4"/>
  <c r="Y450" i="4"/>
  <c r="Y176" i="4"/>
  <c r="Y409" i="4"/>
  <c r="Y137" i="4"/>
  <c r="Y226" i="4"/>
  <c r="Y575" i="4"/>
  <c r="Y283" i="4"/>
  <c r="Y372" i="4"/>
  <c r="Y116" i="4"/>
  <c r="Y285" i="4"/>
  <c r="Y425" i="4"/>
  <c r="Y150" i="4"/>
  <c r="Y239" i="4"/>
  <c r="Y591" i="4"/>
  <c r="Y170" i="4"/>
  <c r="Y393" i="4"/>
  <c r="Y140" i="4"/>
  <c r="Y355" i="4"/>
  <c r="Y131" i="4"/>
  <c r="Y53" i="4"/>
  <c r="Y121" i="4"/>
  <c r="Y154" i="4"/>
  <c r="Y152" i="4"/>
  <c r="Y89" i="4"/>
  <c r="Y358" i="4"/>
  <c r="Y191" i="4"/>
  <c r="Y378" i="4"/>
  <c r="Y348" i="4"/>
  <c r="Y31" i="4"/>
  <c r="Y700" i="4"/>
  <c r="Y321" i="4"/>
  <c r="Y221" i="4"/>
  <c r="Y623" i="4"/>
  <c r="Y216" i="4"/>
  <c r="Y49" i="4"/>
  <c r="Y1302" i="4"/>
  <c r="Y1288" i="4"/>
  <c r="Y1016" i="4"/>
  <c r="Y1073" i="4"/>
  <c r="Y1162" i="4"/>
  <c r="Y1187" i="4"/>
  <c r="Y1276" i="4"/>
  <c r="Y988" i="4"/>
  <c r="Y1077" i="4"/>
  <c r="Y1175" i="4"/>
  <c r="Y1273" i="4"/>
  <c r="Y1001" i="4"/>
  <c r="Y1074" i="4"/>
  <c r="Y957" i="4"/>
  <c r="Y706" i="4"/>
  <c r="Y843" i="4"/>
  <c r="Y900" i="4"/>
  <c r="Y1172" i="4"/>
  <c r="Y781" i="4"/>
  <c r="Y959" i="4"/>
  <c r="Y1284" i="4"/>
  <c r="Y831" i="4"/>
  <c r="Y888" i="4"/>
  <c r="Y1168" i="4"/>
  <c r="Y769" i="4"/>
  <c r="Y826" i="4"/>
  <c r="Y1022" i="4"/>
  <c r="Y739" i="4"/>
  <c r="Y828" i="4"/>
  <c r="Y1104" i="4"/>
  <c r="Y1183" i="4"/>
  <c r="Y497" i="4"/>
  <c r="Y716" i="4"/>
  <c r="Y458" i="4"/>
  <c r="Y595" i="4"/>
  <c r="Y604" i="4"/>
  <c r="Y1055" i="4"/>
  <c r="Y485" i="4"/>
  <c r="Y590" i="4"/>
  <c r="Y679" i="4"/>
  <c r="Y407" i="4"/>
  <c r="Y608" i="4"/>
  <c r="Y665" i="4"/>
  <c r="Y750" i="4"/>
  <c r="Y1211" i="4"/>
  <c r="Y539" i="4"/>
  <c r="Y789" i="4"/>
  <c r="Y484" i="4"/>
  <c r="Y584" i="4"/>
  <c r="Y424" i="4"/>
  <c r="Y133" i="4"/>
  <c r="Y270" i="4"/>
  <c r="Y646" i="4"/>
  <c r="Y231" i="4"/>
  <c r="Y447" i="4"/>
  <c r="Y160" i="4"/>
  <c r="Y377" i="4"/>
  <c r="Y210" i="4"/>
  <c r="Y547" i="4"/>
  <c r="Y267" i="4"/>
  <c r="Y100" i="4"/>
  <c r="Y269" i="4"/>
  <c r="Y397" i="4"/>
  <c r="Y134" i="4"/>
  <c r="Y223" i="4"/>
  <c r="Y416" i="4"/>
  <c r="Y380" i="4"/>
  <c r="Y376" i="4"/>
  <c r="Y483" i="4"/>
  <c r="Y362" i="4"/>
  <c r="Y544" i="4"/>
  <c r="Y29" i="4"/>
  <c r="Y1221" i="4"/>
  <c r="Y34" i="4"/>
  <c r="Y422" i="4"/>
  <c r="Y65" i="4"/>
  <c r="Y1286" i="4"/>
  <c r="Y1272" i="4"/>
  <c r="Y1000" i="4"/>
  <c r="Y1057" i="4"/>
  <c r="Y1146" i="4"/>
  <c r="Y1171" i="4"/>
  <c r="Y1244" i="4"/>
  <c r="Y972" i="4"/>
  <c r="Y1061" i="4"/>
  <c r="Y1159" i="4"/>
  <c r="Y1257" i="4"/>
  <c r="Y985" i="4"/>
  <c r="Y1058" i="4"/>
  <c r="Y954" i="4"/>
  <c r="Y690" i="4"/>
  <c r="Y827" i="4"/>
  <c r="Y884" i="4"/>
  <c r="Y1119" i="4"/>
  <c r="Y765" i="4"/>
  <c r="Y934" i="4"/>
  <c r="Y1231" i="4"/>
  <c r="Y799" i="4"/>
  <c r="Y872" i="4"/>
  <c r="Y1140" i="4"/>
  <c r="Y753" i="4"/>
  <c r="Y810" i="4"/>
  <c r="Y1019" i="4"/>
  <c r="Y723" i="4"/>
  <c r="Y812" i="4"/>
  <c r="Y1076" i="4"/>
  <c r="Y986" i="4"/>
  <c r="Y481" i="4"/>
  <c r="Y697" i="4"/>
  <c r="Y442" i="4"/>
  <c r="Y579" i="4"/>
  <c r="Y588" i="4"/>
  <c r="Y725" i="4"/>
  <c r="Y469" i="4"/>
  <c r="Y574" i="4"/>
  <c r="Y663" i="4"/>
  <c r="Y391" i="4"/>
  <c r="Y592" i="4"/>
  <c r="Y649" i="4"/>
  <c r="Y709" i="4"/>
  <c r="Y1024" i="4"/>
  <c r="Y523" i="4"/>
  <c r="Y727" i="4"/>
  <c r="Y468" i="4"/>
  <c r="Y568" i="4"/>
  <c r="Y373" i="4"/>
  <c r="Y117" i="4"/>
  <c r="Y254" i="4"/>
  <c r="Y639" i="4"/>
  <c r="Y215" i="4"/>
  <c r="Y429" i="4"/>
  <c r="Y144" i="4"/>
  <c r="Y361" i="4"/>
  <c r="Y105" i="4"/>
  <c r="Y194" i="4"/>
  <c r="Y527" i="4"/>
  <c r="Y251" i="4"/>
  <c r="Y340" i="4"/>
  <c r="Y84" i="4"/>
  <c r="Y253" i="4"/>
  <c r="Y374" i="4"/>
  <c r="Y118" i="4"/>
  <c r="Y207" i="4"/>
  <c r="Y402" i="4"/>
  <c r="Y138" i="4"/>
  <c r="Y364" i="4"/>
  <c r="Y42" i="4"/>
  <c r="Y15" i="4"/>
  <c r="Y289" i="4"/>
  <c r="Y184" i="4"/>
  <c r="Y452" i="4"/>
  <c r="Y237" i="4"/>
  <c r="Y342" i="4"/>
  <c r="Y225" i="4"/>
  <c r="Y13" i="4"/>
  <c r="Y630" i="4"/>
  <c r="Y421" i="4"/>
  <c r="Y520" i="4"/>
  <c r="Y206" i="4"/>
  <c r="Y167" i="4"/>
  <c r="Y96" i="4"/>
  <c r="Y146" i="4"/>
  <c r="Y440" i="4"/>
  <c r="Y292" i="4"/>
  <c r="Y557" i="4"/>
  <c r="Y326" i="4"/>
  <c r="Y346" i="4"/>
  <c r="Y316" i="4"/>
  <c r="Y81" i="4"/>
  <c r="Y115" i="4"/>
  <c r="Y353" i="4"/>
  <c r="Y74" i="4"/>
  <c r="Y1270" i="4"/>
  <c r="Y1256" i="4"/>
  <c r="Y984" i="4"/>
  <c r="Y1041" i="4"/>
  <c r="Y1130" i="4"/>
  <c r="Y1139" i="4"/>
  <c r="Y1228" i="4"/>
  <c r="Y956" i="4"/>
  <c r="Y1045" i="4"/>
  <c r="Y1143" i="4"/>
  <c r="Y1241" i="4"/>
  <c r="Y969" i="4"/>
  <c r="Y1042" i="4"/>
  <c r="Y946" i="4"/>
  <c r="Y1263" i="4"/>
  <c r="Y811" i="4"/>
  <c r="Y868" i="4"/>
  <c r="Y1085" i="4"/>
  <c r="Y749" i="4"/>
  <c r="Y918" i="4"/>
  <c r="Y1184" i="4"/>
  <c r="Y783" i="4"/>
  <c r="Y856" i="4"/>
  <c r="Y1087" i="4"/>
  <c r="Y737" i="4"/>
  <c r="Y794" i="4"/>
  <c r="Y958" i="4"/>
  <c r="Y1230" i="4"/>
  <c r="Y796" i="4"/>
  <c r="Y1039" i="4"/>
  <c r="Y768" i="4"/>
  <c r="Y465" i="4"/>
  <c r="Y687" i="4"/>
  <c r="Y426" i="4"/>
  <c r="Y563" i="4"/>
  <c r="Y556" i="4"/>
  <c r="Y694" i="4"/>
  <c r="Y453" i="4"/>
  <c r="Y558" i="4"/>
  <c r="Y647" i="4"/>
  <c r="Y1092" i="4"/>
  <c r="Y576" i="4"/>
  <c r="Y633" i="4"/>
  <c r="Y674" i="4"/>
  <c r="Y998" i="4"/>
  <c r="Y507" i="4"/>
  <c r="Y693" i="4"/>
  <c r="Y552" i="4"/>
  <c r="Y357" i="4"/>
  <c r="Y101" i="4"/>
  <c r="Y238" i="4"/>
  <c r="Y531" i="4"/>
  <c r="Y199" i="4"/>
  <c r="Y384" i="4"/>
  <c r="Y128" i="4"/>
  <c r="Y178" i="4"/>
  <c r="Y235" i="4"/>
  <c r="Y324" i="4"/>
  <c r="Y68" i="4"/>
  <c r="Y102" i="4"/>
  <c r="Y93" i="4"/>
  <c r="Y332" i="4"/>
  <c r="Y601" i="4"/>
  <c r="Y90" i="4"/>
  <c r="Y1290" i="4"/>
  <c r="Y339" i="4"/>
  <c r="Y903" i="4"/>
  <c r="Y32" i="4"/>
  <c r="Y193" i="4"/>
  <c r="Y1254" i="4"/>
  <c r="Y1240" i="4"/>
  <c r="Y1297" i="4"/>
  <c r="Y1025" i="4"/>
  <c r="Y1098" i="4"/>
  <c r="Y1123" i="4"/>
  <c r="Y1212" i="4"/>
  <c r="Y1301" i="4"/>
  <c r="Y1029" i="4"/>
  <c r="Y1127" i="4"/>
  <c r="Y1225" i="4"/>
  <c r="Y1298" i="4"/>
  <c r="Y1026" i="4"/>
  <c r="Y930" i="4"/>
  <c r="Y1229" i="4"/>
  <c r="Y795" i="4"/>
  <c r="Y852" i="4"/>
  <c r="Y1072" i="4"/>
  <c r="Y733" i="4"/>
  <c r="Y886" i="4"/>
  <c r="Y1156" i="4"/>
  <c r="Y767" i="4"/>
  <c r="Y840" i="4"/>
  <c r="Y1053" i="4"/>
  <c r="Y721" i="4"/>
  <c r="Y778" i="4"/>
  <c r="Y950" i="4"/>
  <c r="Y1227" i="4"/>
  <c r="Y780" i="4"/>
  <c r="Y1030" i="4"/>
  <c r="Y729" i="4"/>
  <c r="Y449" i="4"/>
  <c r="Y682" i="4"/>
  <c r="Y410" i="4"/>
  <c r="Y989" i="4"/>
  <c r="Y540" i="4"/>
  <c r="Y689" i="4"/>
  <c r="Y437" i="4"/>
  <c r="Y542" i="4"/>
  <c r="Y631" i="4"/>
  <c r="Y952" i="4"/>
  <c r="Y560" i="4"/>
  <c r="Y617" i="4"/>
  <c r="Y658" i="4"/>
  <c r="Y887" i="4"/>
  <c r="Y491" i="4"/>
  <c r="Y688" i="4"/>
  <c r="Y1120" i="4"/>
  <c r="Y536" i="4"/>
  <c r="Y341" i="4"/>
  <c r="Y85" i="4"/>
  <c r="Y222" i="4"/>
  <c r="Y511" i="4"/>
  <c r="Y183" i="4"/>
  <c r="Y368" i="4"/>
  <c r="Y112" i="4"/>
  <c r="Y329" i="4"/>
  <c r="Y73" i="4"/>
  <c r="Y162" i="4"/>
  <c r="Y463" i="4"/>
  <c r="Y219" i="4"/>
  <c r="Y308" i="4"/>
  <c r="Y543" i="4"/>
  <c r="Y175" i="4"/>
  <c r="Y106" i="4"/>
  <c r="Y642" i="4"/>
  <c r="Y499" i="4"/>
  <c r="Y1158" i="4"/>
  <c r="Y56" i="4"/>
  <c r="Y16" i="4"/>
  <c r="Y70" i="4"/>
  <c r="Y291" i="4"/>
  <c r="Y1238" i="4"/>
  <c r="Y1224" i="4"/>
  <c r="Y1281" i="4"/>
  <c r="Y993" i="4"/>
  <c r="Y1082" i="4"/>
  <c r="Y1107" i="4"/>
  <c r="Y1196" i="4"/>
  <c r="Y1285" i="4"/>
  <c r="Y1013" i="4"/>
  <c r="Y1111" i="4"/>
  <c r="Y1209" i="4"/>
  <c r="Y1282" i="4"/>
  <c r="Y1010" i="4"/>
  <c r="Y914" i="4"/>
  <c r="Y1216" i="4"/>
  <c r="Y779" i="4"/>
  <c r="Y836" i="4"/>
  <c r="Y1008" i="4"/>
  <c r="Y701" i="4"/>
  <c r="Y870" i="4"/>
  <c r="Y1103" i="4"/>
  <c r="Y751" i="4"/>
  <c r="Y824" i="4"/>
  <c r="Y990" i="4"/>
  <c r="Y1246" i="4"/>
  <c r="Y762" i="4"/>
  <c r="Y947" i="4"/>
  <c r="Y1102" i="4"/>
  <c r="Y764" i="4"/>
  <c r="Y1006" i="4"/>
  <c r="Y705" i="4"/>
  <c r="Y433" i="4"/>
  <c r="Y666" i="4"/>
  <c r="Y1067" i="4"/>
  <c r="Y960" i="4"/>
  <c r="Y524" i="4"/>
  <c r="Y684" i="4"/>
  <c r="Y928" i="4"/>
  <c r="Y823" i="4"/>
  <c r="Y475" i="4"/>
  <c r="Y676" i="4"/>
  <c r="Y325" i="4"/>
  <c r="Y313" i="4"/>
  <c r="Y495" i="4"/>
  <c r="Y23" i="4"/>
  <c r="Y92" i="4"/>
  <c r="Y312" i="4"/>
  <c r="Y1222" i="4"/>
  <c r="Y1208" i="4"/>
  <c r="Y1249" i="4"/>
  <c r="Y977" i="4"/>
  <c r="Y1066" i="4"/>
  <c r="Y1091" i="4"/>
  <c r="Y1180" i="4"/>
  <c r="Y1269" i="4"/>
  <c r="Y997" i="4"/>
  <c r="Y1095" i="4"/>
  <c r="Y1193" i="4"/>
  <c r="Y1266" i="4"/>
  <c r="Y994" i="4"/>
  <c r="Y898" i="4"/>
  <c r="Y1188" i="4"/>
  <c r="Y763" i="4"/>
  <c r="Y820" i="4"/>
  <c r="Y948" i="4"/>
  <c r="Y685" i="4"/>
  <c r="Y854" i="4"/>
  <c r="Y1069" i="4"/>
  <c r="Y735" i="4"/>
  <c r="Y808" i="4"/>
  <c r="Y964" i="4"/>
  <c r="Y1243" i="4"/>
  <c r="Y746" i="4"/>
  <c r="Y931" i="4"/>
  <c r="Y1099" i="4"/>
  <c r="Y748" i="4"/>
  <c r="Y974" i="4"/>
  <c r="Y692" i="4"/>
  <c r="Y417" i="4"/>
  <c r="Y634" i="4"/>
  <c r="Y919" i="4"/>
  <c r="Y912" i="4"/>
  <c r="Y508" i="4"/>
  <c r="Y677" i="4"/>
  <c r="Y405" i="4"/>
  <c r="Y510" i="4"/>
  <c r="Y599" i="4"/>
  <c r="Y901" i="4"/>
  <c r="Y528" i="4"/>
  <c r="Y585" i="4"/>
  <c r="Y626" i="4"/>
  <c r="Y766" i="4"/>
  <c r="Y459" i="4"/>
  <c r="Y660" i="4"/>
  <c r="Y896" i="4"/>
  <c r="Y504" i="4"/>
  <c r="Y309" i="4"/>
  <c r="Y759" i="4"/>
  <c r="Y190" i="4"/>
  <c r="Y432" i="4"/>
  <c r="Y151" i="4"/>
  <c r="Y336" i="4"/>
  <c r="Y80" i="4"/>
  <c r="Y297" i="4"/>
  <c r="Y695" i="4"/>
  <c r="Y130" i="4"/>
  <c r="Y420" i="4"/>
  <c r="Y187" i="4"/>
  <c r="Y276" i="4"/>
  <c r="Y550" i="4"/>
  <c r="Y189" i="4"/>
  <c r="Y310" i="4"/>
  <c r="Y479" i="4"/>
  <c r="Y143" i="4"/>
  <c r="Y330" i="4"/>
  <c r="Y1214" i="4"/>
  <c r="Y300" i="4"/>
  <c r="Y344" i="4"/>
  <c r="Y97" i="4"/>
  <c r="Y45" i="4"/>
  <c r="Y27" i="4"/>
  <c r="Y1310" i="4"/>
  <c r="Y970" i="4"/>
  <c r="Y1293" i="4"/>
  <c r="Y889" i="4"/>
  <c r="Y821" i="4"/>
  <c r="Y551" i="4"/>
  <c r="Y480" i="4"/>
  <c r="Y280" i="4"/>
  <c r="Y76" i="4"/>
  <c r="Y129" i="4"/>
  <c r="Y419" i="4"/>
  <c r="Y1206" i="4"/>
  <c r="Y1176" i="4"/>
  <c r="Y1233" i="4"/>
  <c r="Y961" i="4"/>
  <c r="Y1050" i="4"/>
  <c r="Y1075" i="4"/>
  <c r="Y1164" i="4"/>
  <c r="Y1253" i="4"/>
  <c r="Y981" i="4"/>
  <c r="Y1079" i="4"/>
  <c r="Y1177" i="4"/>
  <c r="Y1250" i="4"/>
  <c r="Y978" i="4"/>
  <c r="Y882" i="4"/>
  <c r="Y1135" i="4"/>
  <c r="Y747" i="4"/>
  <c r="Y788" i="4"/>
  <c r="Y941" i="4"/>
  <c r="Y1278" i="4"/>
  <c r="Y838" i="4"/>
  <c r="Y1056" i="4"/>
  <c r="Y1262" i="4"/>
  <c r="Y792" i="4"/>
  <c r="Y945" i="4"/>
  <c r="Y1118" i="4"/>
  <c r="Y730" i="4"/>
  <c r="Y915" i="4"/>
  <c r="Y1046" i="4"/>
  <c r="Y732" i="4"/>
  <c r="Y937" i="4"/>
  <c r="Y673" i="4"/>
  <c r="Y385" i="4"/>
  <c r="Y618" i="4"/>
  <c r="Y855" i="4"/>
  <c r="Y885" i="4"/>
  <c r="Y492" i="4"/>
  <c r="Y661" i="4"/>
  <c r="Y389" i="4"/>
  <c r="Y494" i="4"/>
  <c r="Y583" i="4"/>
  <c r="Y864" i="4"/>
  <c r="Y512" i="4"/>
  <c r="Y569" i="4"/>
  <c r="Y610" i="4"/>
  <c r="Y698" i="4"/>
  <c r="Y443" i="4"/>
  <c r="Y644" i="4"/>
  <c r="Y869" i="4"/>
  <c r="Y488" i="4"/>
  <c r="Y293" i="4"/>
  <c r="Y404" i="4"/>
  <c r="Y174" i="4"/>
  <c r="Y418" i="4"/>
  <c r="Y135" i="4"/>
  <c r="Y320" i="4"/>
  <c r="Y64" i="4"/>
  <c r="Y281" i="4"/>
  <c r="Y370" i="4"/>
  <c r="Y114" i="4"/>
  <c r="Y406" i="4"/>
  <c r="Y171" i="4"/>
  <c r="Y260" i="4"/>
  <c r="Y486" i="4"/>
  <c r="Y173" i="4"/>
  <c r="Y294" i="4"/>
  <c r="Y383" i="4"/>
  <c r="Y127" i="4"/>
  <c r="Y314" i="4"/>
  <c r="Y782" i="4"/>
  <c r="Y284" i="4"/>
  <c r="Y33" i="4"/>
  <c r="Y145" i="4"/>
  <c r="Y104" i="4"/>
  <c r="Y43" i="4"/>
  <c r="Y278" i="4"/>
  <c r="Y243" i="4"/>
  <c r="Y88" i="4"/>
  <c r="Y25" i="4"/>
  <c r="Y195" i="4"/>
  <c r="Y227" i="4"/>
  <c r="Y515" i="4"/>
  <c r="Y1174" i="4"/>
  <c r="Y1160" i="4"/>
  <c r="Y1217" i="4"/>
  <c r="Y1306" i="4"/>
  <c r="Y1034" i="4"/>
  <c r="Y1059" i="4"/>
  <c r="Y1148" i="4"/>
  <c r="Y1237" i="4"/>
  <c r="Y965" i="4"/>
  <c r="Y1063" i="4"/>
  <c r="Y1161" i="4"/>
  <c r="Y1234" i="4"/>
  <c r="Y962" i="4"/>
  <c r="Y866" i="4"/>
  <c r="Y1101" i="4"/>
  <c r="Y715" i="4"/>
  <c r="Y772" i="4"/>
  <c r="Y925" i="4"/>
  <c r="Y1275" i="4"/>
  <c r="Y822" i="4"/>
  <c r="Y1002" i="4"/>
  <c r="Y1259" i="4"/>
  <c r="Y776" i="4"/>
  <c r="Y929" i="4"/>
  <c r="Y1115" i="4"/>
  <c r="Y714" i="4"/>
  <c r="Y899" i="4"/>
  <c r="Y1007" i="4"/>
  <c r="Y1295" i="4"/>
  <c r="Y921" i="4"/>
  <c r="Y641" i="4"/>
  <c r="Y1236" i="4"/>
  <c r="Y602" i="4"/>
  <c r="Y791" i="4"/>
  <c r="Y848" i="4"/>
  <c r="Y476" i="4"/>
  <c r="Y645" i="4"/>
  <c r="Y1070" i="4"/>
  <c r="Y478" i="4"/>
  <c r="Y567" i="4"/>
  <c r="Y837" i="4"/>
  <c r="Y496" i="4"/>
  <c r="Y553" i="4"/>
  <c r="Y594" i="4"/>
  <c r="Y683" i="4"/>
  <c r="Y427" i="4"/>
  <c r="Y628" i="4"/>
  <c r="Y832" i="4"/>
  <c r="Y472" i="4"/>
  <c r="Y277" i="4"/>
  <c r="Y390" i="4"/>
  <c r="Y158" i="4"/>
  <c r="Y375" i="4"/>
  <c r="Y119" i="4"/>
  <c r="Y304" i="4"/>
  <c r="Y48" i="4"/>
  <c r="Y265" i="4"/>
  <c r="Y354" i="4"/>
  <c r="Y98" i="4"/>
  <c r="Y403" i="4"/>
  <c r="Y155" i="4"/>
  <c r="Y244" i="4"/>
  <c r="Y400" i="4"/>
  <c r="Y157" i="4"/>
  <c r="Y367" i="4"/>
  <c r="Y111" i="4"/>
  <c r="Y298" i="4"/>
  <c r="Y703" i="4"/>
  <c r="Y268" i="4"/>
  <c r="Y60" i="4"/>
  <c r="Y177" i="4"/>
  <c r="Y46" i="4"/>
  <c r="Y248" i="4"/>
  <c r="Y19" i="4"/>
  <c r="Y1144" i="4"/>
  <c r="Y1201" i="4"/>
  <c r="Y1018" i="4"/>
  <c r="Y1043" i="4"/>
  <c r="Y1132" i="4"/>
  <c r="Y949" i="4"/>
  <c r="Y1047" i="4"/>
  <c r="Y1145" i="4"/>
  <c r="Y1218" i="4"/>
  <c r="Y850" i="4"/>
  <c r="Y1060" i="4"/>
  <c r="Y699" i="4"/>
  <c r="Y756" i="4"/>
  <c r="Y909" i="4"/>
  <c r="Y1150" i="4"/>
  <c r="Y806" i="4"/>
  <c r="Y1134" i="4"/>
  <c r="Y760" i="4"/>
  <c r="Y913" i="4"/>
  <c r="Y1040" i="4"/>
  <c r="Y883" i="4"/>
  <c r="Y975" i="4"/>
  <c r="Y1261" i="4"/>
  <c r="Y625" i="4"/>
  <c r="Y761" i="4"/>
  <c r="Y460" i="4"/>
  <c r="Y800" i="4"/>
  <c r="Y537" i="4"/>
  <c r="Y161" i="4"/>
  <c r="Y61" i="4"/>
  <c r="Y83" i="4"/>
  <c r="Y35" i="4"/>
  <c r="Y1142" i="4"/>
  <c r="Y1128" i="4"/>
  <c r="Y1185" i="4"/>
  <c r="Y1274" i="4"/>
  <c r="Y1299" i="4"/>
  <c r="Y1027" i="4"/>
  <c r="Y1116" i="4"/>
  <c r="Y1205" i="4"/>
  <c r="Y1303" i="4"/>
  <c r="Y1031" i="4"/>
  <c r="Y1129" i="4"/>
  <c r="Y1202" i="4"/>
  <c r="Y1307" i="4"/>
  <c r="Y818" i="4"/>
  <c r="Y968" i="4"/>
  <c r="Y1294" i="4"/>
  <c r="Y740" i="4"/>
  <c r="Y893" i="4"/>
  <c r="Y1147" i="4"/>
  <c r="Y790" i="4"/>
  <c r="Y943" i="4"/>
  <c r="Y1131" i="4"/>
  <c r="Y744" i="4"/>
  <c r="Y897" i="4"/>
  <c r="Y987" i="4"/>
  <c r="Y1280" i="4"/>
  <c r="Y867" i="4"/>
  <c r="Y955" i="4"/>
  <c r="Y1220" i="4"/>
  <c r="Y873" i="4"/>
  <c r="Y609" i="4"/>
  <c r="Y1149" i="4"/>
  <c r="Y570" i="4"/>
  <c r="Y719" i="4"/>
  <c r="Y784" i="4"/>
  <c r="Y444" i="4"/>
  <c r="Y613" i="4"/>
  <c r="Y878" i="4"/>
  <c r="Y446" i="4"/>
  <c r="Y535" i="4"/>
  <c r="Y773" i="4"/>
  <c r="Y464" i="4"/>
  <c r="Y521" i="4"/>
  <c r="Y546" i="4"/>
  <c r="Y651" i="4"/>
  <c r="Y395" i="4"/>
  <c r="Y596" i="4"/>
  <c r="Y752" i="4"/>
  <c r="Y1012" i="4"/>
  <c r="Y245" i="4"/>
  <c r="Y382" i="4"/>
  <c r="Y126" i="4"/>
  <c r="Y343" i="4"/>
  <c r="Y87" i="4"/>
  <c r="Y272" i="4"/>
  <c r="Y621" i="4"/>
  <c r="Y233" i="4"/>
  <c r="Y322" i="4"/>
  <c r="Y66" i="4"/>
  <c r="Y379" i="4"/>
  <c r="Y123" i="4"/>
  <c r="Y212" i="4"/>
  <c r="Y381" i="4"/>
  <c r="Y125" i="4"/>
  <c r="Y246" i="4"/>
  <c r="Y335" i="4"/>
  <c r="Y79" i="4"/>
  <c r="Y266" i="4"/>
  <c r="Y566" i="4"/>
  <c r="Y236" i="4"/>
  <c r="Y211" i="4"/>
  <c r="Y637" i="4"/>
  <c r="Y296" i="4"/>
  <c r="Y307" i="4"/>
  <c r="Y363" i="4"/>
  <c r="Y220" i="4"/>
  <c r="Y413" i="4"/>
  <c r="Y910" i="4"/>
  <c r="Y38" i="4"/>
  <c r="Y59" i="4"/>
  <c r="Y54" i="4"/>
  <c r="Y147" i="4"/>
  <c r="Y57" i="4"/>
  <c r="Y1126" i="4"/>
  <c r="Y1112" i="4"/>
  <c r="Y1169" i="4"/>
  <c r="Y1258" i="4"/>
  <c r="Y1283" i="4"/>
  <c r="Y1011" i="4"/>
  <c r="Y1100" i="4"/>
  <c r="Y1189" i="4"/>
  <c r="Y1287" i="4"/>
  <c r="Y1015" i="4"/>
  <c r="Y1113" i="4"/>
  <c r="Y1186" i="4"/>
  <c r="Y1179" i="4"/>
  <c r="Y802" i="4"/>
  <c r="Y939" i="4"/>
  <c r="Y1291" i="4"/>
  <c r="Y724" i="4"/>
  <c r="Y877" i="4"/>
  <c r="Y1044" i="4"/>
  <c r="Y774" i="4"/>
  <c r="Y927" i="4"/>
  <c r="Y1005" i="4"/>
  <c r="Y728" i="4"/>
  <c r="Y881" i="4"/>
  <c r="Y938" i="4"/>
  <c r="Y1252" i="4"/>
  <c r="Y851" i="4"/>
  <c r="Y924" i="4"/>
  <c r="Y1279" i="4"/>
  <c r="Y857" i="4"/>
  <c r="Y593" i="4"/>
  <c r="Y1086" i="4"/>
  <c r="Y554" i="4"/>
  <c r="Y713" i="4"/>
  <c r="Y707" i="4"/>
  <c r="Y428" i="4"/>
  <c r="Y597" i="4"/>
  <c r="Y814" i="4"/>
  <c r="Y430" i="4"/>
  <c r="Y519" i="4"/>
  <c r="Y704" i="4"/>
  <c r="Y448" i="4"/>
  <c r="Y489" i="4"/>
  <c r="Y530" i="4"/>
  <c r="Y635" i="4"/>
  <c r="Y980" i="4"/>
  <c r="Y580" i="4"/>
  <c r="Y680" i="4"/>
  <c r="Y678" i="4"/>
  <c r="Y229" i="4"/>
  <c r="Y366" i="4"/>
  <c r="Y110" i="4"/>
  <c r="Y327" i="4"/>
  <c r="Y71" i="4"/>
  <c r="Y256" i="4"/>
  <c r="Y614" i="4"/>
  <c r="Y217" i="4"/>
  <c r="Y306" i="4"/>
  <c r="Y50" i="4"/>
  <c r="Y107" i="4"/>
  <c r="Y196" i="4"/>
  <c r="Y365" i="4"/>
  <c r="Y109" i="4"/>
  <c r="Y230" i="4"/>
  <c r="Y319" i="4"/>
  <c r="Y63" i="4"/>
  <c r="Y250" i="4"/>
  <c r="Y559" i="4"/>
  <c r="Y232" i="4"/>
  <c r="Y22" i="4"/>
  <c r="Y328" i="4"/>
  <c r="Y525" i="4"/>
  <c r="Y388" i="4"/>
  <c r="Y371" i="4"/>
  <c r="Y136" i="4"/>
  <c r="Y168" i="4"/>
  <c r="Y77" i="4"/>
  <c r="Y1110" i="4"/>
  <c r="Y1096" i="4"/>
  <c r="Y1153" i="4"/>
  <c r="Y1242" i="4"/>
  <c r="Y1267" i="4"/>
  <c r="Y995" i="4"/>
  <c r="Y1084" i="4"/>
  <c r="Y1173" i="4"/>
  <c r="Y1271" i="4"/>
  <c r="Y999" i="4"/>
  <c r="Y1097" i="4"/>
  <c r="Y1154" i="4"/>
  <c r="Y1054" i="4"/>
  <c r="Y786" i="4"/>
  <c r="Y923" i="4"/>
  <c r="Y1166" i="4"/>
  <c r="Y708" i="4"/>
  <c r="Y861" i="4"/>
  <c r="Y1038" i="4"/>
  <c r="Y758" i="4"/>
  <c r="Y911" i="4"/>
  <c r="Y996" i="4"/>
  <c r="Y712" i="4"/>
  <c r="Y865" i="4"/>
  <c r="Y922" i="4"/>
  <c r="Y1199" i="4"/>
  <c r="Y819" i="4"/>
  <c r="Y908" i="4"/>
  <c r="Y1245" i="4"/>
  <c r="Y841" i="4"/>
  <c r="Y577" i="4"/>
  <c r="Y1037" i="4"/>
  <c r="Y538" i="4"/>
  <c r="Y675" i="4"/>
  <c r="Y702" i="4"/>
  <c r="Y412" i="4"/>
  <c r="Y581" i="4"/>
  <c r="Y741" i="4"/>
  <c r="Y414" i="4"/>
  <c r="Y503" i="4"/>
  <c r="Y696" i="4"/>
  <c r="Y966" i="4"/>
  <c r="Y473" i="4"/>
  <c r="Y514" i="4"/>
  <c r="Y619" i="4"/>
  <c r="Y944" i="4"/>
  <c r="Y564" i="4"/>
  <c r="Y664" i="4"/>
  <c r="Y671" i="4"/>
  <c r="Y213" i="4"/>
  <c r="Y350" i="4"/>
  <c r="Y94" i="4"/>
  <c r="Y311" i="4"/>
  <c r="Y55" i="4"/>
  <c r="Y240" i="4"/>
  <c r="Y607" i="4"/>
  <c r="Y201" i="4"/>
  <c r="Y290" i="4"/>
  <c r="Y846" i="4"/>
  <c r="Y347" i="4"/>
  <c r="Y91" i="4"/>
  <c r="Y180" i="4"/>
  <c r="Y349" i="4"/>
  <c r="Y669" i="4"/>
  <c r="Y214" i="4"/>
  <c r="Y303" i="4"/>
  <c r="Y234" i="4"/>
  <c r="Y204" i="4"/>
  <c r="Y369" i="4"/>
  <c r="Y451" i="4"/>
  <c r="Y37" i="4"/>
  <c r="Y445" i="4"/>
  <c r="Y305" i="4"/>
  <c r="Y113" i="4"/>
  <c r="Y1094" i="4"/>
  <c r="Y1080" i="4"/>
  <c r="Y1137" i="4"/>
  <c r="Y1226" i="4"/>
  <c r="Y1251" i="4"/>
  <c r="Y979" i="4"/>
  <c r="Y1068" i="4"/>
  <c r="Y1157" i="4"/>
  <c r="Y1255" i="4"/>
  <c r="Y983" i="4"/>
  <c r="Y1065" i="4"/>
  <c r="Y1138" i="4"/>
  <c r="Y1051" i="4"/>
  <c r="Y770" i="4"/>
  <c r="Y907" i="4"/>
  <c r="Y1163" i="4"/>
  <c r="Y1300" i="4"/>
  <c r="Y845" i="4"/>
  <c r="Y1035" i="4"/>
  <c r="Y742" i="4"/>
  <c r="Y895" i="4"/>
  <c r="Y973" i="4"/>
  <c r="Y1309" i="4"/>
  <c r="Y849" i="4"/>
  <c r="Y906" i="4"/>
  <c r="Y1152" i="4"/>
  <c r="Y803" i="4"/>
  <c r="Y892" i="4"/>
  <c r="Y1232" i="4"/>
  <c r="Y825" i="4"/>
  <c r="Y561" i="4"/>
  <c r="Y926" i="4"/>
  <c r="Y522" i="4"/>
  <c r="Y659" i="4"/>
  <c r="Y668" i="4"/>
  <c r="Y396" i="4"/>
  <c r="Y565" i="4"/>
  <c r="Y670" i="4"/>
  <c r="Y398" i="4"/>
  <c r="Y487" i="4"/>
  <c r="Y672" i="4"/>
  <c r="Y734" i="4"/>
  <c r="Y457" i="4"/>
  <c r="Y498" i="4"/>
  <c r="Y603" i="4"/>
  <c r="Y917" i="4"/>
  <c r="Y548" i="4"/>
  <c r="Y648" i="4"/>
  <c r="Y518" i="4"/>
  <c r="Y197" i="4"/>
  <c r="Y334" i="4"/>
  <c r="Y78" i="4"/>
  <c r="Y295" i="4"/>
  <c r="Y736" i="4"/>
  <c r="Y224" i="4"/>
  <c r="Y534" i="4"/>
  <c r="Y185" i="4"/>
  <c r="Y274" i="4"/>
  <c r="Y720" i="4"/>
  <c r="Y331" i="4"/>
  <c r="Y75" i="4"/>
  <c r="Y164" i="4"/>
  <c r="Y333" i="4"/>
  <c r="Y662" i="4"/>
  <c r="Y198" i="4"/>
  <c r="Y287" i="4"/>
  <c r="Y711" i="4"/>
  <c r="Y218" i="4"/>
  <c r="Y461" i="4"/>
  <c r="Y188" i="4"/>
  <c r="Y24" i="4"/>
  <c r="Y58" i="4"/>
  <c r="Y509" i="4"/>
  <c r="Y436" i="4"/>
  <c r="Y1141" i="4"/>
  <c r="Y833" i="4"/>
  <c r="Y549" i="4"/>
  <c r="Y612" i="4"/>
  <c r="Y288" i="4"/>
  <c r="Y386" i="4"/>
  <c r="Y120" i="4"/>
  <c r="Y208" i="4"/>
  <c r="Y743" i="4"/>
  <c r="Y455" i="4"/>
  <c r="Y1239" i="4"/>
  <c r="Y874" i="4"/>
  <c r="Y942" i="4"/>
  <c r="Y532" i="4"/>
  <c r="Y317" i="4"/>
  <c r="Y40" i="4"/>
  <c r="Y141" i="4"/>
  <c r="Y20" i="4"/>
  <c r="Y261" i="4"/>
  <c r="Y1311" i="4"/>
  <c r="Y951" i="4"/>
  <c r="Y1124" i="4"/>
  <c r="Y654" i="4"/>
  <c r="Y805" i="4"/>
  <c r="Y264" i="4"/>
  <c r="Y1049" i="4"/>
  <c r="Y787" i="4"/>
  <c r="Y462" i="4"/>
  <c r="Y632" i="4"/>
  <c r="Y470" i="4"/>
  <c r="Y655" i="4"/>
  <c r="Y72" i="4"/>
  <c r="Y1122" i="4"/>
  <c r="Y249" i="4"/>
  <c r="Y275" i="4"/>
  <c r="Y169" i="4"/>
  <c r="Y338" i="4"/>
  <c r="Y252" i="4"/>
  <c r="Y876" i="4"/>
  <c r="Y935" i="4"/>
  <c r="Y456" i="4"/>
  <c r="Y262" i="4"/>
  <c r="Y809" i="4"/>
  <c r="Y67" i="4"/>
  <c r="Y1021" i="4"/>
  <c r="Y1204" i="4"/>
  <c r="Y615" i="4"/>
  <c r="Y454" i="4"/>
  <c r="Y182" i="4"/>
  <c r="Y209" i="4"/>
  <c r="Y963" i="4"/>
  <c r="Y259" i="4"/>
  <c r="Y754" i="4"/>
  <c r="Y351" i="4"/>
  <c r="Y12" i="4"/>
  <c r="Y891" i="4"/>
  <c r="Y545" i="4"/>
  <c r="Y656" i="4"/>
  <c r="Y181" i="4"/>
  <c r="Y258" i="4"/>
  <c r="Y271" i="4"/>
  <c r="Y502" i="4"/>
  <c r="Y991" i="4"/>
  <c r="Y1198" i="4"/>
  <c r="Y387" i="4"/>
  <c r="Y82" i="4"/>
  <c r="Y95" i="4"/>
  <c r="Y179" i="4"/>
  <c r="Y718" i="4"/>
  <c r="Y953" i="4"/>
  <c r="Y1078" i="4"/>
  <c r="Y1247" i="4"/>
  <c r="Y862" i="4"/>
  <c r="Y1136" i="4"/>
  <c r="Y318" i="4"/>
  <c r="Y589" i="4"/>
  <c r="Y605" i="4"/>
  <c r="Y1235" i="4"/>
  <c r="Y1064" i="4"/>
  <c r="Y829" i="4"/>
  <c r="Y586" i="4"/>
  <c r="Y578" i="4"/>
  <c r="Y142" i="4"/>
  <c r="Y392" i="4"/>
  <c r="Y282" i="4"/>
  <c r="Y411" i="4"/>
  <c r="Y1121" i="4"/>
  <c r="Y1023" i="4"/>
  <c r="Y506" i="4"/>
  <c r="Y482" i="4"/>
  <c r="Y62" i="4"/>
  <c r="Y315" i="4"/>
  <c r="Y202" i="4"/>
  <c r="Y493" i="4"/>
  <c r="Y103" i="4"/>
  <c r="Y1210" i="4"/>
  <c r="Y726" i="4"/>
  <c r="Y643" i="4"/>
  <c r="Y667" i="4"/>
  <c r="Y359" i="4"/>
  <c r="Y139" i="4"/>
  <c r="Y573" i="4"/>
  <c r="Y879" i="4"/>
  <c r="Y652" i="4"/>
  <c r="Y587" i="4"/>
  <c r="Y441" i="4"/>
  <c r="Y228" i="4"/>
  <c r="Y1052" i="4"/>
  <c r="Y1296" i="4"/>
  <c r="Y629" i="4"/>
  <c r="Y880" i="4"/>
  <c r="Y541" i="4"/>
  <c r="Y148" i="4"/>
  <c r="Y172" i="4"/>
  <c r="Y279" i="4"/>
  <c r="D5" i="3"/>
  <c r="E3" i="4"/>
  <c r="J4" i="4"/>
  <c r="AA7" i="4"/>
  <c r="AA9" i="4"/>
  <c r="AA10" i="4"/>
  <c r="Z12" i="4"/>
  <c r="AA12" i="4"/>
  <c r="Z13" i="4"/>
  <c r="AA13" i="4"/>
  <c r="Z14" i="4"/>
  <c r="AA14" i="4"/>
  <c r="Z15" i="4"/>
  <c r="AA15" i="4"/>
  <c r="Z16" i="4"/>
  <c r="AA16" i="4"/>
  <c r="Z17" i="4"/>
  <c r="AA17" i="4"/>
  <c r="Z18" i="4"/>
  <c r="AA18" i="4"/>
  <c r="Z19" i="4"/>
  <c r="AA19" i="4"/>
  <c r="Z20" i="4"/>
  <c r="AA20" i="4"/>
  <c r="Z21" i="4"/>
  <c r="AA21" i="4"/>
  <c r="Z22" i="4"/>
  <c r="AA22" i="4"/>
  <c r="Z23" i="4"/>
  <c r="AA23" i="4"/>
  <c r="Z24" i="4"/>
  <c r="AA24" i="4"/>
  <c r="Z25" i="4"/>
  <c r="AA25" i="4"/>
  <c r="Z26" i="4"/>
  <c r="AA26" i="4"/>
  <c r="Z27" i="4"/>
  <c r="AA27" i="4"/>
  <c r="Z28" i="4"/>
  <c r="AA28" i="4"/>
  <c r="Z29" i="4"/>
  <c r="AA29" i="4"/>
  <c r="Z30" i="4"/>
  <c r="AA30" i="4"/>
  <c r="Z31" i="4"/>
  <c r="AA31" i="4"/>
  <c r="Z32" i="4"/>
  <c r="AA32" i="4"/>
  <c r="Z33" i="4"/>
  <c r="AA33" i="4"/>
  <c r="Z34" i="4"/>
  <c r="AA34" i="4"/>
  <c r="Z35" i="4"/>
  <c r="AA35" i="4"/>
  <c r="Z36" i="4"/>
  <c r="AA36" i="4"/>
  <c r="Z37" i="4"/>
  <c r="AA37" i="4"/>
  <c r="Z38" i="4"/>
  <c r="AA38" i="4"/>
  <c r="Z39" i="4"/>
  <c r="AA39" i="4"/>
  <c r="Z40" i="4"/>
  <c r="AA40" i="4"/>
  <c r="Z41" i="4"/>
  <c r="AA41" i="4"/>
  <c r="Z42" i="4"/>
  <c r="AA42" i="4"/>
  <c r="Z43" i="4"/>
  <c r="AA43" i="4"/>
  <c r="Z44" i="4"/>
  <c r="AA44" i="4"/>
  <c r="Z45" i="4"/>
  <c r="AA45" i="4"/>
  <c r="Z46" i="4"/>
  <c r="AA46" i="4"/>
  <c r="Z47" i="4"/>
  <c r="AA47" i="4"/>
  <c r="Z48" i="4"/>
  <c r="AA48" i="4"/>
  <c r="Z49" i="4"/>
  <c r="AA49" i="4"/>
  <c r="Z50" i="4"/>
  <c r="AA50" i="4"/>
  <c r="Z51" i="4"/>
  <c r="AA51" i="4"/>
  <c r="Z52" i="4"/>
  <c r="AA52" i="4"/>
  <c r="Z53" i="4"/>
  <c r="AA53" i="4"/>
  <c r="Z54" i="4"/>
  <c r="AA54" i="4"/>
  <c r="Z55" i="4"/>
  <c r="AA55" i="4"/>
  <c r="Z56" i="4"/>
  <c r="AA56" i="4"/>
  <c r="Z57" i="4"/>
  <c r="AA57" i="4"/>
  <c r="Z58" i="4"/>
  <c r="AA58" i="4"/>
  <c r="Z59" i="4"/>
  <c r="AA59" i="4"/>
  <c r="Z60" i="4"/>
  <c r="AA60" i="4"/>
  <c r="Z61" i="4"/>
  <c r="AA61" i="4"/>
  <c r="Z62" i="4"/>
  <c r="AA62" i="4"/>
  <c r="Z63" i="4"/>
  <c r="AA63" i="4"/>
  <c r="Z64" i="4"/>
  <c r="AA64" i="4"/>
  <c r="Z65" i="4"/>
  <c r="AA65" i="4"/>
  <c r="Z66" i="4"/>
  <c r="AA66" i="4"/>
  <c r="Z67" i="4"/>
  <c r="AA67" i="4"/>
  <c r="Z68" i="4"/>
  <c r="AA68" i="4"/>
  <c r="Z69" i="4"/>
  <c r="AA69" i="4"/>
  <c r="Z70" i="4"/>
  <c r="AA70" i="4"/>
  <c r="Z71" i="4"/>
  <c r="AA71" i="4"/>
  <c r="Z72" i="4"/>
  <c r="AA72" i="4"/>
  <c r="Z73" i="4"/>
  <c r="AA73" i="4"/>
  <c r="Z74" i="4"/>
  <c r="AA74" i="4"/>
  <c r="Z75" i="4"/>
  <c r="AA75" i="4"/>
  <c r="Z76" i="4"/>
  <c r="AA76" i="4"/>
  <c r="Z77" i="4"/>
  <c r="AA77" i="4"/>
  <c r="Z78" i="4"/>
  <c r="AA78" i="4"/>
  <c r="Z79" i="4"/>
  <c r="AA79" i="4"/>
  <c r="Z80" i="4"/>
  <c r="AA80" i="4"/>
  <c r="Z81" i="4"/>
  <c r="AA81" i="4"/>
  <c r="Z82" i="4"/>
  <c r="AA82" i="4"/>
  <c r="Z83" i="4"/>
  <c r="AA83" i="4"/>
  <c r="Z84" i="4"/>
  <c r="AA84" i="4"/>
  <c r="Z85" i="4"/>
  <c r="AA85" i="4"/>
  <c r="Z86" i="4"/>
  <c r="AA86" i="4"/>
  <c r="Z87" i="4"/>
  <c r="AA87" i="4"/>
  <c r="Z88" i="4"/>
  <c r="AA88" i="4"/>
  <c r="Z89" i="4"/>
  <c r="AA89" i="4"/>
  <c r="Z90" i="4"/>
  <c r="AA90" i="4"/>
  <c r="Z91" i="4"/>
  <c r="AA91" i="4"/>
  <c r="Z92" i="4"/>
  <c r="AA92" i="4"/>
  <c r="Z93" i="4"/>
  <c r="AA93" i="4"/>
  <c r="Z94" i="4"/>
  <c r="AA94" i="4"/>
  <c r="Z95" i="4"/>
  <c r="AA95" i="4"/>
  <c r="Z96" i="4"/>
  <c r="AA96" i="4"/>
  <c r="Z97" i="4"/>
  <c r="AA97" i="4"/>
  <c r="Z98" i="4"/>
  <c r="AA98" i="4"/>
  <c r="Z99" i="4"/>
  <c r="AA99" i="4"/>
  <c r="Z100" i="4"/>
  <c r="AA100" i="4"/>
  <c r="Z101" i="4"/>
  <c r="AA101" i="4"/>
  <c r="Z102" i="4"/>
  <c r="AA102" i="4"/>
  <c r="Z103" i="4"/>
  <c r="AA103" i="4"/>
  <c r="Z104" i="4"/>
  <c r="AA104" i="4"/>
  <c r="Z105" i="4"/>
  <c r="AA105" i="4"/>
  <c r="Z106" i="4"/>
  <c r="AA106" i="4"/>
  <c r="Z107" i="4"/>
  <c r="AA107" i="4"/>
  <c r="Z108" i="4"/>
  <c r="AA108" i="4"/>
  <c r="Z109" i="4"/>
  <c r="AA109" i="4"/>
  <c r="Z110" i="4"/>
  <c r="AA110" i="4"/>
  <c r="Z111" i="4"/>
  <c r="AA111" i="4"/>
  <c r="Z112" i="4"/>
  <c r="AA112" i="4"/>
  <c r="Z113" i="4"/>
  <c r="AA113" i="4"/>
  <c r="Z114" i="4"/>
  <c r="AA114" i="4"/>
  <c r="Z115" i="4"/>
  <c r="AA115" i="4"/>
  <c r="Z116" i="4"/>
  <c r="AA116" i="4"/>
  <c r="Z117" i="4"/>
  <c r="AA117" i="4"/>
  <c r="Z118" i="4"/>
  <c r="AA118" i="4"/>
  <c r="Z119" i="4"/>
  <c r="AA119" i="4"/>
  <c r="Z120" i="4"/>
  <c r="AA120" i="4"/>
  <c r="Z121" i="4"/>
  <c r="AA121" i="4"/>
  <c r="Z122" i="4"/>
  <c r="AA122" i="4"/>
  <c r="Z123" i="4"/>
  <c r="AA123" i="4"/>
  <c r="Z124" i="4"/>
  <c r="AA124" i="4"/>
  <c r="Z125" i="4"/>
  <c r="AA125" i="4"/>
  <c r="Z126" i="4"/>
  <c r="AA126" i="4"/>
  <c r="Z127" i="4"/>
  <c r="AA127" i="4"/>
  <c r="Z128" i="4"/>
  <c r="AA128" i="4"/>
  <c r="Z129" i="4"/>
  <c r="AA129" i="4"/>
  <c r="Z130" i="4"/>
  <c r="AA130" i="4"/>
  <c r="Z131" i="4"/>
  <c r="AA131" i="4"/>
  <c r="Z132" i="4"/>
  <c r="AA132" i="4"/>
  <c r="Z133" i="4"/>
  <c r="AA133" i="4"/>
  <c r="Z134" i="4"/>
  <c r="AA134" i="4"/>
  <c r="Z135" i="4"/>
  <c r="AA135" i="4"/>
  <c r="Z136" i="4"/>
  <c r="AA136" i="4"/>
  <c r="Z137" i="4"/>
  <c r="AA137" i="4"/>
  <c r="Z138" i="4"/>
  <c r="AA138" i="4"/>
  <c r="Z139" i="4"/>
  <c r="AA139" i="4"/>
  <c r="Z140" i="4"/>
  <c r="AA140" i="4"/>
  <c r="Z141" i="4"/>
  <c r="AA141" i="4"/>
  <c r="Z142" i="4"/>
  <c r="AA142" i="4"/>
  <c r="Z143" i="4"/>
  <c r="AA143" i="4"/>
  <c r="Z144" i="4"/>
  <c r="AA144" i="4"/>
  <c r="Z145" i="4"/>
  <c r="AA145" i="4"/>
  <c r="Z146" i="4"/>
  <c r="AA146" i="4"/>
  <c r="Z147" i="4"/>
  <c r="AA147" i="4"/>
  <c r="Z148" i="4"/>
  <c r="AA148" i="4"/>
  <c r="Z149" i="4"/>
  <c r="AA149" i="4"/>
  <c r="Z150" i="4"/>
  <c r="AA150" i="4"/>
  <c r="Z151" i="4"/>
  <c r="AA151" i="4"/>
  <c r="Z152" i="4"/>
  <c r="AA152" i="4"/>
  <c r="Z153" i="4"/>
  <c r="AA153" i="4"/>
  <c r="Z154" i="4"/>
  <c r="AA154" i="4"/>
  <c r="Z155" i="4"/>
  <c r="AA155" i="4"/>
  <c r="Z156" i="4"/>
  <c r="AA156" i="4"/>
  <c r="Z157" i="4"/>
  <c r="AA157" i="4"/>
  <c r="Z158" i="4"/>
  <c r="AA158" i="4"/>
  <c r="Z159" i="4"/>
  <c r="AA159" i="4"/>
  <c r="Z160" i="4"/>
  <c r="AA160" i="4"/>
  <c r="Z161" i="4"/>
  <c r="AA161" i="4"/>
  <c r="Z162" i="4"/>
  <c r="AA162" i="4"/>
  <c r="Z163" i="4"/>
  <c r="AA163" i="4"/>
  <c r="Z164" i="4"/>
  <c r="AA164" i="4"/>
  <c r="Z165" i="4"/>
  <c r="AA165" i="4"/>
  <c r="Z166" i="4"/>
  <c r="AA166" i="4"/>
  <c r="Z167" i="4"/>
  <c r="AA167" i="4"/>
  <c r="Z168" i="4"/>
  <c r="AA168" i="4"/>
  <c r="Z169" i="4"/>
  <c r="AA169" i="4"/>
  <c r="Z170" i="4"/>
  <c r="AA170" i="4"/>
  <c r="Z171" i="4"/>
  <c r="AA171" i="4"/>
  <c r="Z172" i="4"/>
  <c r="AA172" i="4"/>
  <c r="Z173" i="4"/>
  <c r="AA173" i="4"/>
  <c r="Z174" i="4"/>
  <c r="AA174" i="4"/>
  <c r="Z175" i="4"/>
  <c r="AA175" i="4"/>
  <c r="Z176" i="4"/>
  <c r="AA176" i="4"/>
  <c r="Z177" i="4"/>
  <c r="AA177" i="4"/>
  <c r="Z178" i="4"/>
  <c r="AA178" i="4"/>
  <c r="Z179" i="4"/>
  <c r="AA179" i="4"/>
  <c r="Z180" i="4"/>
  <c r="AA180" i="4"/>
  <c r="Z181" i="4"/>
  <c r="AA181" i="4"/>
  <c r="Z182" i="4"/>
  <c r="AA182" i="4"/>
  <c r="Z183" i="4"/>
  <c r="AA183" i="4"/>
  <c r="Z184" i="4"/>
  <c r="AA184" i="4"/>
  <c r="Z185" i="4"/>
  <c r="AA185" i="4"/>
  <c r="Z186" i="4"/>
  <c r="AA186" i="4"/>
  <c r="Z187" i="4"/>
  <c r="AA187" i="4"/>
  <c r="Z188" i="4"/>
  <c r="AA188" i="4"/>
  <c r="Z189" i="4"/>
  <c r="AA189" i="4"/>
  <c r="Z190" i="4"/>
  <c r="AA190" i="4"/>
  <c r="Z191" i="4"/>
  <c r="AA191" i="4"/>
  <c r="Z192" i="4"/>
  <c r="AA192" i="4"/>
  <c r="Z193" i="4"/>
  <c r="AA193" i="4"/>
  <c r="Z194" i="4"/>
  <c r="AA194" i="4"/>
  <c r="Z195" i="4"/>
  <c r="AA195" i="4"/>
  <c r="Z196" i="4"/>
  <c r="AA196" i="4"/>
  <c r="Z197" i="4"/>
  <c r="AA197" i="4"/>
  <c r="Z198" i="4"/>
  <c r="AA198" i="4"/>
  <c r="Z199" i="4"/>
  <c r="AA199" i="4"/>
  <c r="Z200" i="4"/>
  <c r="AA200" i="4"/>
  <c r="Z201" i="4"/>
  <c r="AA201" i="4"/>
  <c r="Z202" i="4"/>
  <c r="AA202" i="4"/>
  <c r="Z203" i="4"/>
  <c r="AA203" i="4"/>
  <c r="Z204" i="4"/>
  <c r="AA204" i="4"/>
  <c r="Z205" i="4"/>
  <c r="AA205" i="4"/>
  <c r="Z206" i="4"/>
  <c r="AA206" i="4"/>
  <c r="Z207" i="4"/>
  <c r="AA207" i="4"/>
  <c r="Z208" i="4"/>
  <c r="AA208" i="4"/>
  <c r="Z209" i="4"/>
  <c r="AA209" i="4"/>
  <c r="Z210" i="4"/>
  <c r="AA210" i="4"/>
  <c r="Z211" i="4"/>
  <c r="AA211" i="4"/>
  <c r="Z212" i="4"/>
  <c r="AA212" i="4"/>
  <c r="Z213" i="4"/>
  <c r="AA213" i="4"/>
  <c r="Z214" i="4"/>
  <c r="AA214" i="4"/>
  <c r="Z215" i="4"/>
  <c r="AA215" i="4"/>
  <c r="Z216" i="4"/>
  <c r="AA216" i="4"/>
  <c r="Z217" i="4"/>
  <c r="AA217" i="4"/>
  <c r="Z218" i="4"/>
  <c r="AA218" i="4"/>
  <c r="Z219" i="4"/>
  <c r="AA219" i="4"/>
  <c r="Z220" i="4"/>
  <c r="AA220" i="4"/>
  <c r="Z221" i="4"/>
  <c r="AA221" i="4"/>
  <c r="Z222" i="4"/>
  <c r="AA222" i="4"/>
  <c r="Z223" i="4"/>
  <c r="AA223" i="4"/>
  <c r="Z224" i="4"/>
  <c r="AA224" i="4"/>
  <c r="Z225" i="4"/>
  <c r="AA225" i="4"/>
  <c r="Z226" i="4"/>
  <c r="AA226" i="4"/>
  <c r="Z227" i="4"/>
  <c r="AA227" i="4"/>
  <c r="Z228" i="4"/>
  <c r="AA228" i="4"/>
  <c r="Z229" i="4"/>
  <c r="AA229" i="4"/>
  <c r="Z230" i="4"/>
  <c r="AA230" i="4"/>
  <c r="Z231" i="4"/>
  <c r="AA231" i="4"/>
  <c r="Z232" i="4"/>
  <c r="AA232" i="4"/>
  <c r="Z233" i="4"/>
  <c r="AA233" i="4"/>
  <c r="Z234" i="4"/>
  <c r="AA234" i="4"/>
  <c r="Z235" i="4"/>
  <c r="AA235" i="4"/>
  <c r="Z236" i="4"/>
  <c r="AA236" i="4"/>
  <c r="Z237" i="4"/>
  <c r="AA237" i="4"/>
  <c r="Z238" i="4"/>
  <c r="AA238" i="4"/>
  <c r="Z239" i="4"/>
  <c r="AA239" i="4"/>
  <c r="Z240" i="4"/>
  <c r="AA240" i="4"/>
  <c r="Z241" i="4"/>
  <c r="AA241" i="4"/>
  <c r="Z242" i="4"/>
  <c r="AA242" i="4"/>
  <c r="Z243" i="4"/>
  <c r="AA243" i="4"/>
  <c r="Z244" i="4"/>
  <c r="AA244" i="4"/>
  <c r="Z245" i="4"/>
  <c r="AA245" i="4"/>
  <c r="Z246" i="4"/>
  <c r="AA246" i="4"/>
  <c r="Z247" i="4"/>
  <c r="AA247" i="4"/>
  <c r="Z248" i="4"/>
  <c r="AA248" i="4"/>
  <c r="Z249" i="4"/>
  <c r="AA249" i="4"/>
  <c r="Z250" i="4"/>
  <c r="AA250" i="4"/>
  <c r="Z251" i="4"/>
  <c r="AA251" i="4"/>
  <c r="Z252" i="4"/>
  <c r="AA252" i="4"/>
  <c r="Z253" i="4"/>
  <c r="AA253" i="4"/>
  <c r="Z254" i="4"/>
  <c r="AA254" i="4"/>
  <c r="Z255" i="4"/>
  <c r="AA255" i="4"/>
  <c r="Z256" i="4"/>
  <c r="AA256" i="4"/>
  <c r="Z257" i="4"/>
  <c r="AA257" i="4"/>
  <c r="Z258" i="4"/>
  <c r="AA258" i="4"/>
  <c r="Z259" i="4"/>
  <c r="AA259" i="4"/>
  <c r="Z260" i="4"/>
  <c r="AA260" i="4"/>
  <c r="Z261" i="4"/>
  <c r="AA261" i="4"/>
  <c r="Z262" i="4"/>
  <c r="AA262" i="4"/>
  <c r="Z263" i="4"/>
  <c r="AA263" i="4"/>
  <c r="Z264" i="4"/>
  <c r="AA264" i="4"/>
  <c r="Z265" i="4"/>
  <c r="AA265" i="4"/>
  <c r="Z266" i="4"/>
  <c r="AA266" i="4"/>
  <c r="Z267" i="4"/>
  <c r="AA267" i="4"/>
  <c r="Z268" i="4"/>
  <c r="AA268" i="4"/>
  <c r="Z269" i="4"/>
  <c r="AA269" i="4"/>
  <c r="Z270" i="4"/>
  <c r="AA270" i="4"/>
  <c r="Z271" i="4"/>
  <c r="AA271" i="4"/>
  <c r="Z272" i="4"/>
  <c r="AA272" i="4"/>
  <c r="Z273" i="4"/>
  <c r="AA273" i="4"/>
  <c r="Z274" i="4"/>
  <c r="AA274" i="4"/>
  <c r="Z275" i="4"/>
  <c r="AA275" i="4"/>
  <c r="Z276" i="4"/>
  <c r="AA276" i="4"/>
  <c r="Z277" i="4"/>
  <c r="AA277" i="4"/>
  <c r="Z278" i="4"/>
  <c r="AA278" i="4"/>
  <c r="Z279" i="4"/>
  <c r="AA279" i="4"/>
  <c r="Z280" i="4"/>
  <c r="AA280" i="4"/>
  <c r="Z281" i="4"/>
  <c r="AA281" i="4"/>
  <c r="Z282" i="4"/>
  <c r="AA282" i="4"/>
  <c r="Z283" i="4"/>
  <c r="AA283" i="4"/>
  <c r="Z284" i="4"/>
  <c r="AA284" i="4"/>
  <c r="Z285" i="4"/>
  <c r="AA285" i="4"/>
  <c r="Z286" i="4"/>
  <c r="AA286" i="4"/>
  <c r="Z287" i="4"/>
  <c r="AA287" i="4"/>
  <c r="Z288" i="4"/>
  <c r="AA288" i="4"/>
  <c r="Z289" i="4"/>
  <c r="AA289" i="4"/>
  <c r="Z290" i="4"/>
  <c r="AA290" i="4"/>
  <c r="Z291" i="4"/>
  <c r="AA291" i="4"/>
  <c r="Z292" i="4"/>
  <c r="AA292" i="4"/>
  <c r="Z293" i="4"/>
  <c r="AA293" i="4"/>
  <c r="Z294" i="4"/>
  <c r="AA294" i="4"/>
  <c r="Z295" i="4"/>
  <c r="AA295" i="4"/>
  <c r="Z296" i="4"/>
  <c r="AA296" i="4"/>
  <c r="Z297" i="4"/>
  <c r="AA297" i="4"/>
  <c r="Z298" i="4"/>
  <c r="AA298" i="4"/>
  <c r="Z299" i="4"/>
  <c r="AA299" i="4"/>
  <c r="Z300" i="4"/>
  <c r="AA300" i="4"/>
  <c r="Z301" i="4"/>
  <c r="AA301" i="4"/>
  <c r="Z302" i="4"/>
  <c r="AA302" i="4"/>
  <c r="Z303" i="4"/>
  <c r="AA303" i="4"/>
  <c r="Z304" i="4"/>
  <c r="AA304" i="4"/>
  <c r="Z305" i="4"/>
  <c r="AA305" i="4"/>
  <c r="Z306" i="4"/>
  <c r="AA306" i="4"/>
  <c r="Z307" i="4"/>
  <c r="AA307" i="4"/>
  <c r="Z308" i="4"/>
  <c r="AA308" i="4"/>
  <c r="Z309" i="4"/>
  <c r="AA309" i="4"/>
  <c r="Z310" i="4"/>
  <c r="AA310" i="4"/>
  <c r="Z311" i="4"/>
  <c r="AA311" i="4"/>
  <c r="Z312" i="4"/>
  <c r="AA312" i="4"/>
  <c r="Z313" i="4"/>
  <c r="AA313" i="4"/>
  <c r="Z314" i="4"/>
  <c r="AA314" i="4"/>
  <c r="Z315" i="4"/>
  <c r="AA315" i="4"/>
  <c r="Z316" i="4"/>
  <c r="AA316" i="4"/>
  <c r="Z317" i="4"/>
  <c r="AA317" i="4"/>
  <c r="Z318" i="4"/>
  <c r="AA318" i="4"/>
  <c r="Z319" i="4"/>
  <c r="AA319" i="4"/>
  <c r="Z320" i="4"/>
  <c r="AA320" i="4"/>
  <c r="Z321" i="4"/>
  <c r="AA321" i="4"/>
  <c r="Z322" i="4"/>
  <c r="AA322" i="4"/>
  <c r="Z323" i="4"/>
  <c r="AA323" i="4"/>
  <c r="Z324" i="4"/>
  <c r="AA324" i="4"/>
  <c r="Z325" i="4"/>
  <c r="AA325" i="4"/>
  <c r="Z326" i="4"/>
  <c r="AA326" i="4"/>
  <c r="Z327" i="4"/>
  <c r="AA327" i="4"/>
  <c r="Z328" i="4"/>
  <c r="AA328" i="4"/>
  <c r="Z329" i="4"/>
  <c r="AA329" i="4"/>
  <c r="Z330" i="4"/>
  <c r="AA330" i="4"/>
  <c r="Z331" i="4"/>
  <c r="AA331" i="4"/>
  <c r="Z332" i="4"/>
  <c r="AA332" i="4"/>
  <c r="Z333" i="4"/>
  <c r="AA333" i="4"/>
  <c r="Z334" i="4"/>
  <c r="AA334" i="4"/>
  <c r="Z335" i="4"/>
  <c r="AA335" i="4"/>
  <c r="Z336" i="4"/>
  <c r="AA336" i="4"/>
  <c r="Z337" i="4"/>
  <c r="AA337" i="4"/>
  <c r="Z338" i="4"/>
  <c r="AA338" i="4"/>
  <c r="Z339" i="4"/>
  <c r="AA339" i="4"/>
  <c r="Z340" i="4"/>
  <c r="AA340" i="4"/>
  <c r="Z341" i="4"/>
  <c r="AA341" i="4"/>
  <c r="Z342" i="4"/>
  <c r="AA342" i="4"/>
  <c r="Z343" i="4"/>
  <c r="AA343" i="4"/>
  <c r="Z344" i="4"/>
  <c r="AA344" i="4"/>
  <c r="Z345" i="4"/>
  <c r="AA345" i="4"/>
  <c r="Z346" i="4"/>
  <c r="AA346" i="4"/>
  <c r="Z347" i="4"/>
  <c r="AA347" i="4"/>
  <c r="Z348" i="4"/>
  <c r="AA348" i="4"/>
  <c r="Z349" i="4"/>
  <c r="AA349" i="4"/>
  <c r="Z350" i="4"/>
  <c r="AA350" i="4"/>
  <c r="Z351" i="4"/>
  <c r="AA351" i="4"/>
  <c r="Z352" i="4"/>
  <c r="AA352" i="4"/>
  <c r="Z353" i="4"/>
  <c r="AA353" i="4"/>
  <c r="Z354" i="4"/>
  <c r="AA354" i="4"/>
  <c r="Z355" i="4"/>
  <c r="AA355" i="4"/>
  <c r="Z356" i="4"/>
  <c r="AA356" i="4"/>
  <c r="Z357" i="4"/>
  <c r="AA357" i="4"/>
  <c r="Z358" i="4"/>
  <c r="AA358" i="4"/>
  <c r="Z359" i="4"/>
  <c r="AA359" i="4"/>
  <c r="Z360" i="4"/>
  <c r="AA360" i="4"/>
  <c r="Z361" i="4"/>
  <c r="AA361" i="4"/>
  <c r="Z362" i="4"/>
  <c r="AA362" i="4"/>
  <c r="Z363" i="4"/>
  <c r="AA363" i="4"/>
  <c r="Z364" i="4"/>
  <c r="AA364" i="4"/>
  <c r="Z365" i="4"/>
  <c r="AA365" i="4"/>
  <c r="Z366" i="4"/>
  <c r="AA366" i="4"/>
  <c r="Z367" i="4"/>
  <c r="AA367" i="4"/>
  <c r="Z368" i="4"/>
  <c r="AA368" i="4"/>
  <c r="Z369" i="4"/>
  <c r="AA369" i="4"/>
  <c r="Z370" i="4"/>
  <c r="AA370" i="4"/>
  <c r="Z371" i="4"/>
  <c r="AA371" i="4"/>
  <c r="Z372" i="4"/>
  <c r="AA372" i="4"/>
  <c r="Z373" i="4"/>
  <c r="AA373" i="4"/>
  <c r="Z374" i="4"/>
  <c r="AA374" i="4"/>
  <c r="Z375" i="4"/>
  <c r="AA375" i="4"/>
  <c r="Z376" i="4"/>
  <c r="AA376" i="4"/>
  <c r="Z377" i="4"/>
  <c r="AA377" i="4"/>
  <c r="Z378" i="4"/>
  <c r="AA378" i="4"/>
  <c r="Z379" i="4"/>
  <c r="AA379" i="4"/>
  <c r="Z380" i="4"/>
  <c r="AA380" i="4"/>
  <c r="Z381" i="4"/>
  <c r="AA381" i="4"/>
  <c r="Z382" i="4"/>
  <c r="AA382" i="4"/>
  <c r="Z383" i="4"/>
  <c r="AA383" i="4"/>
  <c r="Z384" i="4"/>
  <c r="AA384" i="4"/>
  <c r="Z385" i="4"/>
  <c r="AA385" i="4"/>
  <c r="Z386" i="4"/>
  <c r="AA386" i="4"/>
  <c r="Z387" i="4"/>
  <c r="AA387" i="4"/>
  <c r="Z388" i="4"/>
  <c r="AA388" i="4"/>
  <c r="Z389" i="4"/>
  <c r="AA389" i="4"/>
  <c r="Z390" i="4"/>
  <c r="AA390" i="4"/>
  <c r="Z391" i="4"/>
  <c r="AA391" i="4"/>
  <c r="Z392" i="4"/>
  <c r="AA392" i="4"/>
  <c r="Z393" i="4"/>
  <c r="AA393" i="4"/>
  <c r="Z394" i="4"/>
  <c r="AA394" i="4"/>
  <c r="Z395" i="4"/>
  <c r="AA395" i="4"/>
  <c r="Z396" i="4"/>
  <c r="AA396" i="4"/>
  <c r="Z397" i="4"/>
  <c r="AA397" i="4"/>
  <c r="Z398" i="4"/>
  <c r="AA398" i="4"/>
  <c r="Z399" i="4"/>
  <c r="AA399" i="4"/>
  <c r="Z400" i="4"/>
  <c r="AA400" i="4"/>
  <c r="Z401" i="4"/>
  <c r="AA401" i="4"/>
  <c r="Z402" i="4"/>
  <c r="AA402" i="4"/>
  <c r="Z403" i="4"/>
  <c r="AA403" i="4"/>
  <c r="Z404" i="4"/>
  <c r="AA404" i="4"/>
  <c r="Z405" i="4"/>
  <c r="AA405" i="4"/>
  <c r="Z406" i="4"/>
  <c r="AA406" i="4"/>
  <c r="Z407" i="4"/>
  <c r="AA407" i="4"/>
  <c r="Z408" i="4"/>
  <c r="AA408" i="4"/>
  <c r="Z409" i="4"/>
  <c r="AA409" i="4"/>
  <c r="Z410" i="4"/>
  <c r="AA410" i="4"/>
  <c r="Z411" i="4"/>
  <c r="AA411" i="4"/>
  <c r="Z412" i="4"/>
  <c r="AA412" i="4"/>
  <c r="Z413" i="4"/>
  <c r="AA413" i="4"/>
  <c r="Z414" i="4"/>
  <c r="AA414" i="4"/>
  <c r="Z415" i="4"/>
  <c r="AA415" i="4"/>
  <c r="Z416" i="4"/>
  <c r="AA416" i="4"/>
  <c r="Z417" i="4"/>
  <c r="AA417" i="4"/>
  <c r="Z418" i="4"/>
  <c r="AA418" i="4"/>
  <c r="Z419" i="4"/>
  <c r="AA419" i="4"/>
  <c r="Z420" i="4"/>
  <c r="AA420" i="4"/>
  <c r="Z421" i="4"/>
  <c r="AA421" i="4"/>
  <c r="Z422" i="4"/>
  <c r="AA422" i="4"/>
  <c r="Z423" i="4"/>
  <c r="AA423" i="4"/>
  <c r="Z424" i="4"/>
  <c r="AA424" i="4"/>
  <c r="Z425" i="4"/>
  <c r="AA425" i="4"/>
  <c r="Z426" i="4"/>
  <c r="AA426" i="4"/>
  <c r="Z427" i="4"/>
  <c r="AA427" i="4"/>
  <c r="Z428" i="4"/>
  <c r="AA428" i="4"/>
  <c r="Z429" i="4"/>
  <c r="AA429" i="4"/>
  <c r="Z430" i="4"/>
  <c r="AA430" i="4"/>
  <c r="Z431" i="4"/>
  <c r="AA431" i="4"/>
  <c r="Z432" i="4"/>
  <c r="AA432" i="4"/>
  <c r="Z433" i="4"/>
  <c r="AA433" i="4"/>
  <c r="Z434" i="4"/>
  <c r="AA434" i="4"/>
  <c r="Z435" i="4"/>
  <c r="AA435" i="4"/>
  <c r="Z436" i="4"/>
  <c r="AA436" i="4"/>
  <c r="Z437" i="4"/>
  <c r="AA437" i="4"/>
  <c r="Z438" i="4"/>
  <c r="AA438" i="4"/>
  <c r="Z439" i="4"/>
  <c r="AA439" i="4"/>
  <c r="Z440" i="4"/>
  <c r="AA440" i="4"/>
  <c r="Z441" i="4"/>
  <c r="AA441" i="4"/>
  <c r="Z442" i="4"/>
  <c r="AA442" i="4"/>
  <c r="Z443" i="4"/>
  <c r="AA443" i="4"/>
  <c r="Z444" i="4"/>
  <c r="AA444" i="4"/>
  <c r="Z445" i="4"/>
  <c r="AA445" i="4"/>
  <c r="Z446" i="4"/>
  <c r="AA446" i="4"/>
  <c r="Z447" i="4"/>
  <c r="AA447" i="4"/>
  <c r="Z448" i="4"/>
  <c r="AA448" i="4"/>
  <c r="Z449" i="4"/>
  <c r="AA449" i="4"/>
  <c r="Z450" i="4"/>
  <c r="AA450" i="4"/>
  <c r="Z451" i="4"/>
  <c r="AA451" i="4"/>
  <c r="Z452" i="4"/>
  <c r="AA452" i="4"/>
  <c r="Z453" i="4"/>
  <c r="AA453" i="4"/>
  <c r="Z454" i="4"/>
  <c r="AA454" i="4"/>
  <c r="Z455" i="4"/>
  <c r="AA455" i="4"/>
  <c r="Z456" i="4"/>
  <c r="AA456" i="4"/>
  <c r="Z457" i="4"/>
  <c r="AA457" i="4"/>
  <c r="Z458" i="4"/>
  <c r="AA458" i="4"/>
  <c r="Z459" i="4"/>
  <c r="AA459" i="4"/>
  <c r="Z460" i="4"/>
  <c r="AA460" i="4"/>
  <c r="Z461" i="4"/>
  <c r="AA461" i="4"/>
  <c r="Z462" i="4"/>
  <c r="AA462" i="4"/>
  <c r="Z463" i="4"/>
  <c r="AA463" i="4"/>
  <c r="Z464" i="4"/>
  <c r="AA464" i="4"/>
  <c r="Z465" i="4"/>
  <c r="AA465" i="4"/>
  <c r="Z466" i="4"/>
  <c r="AA466" i="4"/>
  <c r="Z467" i="4"/>
  <c r="AA467" i="4"/>
  <c r="Z468" i="4"/>
  <c r="AA468" i="4"/>
  <c r="Z469" i="4"/>
  <c r="AA469" i="4"/>
  <c r="Z470" i="4"/>
  <c r="AA470" i="4"/>
  <c r="Z471" i="4"/>
  <c r="AA471" i="4"/>
  <c r="Z472" i="4"/>
  <c r="AA472" i="4"/>
  <c r="Z473" i="4"/>
  <c r="AA473" i="4"/>
  <c r="Z474" i="4"/>
  <c r="AA474" i="4"/>
  <c r="Z475" i="4"/>
  <c r="AA475" i="4"/>
  <c r="Z476" i="4"/>
  <c r="AA476" i="4"/>
  <c r="Z477" i="4"/>
  <c r="AA477" i="4"/>
  <c r="Z478" i="4"/>
  <c r="AA478" i="4"/>
  <c r="Z479" i="4"/>
  <c r="AA479" i="4"/>
  <c r="Z480" i="4"/>
  <c r="AA480" i="4"/>
  <c r="Z481" i="4"/>
  <c r="AA481" i="4"/>
  <c r="Z482" i="4"/>
  <c r="AA482" i="4"/>
  <c r="Z483" i="4"/>
  <c r="AA483" i="4"/>
  <c r="Z484" i="4"/>
  <c r="AA484" i="4"/>
  <c r="Z485" i="4"/>
  <c r="AA485" i="4"/>
  <c r="Z486" i="4"/>
  <c r="AA486" i="4"/>
  <c r="Z487" i="4"/>
  <c r="AA487" i="4"/>
  <c r="Z488" i="4"/>
  <c r="AA488" i="4"/>
  <c r="Z489" i="4"/>
  <c r="AA489" i="4"/>
  <c r="Z490" i="4"/>
  <c r="AA490" i="4"/>
  <c r="Z491" i="4"/>
  <c r="AA491" i="4"/>
  <c r="Z492" i="4"/>
  <c r="AA492" i="4"/>
  <c r="Z493" i="4"/>
  <c r="AA493" i="4"/>
  <c r="Z494" i="4"/>
  <c r="AA494" i="4"/>
  <c r="Z495" i="4"/>
  <c r="AA495" i="4"/>
  <c r="Z496" i="4"/>
  <c r="AA496" i="4"/>
  <c r="Z497" i="4"/>
  <c r="AA497" i="4"/>
  <c r="Z498" i="4"/>
  <c r="AA498" i="4"/>
  <c r="Z499" i="4"/>
  <c r="AA499" i="4"/>
  <c r="Z500" i="4"/>
  <c r="AA500" i="4"/>
  <c r="Z501" i="4"/>
  <c r="AA501" i="4"/>
  <c r="Z502" i="4"/>
  <c r="AA502" i="4"/>
  <c r="Z503" i="4"/>
  <c r="AA503" i="4"/>
  <c r="Z504" i="4"/>
  <c r="AA504" i="4"/>
  <c r="Z505" i="4"/>
  <c r="AA505" i="4"/>
  <c r="Z506" i="4"/>
  <c r="AA506" i="4"/>
  <c r="Z507" i="4"/>
  <c r="AA507" i="4"/>
  <c r="Z508" i="4"/>
  <c r="AA508" i="4"/>
  <c r="Z509" i="4"/>
  <c r="AA509" i="4"/>
  <c r="Z510" i="4"/>
  <c r="AA510" i="4"/>
  <c r="Z511" i="4"/>
  <c r="AA511" i="4"/>
  <c r="Z512" i="4"/>
  <c r="AA512" i="4"/>
  <c r="Z513" i="4"/>
  <c r="AA513" i="4"/>
  <c r="Z514" i="4"/>
  <c r="AA514" i="4"/>
  <c r="Z515" i="4"/>
  <c r="AA515" i="4"/>
  <c r="Z516" i="4"/>
  <c r="AA516" i="4"/>
  <c r="Z517" i="4"/>
  <c r="AA517" i="4"/>
  <c r="Z518" i="4"/>
  <c r="AA518" i="4"/>
  <c r="Z519" i="4"/>
  <c r="AA519" i="4"/>
  <c r="Z520" i="4"/>
  <c r="AA520" i="4"/>
  <c r="Z521" i="4"/>
  <c r="AA521" i="4"/>
  <c r="Z522" i="4"/>
  <c r="AA522" i="4"/>
  <c r="Z523" i="4"/>
  <c r="AA523" i="4"/>
  <c r="Z524" i="4"/>
  <c r="AA524" i="4"/>
  <c r="Z525" i="4"/>
  <c r="AA525" i="4"/>
  <c r="Z526" i="4"/>
  <c r="AA526" i="4"/>
  <c r="Z527" i="4"/>
  <c r="AA527" i="4"/>
  <c r="Z528" i="4"/>
  <c r="AA528" i="4"/>
  <c r="Z529" i="4"/>
  <c r="AA529" i="4"/>
  <c r="Z530" i="4"/>
  <c r="AA530" i="4"/>
  <c r="Z531" i="4"/>
  <c r="AA531" i="4"/>
  <c r="Z532" i="4"/>
  <c r="AA532" i="4"/>
  <c r="Z533" i="4"/>
  <c r="AA533" i="4"/>
  <c r="Z534" i="4"/>
  <c r="AA534" i="4"/>
  <c r="Z535" i="4"/>
  <c r="AA535" i="4"/>
  <c r="Z536" i="4"/>
  <c r="AA536" i="4"/>
  <c r="Z537" i="4"/>
  <c r="AA537" i="4"/>
  <c r="Z538" i="4"/>
  <c r="AA538" i="4"/>
  <c r="Z539" i="4"/>
  <c r="AA539" i="4"/>
  <c r="Z540" i="4"/>
  <c r="AA540" i="4"/>
  <c r="Z541" i="4"/>
  <c r="AA541" i="4"/>
  <c r="Z542" i="4"/>
  <c r="AA542" i="4"/>
  <c r="Z543" i="4"/>
  <c r="AA543" i="4"/>
  <c r="Z544" i="4"/>
  <c r="AA544" i="4"/>
  <c r="Z545" i="4"/>
  <c r="AA545" i="4"/>
  <c r="Z546" i="4"/>
  <c r="AA546" i="4"/>
  <c r="Z547" i="4"/>
  <c r="AA547" i="4"/>
  <c r="Z548" i="4"/>
  <c r="AA548" i="4"/>
  <c r="Z549" i="4"/>
  <c r="AA549" i="4"/>
  <c r="Z550" i="4"/>
  <c r="AA550" i="4"/>
  <c r="Z551" i="4"/>
  <c r="AA551" i="4"/>
  <c r="Z552" i="4"/>
  <c r="AA552" i="4"/>
  <c r="Z553" i="4"/>
  <c r="AA553" i="4"/>
  <c r="Z554" i="4"/>
  <c r="AA554" i="4"/>
  <c r="Z555" i="4"/>
  <c r="AA555" i="4"/>
  <c r="Z556" i="4"/>
  <c r="AA556" i="4"/>
  <c r="Z557" i="4"/>
  <c r="AA557" i="4"/>
  <c r="Z558" i="4"/>
  <c r="AA558" i="4"/>
  <c r="Z559" i="4"/>
  <c r="AA559" i="4"/>
  <c r="Z560" i="4"/>
  <c r="AA560" i="4"/>
  <c r="Z561" i="4"/>
  <c r="AA561" i="4"/>
  <c r="Z562" i="4"/>
  <c r="AA562" i="4"/>
  <c r="Z563" i="4"/>
  <c r="AA563" i="4"/>
  <c r="Z564" i="4"/>
  <c r="AA564" i="4"/>
  <c r="Z565" i="4"/>
  <c r="AA565" i="4"/>
  <c r="Z566" i="4"/>
  <c r="AA566" i="4"/>
  <c r="Z567" i="4"/>
  <c r="AA567" i="4"/>
  <c r="Z568" i="4"/>
  <c r="AA568" i="4"/>
  <c r="Z569" i="4"/>
  <c r="AA569" i="4"/>
  <c r="Z570" i="4"/>
  <c r="AA570" i="4"/>
  <c r="Z571" i="4"/>
  <c r="AA571" i="4"/>
  <c r="Z572" i="4"/>
  <c r="AA572" i="4"/>
  <c r="Z573" i="4"/>
  <c r="AA573" i="4"/>
  <c r="Z574" i="4"/>
  <c r="AA574" i="4"/>
  <c r="Z575" i="4"/>
  <c r="AA575" i="4"/>
  <c r="Z576" i="4"/>
  <c r="AA576" i="4"/>
  <c r="Z577" i="4"/>
  <c r="AA577" i="4"/>
  <c r="Z578" i="4"/>
  <c r="AA578" i="4"/>
  <c r="Z579" i="4"/>
  <c r="AA579" i="4"/>
  <c r="Z580" i="4"/>
  <c r="AA580" i="4"/>
  <c r="Z581" i="4"/>
  <c r="AA581" i="4"/>
  <c r="Z582" i="4"/>
  <c r="AA582" i="4"/>
  <c r="Z583" i="4"/>
  <c r="AA583" i="4"/>
  <c r="Z584" i="4"/>
  <c r="AA584" i="4"/>
  <c r="Z585" i="4"/>
  <c r="AA585" i="4"/>
  <c r="Z586" i="4"/>
  <c r="AA586" i="4"/>
  <c r="Z587" i="4"/>
  <c r="AA587" i="4"/>
  <c r="Z588" i="4"/>
  <c r="AA588" i="4"/>
  <c r="Z589" i="4"/>
  <c r="AA589" i="4"/>
  <c r="Z590" i="4"/>
  <c r="AA590" i="4"/>
  <c r="Z591" i="4"/>
  <c r="AA591" i="4"/>
  <c r="Z592" i="4"/>
  <c r="AA592" i="4"/>
  <c r="Z593" i="4"/>
  <c r="AA593" i="4"/>
  <c r="Z594" i="4"/>
  <c r="AA594" i="4"/>
  <c r="Z595" i="4"/>
  <c r="AA595" i="4"/>
  <c r="Z596" i="4"/>
  <c r="AA596" i="4"/>
  <c r="Z597" i="4"/>
  <c r="AA597" i="4"/>
  <c r="Z598" i="4"/>
  <c r="AA598" i="4"/>
  <c r="Z599" i="4"/>
  <c r="AA599" i="4"/>
  <c r="Z600" i="4"/>
  <c r="AA600" i="4"/>
  <c r="Z601" i="4"/>
  <c r="AA601" i="4"/>
  <c r="Z602" i="4"/>
  <c r="AA602" i="4"/>
  <c r="Z603" i="4"/>
  <c r="AA603" i="4"/>
  <c r="Z604" i="4"/>
  <c r="AA604" i="4"/>
  <c r="Z605" i="4"/>
  <c r="AA605" i="4"/>
  <c r="Z606" i="4"/>
  <c r="AA606" i="4"/>
  <c r="Z607" i="4"/>
  <c r="AA607" i="4"/>
  <c r="Z608" i="4"/>
  <c r="AA608" i="4"/>
  <c r="Z609" i="4"/>
  <c r="AA609" i="4"/>
  <c r="Z610" i="4"/>
  <c r="AA610" i="4"/>
  <c r="Z611" i="4"/>
  <c r="AA611" i="4"/>
  <c r="Z612" i="4"/>
  <c r="AA612" i="4"/>
  <c r="Z613" i="4"/>
  <c r="AA613" i="4"/>
  <c r="Z614" i="4"/>
  <c r="AA614" i="4"/>
  <c r="Z615" i="4"/>
  <c r="AA615" i="4"/>
  <c r="Z616" i="4"/>
  <c r="AA616" i="4"/>
  <c r="Z617" i="4"/>
  <c r="AA617" i="4"/>
  <c r="Z618" i="4"/>
  <c r="AA618" i="4"/>
  <c r="Z619" i="4"/>
  <c r="AA619" i="4"/>
  <c r="Z620" i="4"/>
  <c r="AA620" i="4"/>
  <c r="Z621" i="4"/>
  <c r="AA621" i="4"/>
  <c r="Z622" i="4"/>
  <c r="AA622" i="4"/>
  <c r="Z623" i="4"/>
  <c r="AA623" i="4"/>
  <c r="Z624" i="4"/>
  <c r="AA624" i="4"/>
  <c r="Z625" i="4"/>
  <c r="AA625" i="4"/>
  <c r="Z626" i="4"/>
  <c r="AA626" i="4"/>
  <c r="Z627" i="4"/>
  <c r="AA627" i="4"/>
  <c r="Z628" i="4"/>
  <c r="AA628" i="4"/>
  <c r="Z629" i="4"/>
  <c r="AA629" i="4"/>
  <c r="Z630" i="4"/>
  <c r="AA630" i="4"/>
  <c r="Z631" i="4"/>
  <c r="AA631" i="4"/>
  <c r="Z632" i="4"/>
  <c r="AA632" i="4"/>
  <c r="Z633" i="4"/>
  <c r="AA633" i="4"/>
  <c r="Z634" i="4"/>
  <c r="AA634" i="4"/>
  <c r="Z635" i="4"/>
  <c r="AA635" i="4"/>
  <c r="Z636" i="4"/>
  <c r="AA636" i="4"/>
  <c r="Z637" i="4"/>
  <c r="AA637" i="4"/>
  <c r="Z638" i="4"/>
  <c r="AA638" i="4"/>
  <c r="Z639" i="4"/>
  <c r="AA639" i="4"/>
  <c r="Z640" i="4"/>
  <c r="AA640" i="4"/>
  <c r="Z641" i="4"/>
  <c r="AA641" i="4"/>
  <c r="Z642" i="4"/>
  <c r="AA642" i="4"/>
  <c r="Z643" i="4"/>
  <c r="AA643" i="4"/>
  <c r="Z644" i="4"/>
  <c r="AA644" i="4"/>
  <c r="Z645" i="4"/>
  <c r="AA645" i="4"/>
  <c r="Z646" i="4"/>
  <c r="AA646" i="4"/>
  <c r="Z647" i="4"/>
  <c r="AA647" i="4"/>
  <c r="Z648" i="4"/>
  <c r="AA648" i="4"/>
  <c r="Z649" i="4"/>
  <c r="AA649" i="4"/>
  <c r="Z650" i="4"/>
  <c r="AA650" i="4"/>
  <c r="Z651" i="4"/>
  <c r="AA651" i="4"/>
  <c r="Z652" i="4"/>
  <c r="AA652" i="4"/>
  <c r="Z653" i="4"/>
  <c r="AA653" i="4"/>
  <c r="Z654" i="4"/>
  <c r="AA654" i="4"/>
  <c r="Z655" i="4"/>
  <c r="AA655" i="4"/>
  <c r="Z656" i="4"/>
  <c r="AA656" i="4"/>
  <c r="Z657" i="4"/>
  <c r="AA657" i="4"/>
  <c r="Z658" i="4"/>
  <c r="AA658" i="4"/>
  <c r="Z659" i="4"/>
  <c r="AA659" i="4"/>
  <c r="Z660" i="4"/>
  <c r="AA660" i="4"/>
  <c r="Z661" i="4"/>
  <c r="AA661" i="4"/>
  <c r="Z662" i="4"/>
  <c r="AA662" i="4"/>
  <c r="Z663" i="4"/>
  <c r="AA663" i="4"/>
  <c r="Z664" i="4"/>
  <c r="AA664" i="4"/>
  <c r="Z665" i="4"/>
  <c r="AA665" i="4"/>
  <c r="Z666" i="4"/>
  <c r="AA666" i="4"/>
  <c r="Z667" i="4"/>
  <c r="AA667" i="4"/>
  <c r="Z668" i="4"/>
  <c r="AA668" i="4"/>
  <c r="Z669" i="4"/>
  <c r="AA669" i="4"/>
  <c r="Z670" i="4"/>
  <c r="AA670" i="4"/>
  <c r="Z671" i="4"/>
  <c r="AA671" i="4"/>
  <c r="Z672" i="4"/>
  <c r="AA672" i="4"/>
  <c r="Z673" i="4"/>
  <c r="AA673" i="4"/>
  <c r="Z674" i="4"/>
  <c r="AA674" i="4"/>
  <c r="Z675" i="4"/>
  <c r="AA675" i="4"/>
  <c r="Z676" i="4"/>
  <c r="AA676" i="4"/>
  <c r="Z677" i="4"/>
  <c r="AA677" i="4"/>
  <c r="Z678" i="4"/>
  <c r="AA678" i="4"/>
  <c r="Z679" i="4"/>
  <c r="AA679" i="4"/>
  <c r="Z680" i="4"/>
  <c r="AA680" i="4"/>
  <c r="Z681" i="4"/>
  <c r="AA681" i="4"/>
  <c r="Z682" i="4"/>
  <c r="AA682" i="4"/>
  <c r="Z683" i="4"/>
  <c r="AA683" i="4"/>
  <c r="Z684" i="4"/>
  <c r="AA684" i="4"/>
  <c r="Z685" i="4"/>
  <c r="AA685" i="4"/>
  <c r="Z686" i="4"/>
  <c r="AA686" i="4"/>
  <c r="Z687" i="4"/>
  <c r="AA687" i="4"/>
  <c r="Z688" i="4"/>
  <c r="AA688" i="4"/>
  <c r="Z689" i="4"/>
  <c r="AA689" i="4"/>
  <c r="Z690" i="4"/>
  <c r="AA690" i="4"/>
  <c r="Z691" i="4"/>
  <c r="AA691" i="4"/>
  <c r="Z692" i="4"/>
  <c r="AA692" i="4"/>
  <c r="Z693" i="4"/>
  <c r="AA693" i="4"/>
  <c r="Z694" i="4"/>
  <c r="AA694" i="4"/>
  <c r="Z695" i="4"/>
  <c r="AA695" i="4"/>
  <c r="Z696" i="4"/>
  <c r="AA696" i="4"/>
  <c r="Z697" i="4"/>
  <c r="AA697" i="4"/>
  <c r="Z698" i="4"/>
  <c r="AA698" i="4"/>
  <c r="Z699" i="4"/>
  <c r="AA699" i="4"/>
  <c r="Z700" i="4"/>
  <c r="AA700" i="4"/>
  <c r="Z701" i="4"/>
  <c r="AA701" i="4"/>
  <c r="Z702" i="4"/>
  <c r="AA702" i="4"/>
  <c r="Z703" i="4"/>
  <c r="AA703" i="4"/>
  <c r="Z704" i="4"/>
  <c r="AA704" i="4"/>
  <c r="Z705" i="4"/>
  <c r="AA705" i="4"/>
  <c r="Z706" i="4"/>
  <c r="AA706" i="4"/>
  <c r="Z707" i="4"/>
  <c r="AA707" i="4"/>
  <c r="Z708" i="4"/>
  <c r="AA708" i="4"/>
  <c r="Z709" i="4"/>
  <c r="AA709" i="4"/>
  <c r="Z710" i="4"/>
  <c r="AA710" i="4"/>
  <c r="Z711" i="4"/>
  <c r="AA711" i="4"/>
  <c r="Z712" i="4"/>
  <c r="AA712" i="4"/>
  <c r="Z713" i="4"/>
  <c r="AA713" i="4"/>
  <c r="Z714" i="4"/>
  <c r="AA714" i="4"/>
  <c r="Z715" i="4"/>
  <c r="AA715" i="4"/>
  <c r="Z716" i="4"/>
  <c r="AA716" i="4"/>
  <c r="Z717" i="4"/>
  <c r="AA717" i="4"/>
  <c r="Z718" i="4"/>
  <c r="AA718" i="4"/>
  <c r="Z719" i="4"/>
  <c r="AA719" i="4"/>
  <c r="Z720" i="4"/>
  <c r="AA720" i="4"/>
  <c r="Z721" i="4"/>
  <c r="AA721" i="4"/>
  <c r="Z722" i="4"/>
  <c r="AA722" i="4"/>
  <c r="Z723" i="4"/>
  <c r="AA723" i="4"/>
  <c r="Z724" i="4"/>
  <c r="AA724" i="4"/>
  <c r="Z725" i="4"/>
  <c r="AA725" i="4"/>
  <c r="Z726" i="4"/>
  <c r="AA726" i="4"/>
  <c r="Z727" i="4"/>
  <c r="AA727" i="4"/>
  <c r="Z728" i="4"/>
  <c r="AA728" i="4"/>
  <c r="Z729" i="4"/>
  <c r="AA729" i="4"/>
  <c r="Z730" i="4"/>
  <c r="AA730" i="4"/>
  <c r="Z731" i="4"/>
  <c r="AA731" i="4"/>
  <c r="Z732" i="4"/>
  <c r="AA732" i="4"/>
  <c r="Z733" i="4"/>
  <c r="AA733" i="4"/>
  <c r="Z734" i="4"/>
  <c r="AA734" i="4"/>
  <c r="Z735" i="4"/>
  <c r="AA735" i="4"/>
  <c r="Z736" i="4"/>
  <c r="AA736" i="4"/>
  <c r="Z737" i="4"/>
  <c r="AA737" i="4"/>
  <c r="Z738" i="4"/>
  <c r="AA738" i="4"/>
  <c r="Z739" i="4"/>
  <c r="AA739" i="4"/>
  <c r="Z740" i="4"/>
  <c r="AA740" i="4"/>
  <c r="Z741" i="4"/>
  <c r="AA741" i="4"/>
  <c r="Z742" i="4"/>
  <c r="AA742" i="4"/>
  <c r="Z743" i="4"/>
  <c r="AA743" i="4"/>
  <c r="Z744" i="4"/>
  <c r="AA744" i="4"/>
  <c r="Z745" i="4"/>
  <c r="AA745" i="4"/>
  <c r="Z746" i="4"/>
  <c r="AA746" i="4"/>
  <c r="Z747" i="4"/>
  <c r="AA747" i="4"/>
  <c r="Z748" i="4"/>
  <c r="AA748" i="4"/>
  <c r="Z749" i="4"/>
  <c r="AA749" i="4"/>
  <c r="Z750" i="4"/>
  <c r="AA750" i="4"/>
  <c r="Z751" i="4"/>
  <c r="AA751" i="4"/>
  <c r="Z752" i="4"/>
  <c r="AA752" i="4"/>
  <c r="Z753" i="4"/>
  <c r="AA753" i="4"/>
  <c r="Z754" i="4"/>
  <c r="AA754" i="4"/>
  <c r="Z755" i="4"/>
  <c r="AA755" i="4"/>
  <c r="Z756" i="4"/>
  <c r="AA756" i="4"/>
  <c r="Z757" i="4"/>
  <c r="AA757" i="4"/>
  <c r="Z758" i="4"/>
  <c r="AA758" i="4"/>
  <c r="Z759" i="4"/>
  <c r="AA759" i="4"/>
  <c r="Z760" i="4"/>
  <c r="AA760" i="4"/>
  <c r="Z761" i="4"/>
  <c r="AA761" i="4"/>
  <c r="Z762" i="4"/>
  <c r="AA762" i="4"/>
  <c r="Z763" i="4"/>
  <c r="AA763" i="4"/>
  <c r="Z764" i="4"/>
  <c r="AA764" i="4"/>
  <c r="Z765" i="4"/>
  <c r="AA765" i="4"/>
  <c r="Z766" i="4"/>
  <c r="AA766" i="4"/>
  <c r="Z767" i="4"/>
  <c r="AA767" i="4"/>
  <c r="Z768" i="4"/>
  <c r="AA768" i="4"/>
  <c r="Z769" i="4"/>
  <c r="AA769" i="4"/>
  <c r="Z770" i="4"/>
  <c r="AA770" i="4"/>
  <c r="Z771" i="4"/>
  <c r="AA771" i="4"/>
  <c r="Z772" i="4"/>
  <c r="AA772" i="4"/>
  <c r="Z773" i="4"/>
  <c r="AA773" i="4"/>
  <c r="Z774" i="4"/>
  <c r="AA774" i="4"/>
  <c r="Z775" i="4"/>
  <c r="AA775" i="4"/>
  <c r="Z776" i="4"/>
  <c r="AA776" i="4"/>
  <c r="Z777" i="4"/>
  <c r="AA777" i="4"/>
  <c r="Z778" i="4"/>
  <c r="AA778" i="4"/>
  <c r="Z779" i="4"/>
  <c r="AA779" i="4"/>
  <c r="Z780" i="4"/>
  <c r="AA780" i="4"/>
  <c r="Z781" i="4"/>
  <c r="AA781" i="4"/>
  <c r="Z782" i="4"/>
  <c r="AA782" i="4"/>
  <c r="Z783" i="4"/>
  <c r="AA783" i="4"/>
  <c r="Z784" i="4"/>
  <c r="AA784" i="4"/>
  <c r="Z785" i="4"/>
  <c r="AA785" i="4"/>
  <c r="Z786" i="4"/>
  <c r="AA786" i="4"/>
  <c r="Z787" i="4"/>
  <c r="AA787" i="4"/>
  <c r="Z788" i="4"/>
  <c r="AA788" i="4"/>
  <c r="Z789" i="4"/>
  <c r="AA789" i="4"/>
  <c r="Z790" i="4"/>
  <c r="AA790" i="4"/>
  <c r="Z791" i="4"/>
  <c r="AA791" i="4"/>
  <c r="Z792" i="4"/>
  <c r="AA792" i="4"/>
  <c r="Z793" i="4"/>
  <c r="AA793" i="4"/>
  <c r="Z794" i="4"/>
  <c r="AA794" i="4"/>
  <c r="Z795" i="4"/>
  <c r="AA795" i="4"/>
  <c r="Z796" i="4"/>
  <c r="AA796" i="4"/>
  <c r="Z797" i="4"/>
  <c r="AA797" i="4"/>
  <c r="Z798" i="4"/>
  <c r="AA798" i="4"/>
  <c r="Z799" i="4"/>
  <c r="AA799" i="4"/>
  <c r="Z800" i="4"/>
  <c r="AA800" i="4"/>
  <c r="Z801" i="4"/>
  <c r="AA801" i="4"/>
  <c r="Z802" i="4"/>
  <c r="AA802" i="4"/>
  <c r="Z803" i="4"/>
  <c r="AA803" i="4"/>
  <c r="Z804" i="4"/>
  <c r="AA804" i="4"/>
  <c r="Z805" i="4"/>
  <c r="AA805" i="4"/>
  <c r="Z806" i="4"/>
  <c r="AA806" i="4"/>
  <c r="Z807" i="4"/>
  <c r="AA807" i="4"/>
  <c r="Z808" i="4"/>
  <c r="AA808" i="4"/>
  <c r="Z809" i="4"/>
  <c r="AA809" i="4"/>
  <c r="Z810" i="4"/>
  <c r="AA810" i="4"/>
  <c r="Z811" i="4"/>
  <c r="AA811" i="4"/>
  <c r="Z812" i="4"/>
  <c r="AA812" i="4"/>
  <c r="Z813" i="4"/>
  <c r="AA813" i="4"/>
  <c r="Z814" i="4"/>
  <c r="AA814" i="4"/>
  <c r="Z815" i="4"/>
  <c r="AA815" i="4"/>
  <c r="Z816" i="4"/>
  <c r="AA816" i="4"/>
  <c r="Z817" i="4"/>
  <c r="AA817" i="4"/>
  <c r="Z818" i="4"/>
  <c r="AA818" i="4"/>
  <c r="Z819" i="4"/>
  <c r="AA819" i="4"/>
  <c r="Z820" i="4"/>
  <c r="AA820" i="4"/>
  <c r="Z821" i="4"/>
  <c r="AA821" i="4"/>
  <c r="Z822" i="4"/>
  <c r="AA822" i="4"/>
  <c r="Z823" i="4"/>
  <c r="AA823" i="4"/>
  <c r="Z824" i="4"/>
  <c r="AA824" i="4"/>
  <c r="Z825" i="4"/>
  <c r="AA825" i="4"/>
  <c r="Z826" i="4"/>
  <c r="AA826" i="4"/>
  <c r="Z827" i="4"/>
  <c r="AA827" i="4"/>
  <c r="Z828" i="4"/>
  <c r="AA828" i="4"/>
  <c r="Z829" i="4"/>
  <c r="AA829" i="4"/>
  <c r="Z830" i="4"/>
  <c r="AA830" i="4"/>
  <c r="Z831" i="4"/>
  <c r="AA831" i="4"/>
  <c r="Z832" i="4"/>
  <c r="AA832" i="4"/>
  <c r="Z833" i="4"/>
  <c r="AA833" i="4"/>
  <c r="Z834" i="4"/>
  <c r="AA834" i="4"/>
  <c r="Z835" i="4"/>
  <c r="AA835" i="4"/>
  <c r="Z836" i="4"/>
  <c r="AA836" i="4"/>
  <c r="Z837" i="4"/>
  <c r="AA837" i="4"/>
  <c r="Z838" i="4"/>
  <c r="AA838" i="4"/>
  <c r="Z839" i="4"/>
  <c r="AA839" i="4"/>
  <c r="Z840" i="4"/>
  <c r="AA840" i="4"/>
  <c r="Z841" i="4"/>
  <c r="AA841" i="4"/>
  <c r="Z842" i="4"/>
  <c r="AA842" i="4"/>
  <c r="Z843" i="4"/>
  <c r="AA843" i="4"/>
  <c r="Z844" i="4"/>
  <c r="AA844" i="4"/>
  <c r="Z845" i="4"/>
  <c r="AA845" i="4"/>
  <c r="Z846" i="4"/>
  <c r="AA846" i="4"/>
  <c r="Z847" i="4"/>
  <c r="AA847" i="4"/>
  <c r="Z848" i="4"/>
  <c r="AA848" i="4"/>
  <c r="Z849" i="4"/>
  <c r="AA849" i="4"/>
  <c r="Z850" i="4"/>
  <c r="AA850" i="4"/>
  <c r="Z851" i="4"/>
  <c r="AA851" i="4"/>
  <c r="Z852" i="4"/>
  <c r="AA852" i="4"/>
  <c r="Z853" i="4"/>
  <c r="AA853" i="4"/>
  <c r="Z854" i="4"/>
  <c r="AA854" i="4"/>
  <c r="Z855" i="4"/>
  <c r="AA855" i="4"/>
  <c r="Z856" i="4"/>
  <c r="AA856" i="4"/>
  <c r="Z857" i="4"/>
  <c r="AA857" i="4"/>
  <c r="Z858" i="4"/>
  <c r="AA858" i="4"/>
  <c r="Z859" i="4"/>
  <c r="AA859" i="4"/>
  <c r="Z860" i="4"/>
  <c r="AA860" i="4"/>
  <c r="Z861" i="4"/>
  <c r="AA861" i="4"/>
  <c r="Z862" i="4"/>
  <c r="AA862" i="4"/>
  <c r="Z863" i="4"/>
  <c r="AA863" i="4"/>
  <c r="Z864" i="4"/>
  <c r="AA864" i="4"/>
  <c r="Z865" i="4"/>
  <c r="AA865" i="4"/>
  <c r="Z866" i="4"/>
  <c r="AA866" i="4"/>
  <c r="Z867" i="4"/>
  <c r="AA867" i="4"/>
  <c r="Z868" i="4"/>
  <c r="AA868" i="4"/>
  <c r="Z869" i="4"/>
  <c r="AA869" i="4"/>
  <c r="Z870" i="4"/>
  <c r="AA870" i="4"/>
  <c r="Z871" i="4"/>
  <c r="AA871" i="4"/>
  <c r="Z872" i="4"/>
  <c r="AA872" i="4"/>
  <c r="Z873" i="4"/>
  <c r="AA873" i="4"/>
  <c r="Z874" i="4"/>
  <c r="AA874" i="4"/>
  <c r="Z875" i="4"/>
  <c r="AA875" i="4"/>
  <c r="Z876" i="4"/>
  <c r="AA876" i="4"/>
  <c r="Z877" i="4"/>
  <c r="AA877" i="4"/>
  <c r="Z878" i="4"/>
  <c r="AA878" i="4"/>
  <c r="Z879" i="4"/>
  <c r="AA879" i="4"/>
  <c r="Z880" i="4"/>
  <c r="AA880" i="4"/>
  <c r="Z881" i="4"/>
  <c r="AA881" i="4"/>
  <c r="Z882" i="4"/>
  <c r="AA882" i="4"/>
  <c r="Z883" i="4"/>
  <c r="AA883" i="4"/>
  <c r="Z884" i="4"/>
  <c r="AA884" i="4"/>
  <c r="Z885" i="4"/>
  <c r="AA885" i="4"/>
  <c r="Z886" i="4"/>
  <c r="AA886" i="4"/>
  <c r="Z887" i="4"/>
  <c r="AA887" i="4"/>
  <c r="Z888" i="4"/>
  <c r="AA888" i="4"/>
  <c r="Z889" i="4"/>
  <c r="AA889" i="4"/>
  <c r="Z890" i="4"/>
  <c r="AA890" i="4"/>
  <c r="Z891" i="4"/>
  <c r="AA891" i="4"/>
  <c r="Z892" i="4"/>
  <c r="AA892" i="4"/>
  <c r="Z893" i="4"/>
  <c r="AA893" i="4"/>
  <c r="Z894" i="4"/>
  <c r="AA894" i="4"/>
  <c r="Z895" i="4"/>
  <c r="AA895" i="4"/>
  <c r="Z896" i="4"/>
  <c r="AA896" i="4"/>
  <c r="Z897" i="4"/>
  <c r="AA897" i="4"/>
  <c r="Z898" i="4"/>
  <c r="AA898" i="4"/>
  <c r="Z899" i="4"/>
  <c r="AA899" i="4"/>
  <c r="Z900" i="4"/>
  <c r="AA900" i="4"/>
  <c r="Z901" i="4"/>
  <c r="AA901" i="4"/>
  <c r="Z902" i="4"/>
  <c r="AA902" i="4"/>
  <c r="Z903" i="4"/>
  <c r="AA903" i="4"/>
  <c r="Z904" i="4"/>
  <c r="AA904" i="4"/>
  <c r="Z905" i="4"/>
  <c r="AA905" i="4"/>
  <c r="Z906" i="4"/>
  <c r="AA906" i="4"/>
  <c r="Z907" i="4"/>
  <c r="AA907" i="4"/>
  <c r="Z908" i="4"/>
  <c r="AA908" i="4"/>
  <c r="Z909" i="4"/>
  <c r="AA909" i="4"/>
  <c r="Z910" i="4"/>
  <c r="AA910" i="4"/>
  <c r="Z911" i="4"/>
  <c r="AA911" i="4"/>
  <c r="Z912" i="4"/>
  <c r="AA912" i="4"/>
  <c r="Z913" i="4"/>
  <c r="AA913" i="4"/>
  <c r="Z914" i="4"/>
  <c r="AA914" i="4"/>
  <c r="Z915" i="4"/>
  <c r="AA915" i="4"/>
  <c r="Z916" i="4"/>
  <c r="AA916" i="4"/>
  <c r="Z917" i="4"/>
  <c r="AA917" i="4"/>
  <c r="Z918" i="4"/>
  <c r="AA918" i="4"/>
  <c r="Z919" i="4"/>
  <c r="AA919" i="4"/>
  <c r="Z920" i="4"/>
  <c r="AA920" i="4"/>
  <c r="Z921" i="4"/>
  <c r="AA921" i="4"/>
  <c r="Z922" i="4"/>
  <c r="AA922" i="4"/>
  <c r="Z923" i="4"/>
  <c r="AA923" i="4"/>
  <c r="Z924" i="4"/>
  <c r="AA924" i="4"/>
  <c r="Z925" i="4"/>
  <c r="AA925" i="4"/>
  <c r="Z926" i="4"/>
  <c r="AA926" i="4"/>
  <c r="Z927" i="4"/>
  <c r="AA927" i="4"/>
  <c r="Z928" i="4"/>
  <c r="AA928" i="4"/>
  <c r="Z929" i="4"/>
  <c r="AA929" i="4"/>
  <c r="Z930" i="4"/>
  <c r="AA930" i="4"/>
  <c r="Z931" i="4"/>
  <c r="AA931" i="4"/>
  <c r="Z932" i="4"/>
  <c r="AA932" i="4"/>
  <c r="Z933" i="4"/>
  <c r="AA933" i="4"/>
  <c r="Z934" i="4"/>
  <c r="AA934" i="4"/>
  <c r="Z935" i="4"/>
  <c r="AA935" i="4"/>
  <c r="Z936" i="4"/>
  <c r="AA936" i="4"/>
  <c r="Z937" i="4"/>
  <c r="AA937" i="4"/>
  <c r="Z938" i="4"/>
  <c r="AA938" i="4"/>
  <c r="Z939" i="4"/>
  <c r="AA939" i="4"/>
  <c r="Z940" i="4"/>
  <c r="AA940" i="4"/>
  <c r="Z941" i="4"/>
  <c r="AA941" i="4"/>
  <c r="Z942" i="4"/>
  <c r="AA942" i="4"/>
  <c r="Z943" i="4"/>
  <c r="AA943" i="4"/>
  <c r="Z944" i="4"/>
  <c r="AA944" i="4"/>
  <c r="Z945" i="4"/>
  <c r="AA945" i="4"/>
  <c r="Z946" i="4"/>
  <c r="AA946" i="4"/>
  <c r="Z947" i="4"/>
  <c r="AA947" i="4"/>
  <c r="Z948" i="4"/>
  <c r="AA948" i="4"/>
  <c r="Z949" i="4"/>
  <c r="AA949" i="4"/>
  <c r="Z950" i="4"/>
  <c r="AA950" i="4"/>
  <c r="Z951" i="4"/>
  <c r="AA951" i="4"/>
  <c r="Z952" i="4"/>
  <c r="AA952" i="4"/>
  <c r="Z953" i="4"/>
  <c r="AA953" i="4"/>
  <c r="Z954" i="4"/>
  <c r="AA954" i="4"/>
  <c r="Z955" i="4"/>
  <c r="AA955" i="4"/>
  <c r="Z956" i="4"/>
  <c r="AA956" i="4"/>
  <c r="Z957" i="4"/>
  <c r="AA957" i="4"/>
  <c r="Z958" i="4"/>
  <c r="AA958" i="4"/>
  <c r="Z959" i="4"/>
  <c r="AA959" i="4"/>
  <c r="Z960" i="4"/>
  <c r="AA960" i="4"/>
  <c r="Z961" i="4"/>
  <c r="AA961" i="4"/>
  <c r="Z962" i="4"/>
  <c r="AA962" i="4"/>
  <c r="Z963" i="4"/>
  <c r="AA963" i="4"/>
  <c r="Z964" i="4"/>
  <c r="AA964" i="4"/>
  <c r="Z965" i="4"/>
  <c r="AA965" i="4"/>
  <c r="Z966" i="4"/>
  <c r="AA966" i="4"/>
  <c r="Z967" i="4"/>
  <c r="AA967" i="4"/>
  <c r="Z968" i="4"/>
  <c r="AA968" i="4"/>
  <c r="Z969" i="4"/>
  <c r="AA969" i="4"/>
  <c r="Z970" i="4"/>
  <c r="AA970" i="4"/>
  <c r="Z971" i="4"/>
  <c r="AA971" i="4"/>
  <c r="Z972" i="4"/>
  <c r="AA972" i="4"/>
  <c r="Z973" i="4"/>
  <c r="AA973" i="4"/>
  <c r="Z974" i="4"/>
  <c r="AA974" i="4"/>
  <c r="Z975" i="4"/>
  <c r="AA975" i="4"/>
  <c r="Z976" i="4"/>
  <c r="AA976" i="4"/>
  <c r="Z977" i="4"/>
  <c r="AA977" i="4"/>
  <c r="Z978" i="4"/>
  <c r="AA978" i="4"/>
  <c r="Z979" i="4"/>
  <c r="AA979" i="4"/>
  <c r="Z980" i="4"/>
  <c r="AA980" i="4"/>
  <c r="Z981" i="4"/>
  <c r="AA981" i="4"/>
  <c r="Z982" i="4"/>
  <c r="AA982" i="4"/>
  <c r="Z983" i="4"/>
  <c r="AA983" i="4"/>
  <c r="Z984" i="4"/>
  <c r="AA984" i="4"/>
  <c r="Z985" i="4"/>
  <c r="AA985" i="4"/>
  <c r="Z986" i="4"/>
  <c r="AA986" i="4"/>
  <c r="Z987" i="4"/>
  <c r="AA987" i="4"/>
  <c r="Z988" i="4"/>
  <c r="AA988" i="4"/>
  <c r="Z989" i="4"/>
  <c r="AA989" i="4"/>
  <c r="Z990" i="4"/>
  <c r="AA990" i="4"/>
  <c r="Z991" i="4"/>
  <c r="AA991" i="4"/>
  <c r="Z992" i="4"/>
  <c r="AA992" i="4"/>
  <c r="Z993" i="4"/>
  <c r="AA993" i="4"/>
  <c r="Z994" i="4"/>
  <c r="AA994" i="4"/>
  <c r="Z995" i="4"/>
  <c r="AA995" i="4"/>
  <c r="Z996" i="4"/>
  <c r="AA996" i="4"/>
  <c r="Z997" i="4"/>
  <c r="AA997" i="4"/>
  <c r="Z998" i="4"/>
  <c r="AA998" i="4"/>
  <c r="Z999" i="4"/>
  <c r="AA999" i="4"/>
  <c r="Z1000" i="4"/>
  <c r="AA1000" i="4"/>
  <c r="Z1001" i="4"/>
  <c r="AA1001" i="4"/>
  <c r="Z1002" i="4"/>
  <c r="AA1002" i="4"/>
  <c r="Z1003" i="4"/>
  <c r="AA1003" i="4"/>
  <c r="Z1004" i="4"/>
  <c r="AA1004" i="4"/>
  <c r="Z1005" i="4"/>
  <c r="AA1005" i="4"/>
  <c r="Z1006" i="4"/>
  <c r="AA1006" i="4"/>
  <c r="Z1007" i="4"/>
  <c r="AA1007" i="4"/>
  <c r="Z1008" i="4"/>
  <c r="AA1008" i="4"/>
  <c r="Z1009" i="4"/>
  <c r="AA1009" i="4"/>
  <c r="Z1010" i="4"/>
  <c r="AA1010" i="4"/>
  <c r="Z1011" i="4"/>
  <c r="AA1011" i="4"/>
  <c r="Z1012" i="4"/>
  <c r="AA1012" i="4"/>
  <c r="Z1013" i="4"/>
  <c r="AA1013" i="4"/>
  <c r="Z1014" i="4"/>
  <c r="AA1014" i="4"/>
  <c r="Z1015" i="4"/>
  <c r="AA1015" i="4"/>
  <c r="Z1016" i="4"/>
  <c r="AA1016" i="4"/>
  <c r="Z1017" i="4"/>
  <c r="AA1017" i="4"/>
  <c r="Z1018" i="4"/>
  <c r="AA1018" i="4"/>
  <c r="Z1019" i="4"/>
  <c r="AA1019" i="4"/>
  <c r="Z1020" i="4"/>
  <c r="AA1020" i="4"/>
  <c r="Z1021" i="4"/>
  <c r="AA1021" i="4"/>
  <c r="Z1022" i="4"/>
  <c r="AA1022" i="4"/>
  <c r="Z1023" i="4"/>
  <c r="AA1023" i="4"/>
  <c r="Z1024" i="4"/>
  <c r="AA1024" i="4"/>
  <c r="Z1025" i="4"/>
  <c r="AA1025" i="4"/>
  <c r="Z1026" i="4"/>
  <c r="AA1026" i="4"/>
  <c r="Z1027" i="4"/>
  <c r="AA1027" i="4"/>
  <c r="Z1028" i="4"/>
  <c r="AA1028" i="4"/>
  <c r="Z1029" i="4"/>
  <c r="AA1029" i="4"/>
  <c r="Z1030" i="4"/>
  <c r="AA1030" i="4"/>
  <c r="Z1031" i="4"/>
  <c r="AA1031" i="4"/>
  <c r="Z1032" i="4"/>
  <c r="AA1032" i="4"/>
  <c r="Z1033" i="4"/>
  <c r="AA1033" i="4"/>
  <c r="Z1034" i="4"/>
  <c r="AA1034" i="4"/>
  <c r="Z1035" i="4"/>
  <c r="AA1035" i="4"/>
  <c r="Z1036" i="4"/>
  <c r="AA1036" i="4"/>
  <c r="Z1037" i="4"/>
  <c r="AA1037" i="4"/>
  <c r="Z1038" i="4"/>
  <c r="AA1038" i="4"/>
  <c r="Z1039" i="4"/>
  <c r="AA1039" i="4"/>
  <c r="Z1040" i="4"/>
  <c r="AA1040" i="4"/>
  <c r="Z1041" i="4"/>
  <c r="AA1041" i="4"/>
  <c r="Z1042" i="4"/>
  <c r="AA1042" i="4"/>
  <c r="Z1043" i="4"/>
  <c r="AA1043" i="4"/>
  <c r="Z1044" i="4"/>
  <c r="AA1044" i="4"/>
  <c r="Z1045" i="4"/>
  <c r="AA1045" i="4"/>
  <c r="Z1046" i="4"/>
  <c r="AA1046" i="4"/>
  <c r="Z1047" i="4"/>
  <c r="AA1047" i="4"/>
  <c r="Z1048" i="4"/>
  <c r="AA1048" i="4"/>
  <c r="Z1049" i="4"/>
  <c r="AA1049" i="4"/>
  <c r="Z1050" i="4"/>
  <c r="AA1050" i="4"/>
  <c r="Z1051" i="4"/>
  <c r="AA1051" i="4"/>
  <c r="Z1052" i="4"/>
  <c r="AA1052" i="4"/>
  <c r="Z1053" i="4"/>
  <c r="AA1053" i="4"/>
  <c r="Z1054" i="4"/>
  <c r="AA1054" i="4"/>
  <c r="Z1055" i="4"/>
  <c r="AA1055" i="4"/>
  <c r="Z1056" i="4"/>
  <c r="AA1056" i="4"/>
  <c r="Z1057" i="4"/>
  <c r="AA1057" i="4"/>
  <c r="Z1058" i="4"/>
  <c r="AA1058" i="4"/>
  <c r="Z1059" i="4"/>
  <c r="AA1059" i="4"/>
  <c r="Z1060" i="4"/>
  <c r="AA1060" i="4"/>
  <c r="Z1061" i="4"/>
  <c r="AA1061" i="4"/>
  <c r="Z1062" i="4"/>
  <c r="AA1062" i="4"/>
  <c r="Z1063" i="4"/>
  <c r="AA1063" i="4"/>
  <c r="Z1064" i="4"/>
  <c r="AA1064" i="4"/>
  <c r="Z1065" i="4"/>
  <c r="AA1065" i="4"/>
  <c r="Z1066" i="4"/>
  <c r="AA1066" i="4"/>
  <c r="Z1067" i="4"/>
  <c r="AA1067" i="4"/>
  <c r="Z1068" i="4"/>
  <c r="AA1068" i="4"/>
  <c r="Z1069" i="4"/>
  <c r="AA1069" i="4"/>
  <c r="Z1070" i="4"/>
  <c r="AA1070" i="4"/>
  <c r="Z1071" i="4"/>
  <c r="AA1071" i="4"/>
  <c r="Z1072" i="4"/>
  <c r="AA1072" i="4"/>
  <c r="Z1073" i="4"/>
  <c r="AA1073" i="4"/>
  <c r="Z1074" i="4"/>
  <c r="AA1074" i="4"/>
  <c r="Z1075" i="4"/>
  <c r="AA1075" i="4"/>
  <c r="Z1076" i="4"/>
  <c r="AA1076" i="4"/>
  <c r="Z1077" i="4"/>
  <c r="AA1077" i="4"/>
  <c r="Z1078" i="4"/>
  <c r="AA1078" i="4"/>
  <c r="Z1079" i="4"/>
  <c r="AA1079" i="4"/>
  <c r="Z1080" i="4"/>
  <c r="AA1080" i="4"/>
  <c r="Z1081" i="4"/>
  <c r="AA1081" i="4"/>
  <c r="Z1082" i="4"/>
  <c r="AA1082" i="4"/>
  <c r="Z1083" i="4"/>
  <c r="AA1083" i="4"/>
  <c r="Z1084" i="4"/>
  <c r="AA1084" i="4"/>
  <c r="Z1085" i="4"/>
  <c r="AA1085" i="4"/>
  <c r="Z1086" i="4"/>
  <c r="AA1086" i="4"/>
  <c r="Z1087" i="4"/>
  <c r="AA1087" i="4"/>
  <c r="Z1088" i="4"/>
  <c r="AA1088" i="4"/>
  <c r="Z1089" i="4"/>
  <c r="AA1089" i="4"/>
  <c r="Z1090" i="4"/>
  <c r="AA1090" i="4"/>
  <c r="Z1091" i="4"/>
  <c r="AA1091" i="4"/>
  <c r="Z1092" i="4"/>
  <c r="AA1092" i="4"/>
  <c r="Z1093" i="4"/>
  <c r="AA1093" i="4"/>
  <c r="Z1094" i="4"/>
  <c r="AA1094" i="4"/>
  <c r="Z1095" i="4"/>
  <c r="AA1095" i="4"/>
  <c r="Z1096" i="4"/>
  <c r="AA1096" i="4"/>
  <c r="Z1097" i="4"/>
  <c r="AA1097" i="4"/>
  <c r="Z1098" i="4"/>
  <c r="AA1098" i="4"/>
  <c r="Z1099" i="4"/>
  <c r="AA1099" i="4"/>
  <c r="Z1100" i="4"/>
  <c r="AA1100" i="4"/>
  <c r="Z1101" i="4"/>
  <c r="AA1101" i="4"/>
  <c r="Z1102" i="4"/>
  <c r="AA1102" i="4"/>
  <c r="Z1103" i="4"/>
  <c r="AA1103" i="4"/>
  <c r="Z1104" i="4"/>
  <c r="AA1104" i="4"/>
  <c r="Z1105" i="4"/>
  <c r="AA1105" i="4"/>
  <c r="Z1106" i="4"/>
  <c r="AA1106" i="4"/>
  <c r="Z1107" i="4"/>
  <c r="AA1107" i="4"/>
  <c r="Z1108" i="4"/>
  <c r="AA1108" i="4"/>
  <c r="Z1109" i="4"/>
  <c r="AA1109" i="4"/>
  <c r="Z1110" i="4"/>
  <c r="AA1110" i="4"/>
  <c r="Z1111" i="4"/>
  <c r="AA1111" i="4"/>
  <c r="Z1112" i="4"/>
  <c r="AA1112" i="4"/>
  <c r="Z1113" i="4"/>
  <c r="AA1113" i="4"/>
  <c r="Z1114" i="4"/>
  <c r="AA1114" i="4"/>
  <c r="Z1115" i="4"/>
  <c r="AA1115" i="4"/>
  <c r="Z1116" i="4"/>
  <c r="AA1116" i="4"/>
  <c r="Z1117" i="4"/>
  <c r="AA1117" i="4"/>
  <c r="Z1118" i="4"/>
  <c r="AA1118" i="4"/>
  <c r="Z1119" i="4"/>
  <c r="AA1119" i="4"/>
  <c r="Z1120" i="4"/>
  <c r="AA1120" i="4"/>
  <c r="Z1121" i="4"/>
  <c r="AA1121" i="4"/>
  <c r="Z1122" i="4"/>
  <c r="AA1122" i="4"/>
  <c r="Z1123" i="4"/>
  <c r="AA1123" i="4"/>
  <c r="Z1124" i="4"/>
  <c r="AA1124" i="4"/>
  <c r="Z1125" i="4"/>
  <c r="AA1125" i="4"/>
  <c r="Z1126" i="4"/>
  <c r="AA1126" i="4"/>
  <c r="Z1127" i="4"/>
  <c r="AA1127" i="4"/>
  <c r="Z1128" i="4"/>
  <c r="AA1128" i="4"/>
  <c r="Z1129" i="4"/>
  <c r="AA1129" i="4"/>
  <c r="Z1130" i="4"/>
  <c r="AA1130" i="4"/>
  <c r="Z1131" i="4"/>
  <c r="AA1131" i="4"/>
  <c r="Z1132" i="4"/>
  <c r="AA1132" i="4"/>
  <c r="Z1133" i="4"/>
  <c r="AA1133" i="4"/>
  <c r="Z1134" i="4"/>
  <c r="AA1134" i="4"/>
  <c r="Z1135" i="4"/>
  <c r="AA1135" i="4"/>
  <c r="Z1136" i="4"/>
  <c r="AA1136" i="4"/>
  <c r="Z1137" i="4"/>
  <c r="AA1137" i="4"/>
  <c r="Z1138" i="4"/>
  <c r="AA1138" i="4"/>
  <c r="Z1139" i="4"/>
  <c r="AA1139" i="4"/>
  <c r="Z1140" i="4"/>
  <c r="AA1140" i="4"/>
  <c r="Z1141" i="4"/>
  <c r="AA1141" i="4"/>
  <c r="Z1142" i="4"/>
  <c r="AA1142" i="4"/>
  <c r="Z1143" i="4"/>
  <c r="AA1143" i="4"/>
  <c r="Z1144" i="4"/>
  <c r="AA1144" i="4"/>
  <c r="Z1145" i="4"/>
  <c r="AA1145" i="4"/>
  <c r="Z1146" i="4"/>
  <c r="AA1146" i="4"/>
  <c r="Z1147" i="4"/>
  <c r="AA1147" i="4"/>
  <c r="Z1148" i="4"/>
  <c r="AA1148" i="4"/>
  <c r="Z1149" i="4"/>
  <c r="AA1149" i="4"/>
  <c r="Z1150" i="4"/>
  <c r="AA1150" i="4"/>
  <c r="Z1151" i="4"/>
  <c r="AA1151" i="4"/>
  <c r="Z1152" i="4"/>
  <c r="AA1152" i="4"/>
  <c r="Z1153" i="4"/>
  <c r="AA1153" i="4"/>
  <c r="Z1154" i="4"/>
  <c r="AA1154" i="4"/>
  <c r="Z1155" i="4"/>
  <c r="AA1155" i="4"/>
  <c r="Z1156" i="4"/>
  <c r="AA1156" i="4"/>
  <c r="Z1157" i="4"/>
  <c r="AA1157" i="4"/>
  <c r="Z1158" i="4"/>
  <c r="AA1158" i="4"/>
  <c r="Z1159" i="4"/>
  <c r="AA1159" i="4"/>
  <c r="Z1160" i="4"/>
  <c r="AA1160" i="4"/>
  <c r="Z1161" i="4"/>
  <c r="AA1161" i="4"/>
  <c r="Z1162" i="4"/>
  <c r="AA1162" i="4"/>
  <c r="Z1163" i="4"/>
  <c r="AA1163" i="4"/>
  <c r="Z1164" i="4"/>
  <c r="AA1164" i="4"/>
  <c r="Z1165" i="4"/>
  <c r="AA1165" i="4"/>
  <c r="Z1166" i="4"/>
  <c r="AA1166" i="4"/>
  <c r="Z1167" i="4"/>
  <c r="AA1167" i="4"/>
  <c r="Z1168" i="4"/>
  <c r="AA1168" i="4"/>
  <c r="Z1169" i="4"/>
  <c r="AA1169" i="4"/>
  <c r="Z1170" i="4"/>
  <c r="AA1170" i="4"/>
  <c r="Z1171" i="4"/>
  <c r="AA1171" i="4"/>
  <c r="Z1172" i="4"/>
  <c r="AA1172" i="4"/>
  <c r="Z1173" i="4"/>
  <c r="AA1173" i="4"/>
  <c r="Z1174" i="4"/>
  <c r="AA1174" i="4"/>
  <c r="Z1175" i="4"/>
  <c r="AA1175" i="4"/>
  <c r="Z1176" i="4"/>
  <c r="AA1176" i="4"/>
  <c r="Z1177" i="4"/>
  <c r="AA1177" i="4"/>
  <c r="Z1178" i="4"/>
  <c r="AA1178" i="4"/>
  <c r="Z1179" i="4"/>
  <c r="AA1179" i="4"/>
  <c r="Z1180" i="4"/>
  <c r="AA1180" i="4"/>
  <c r="Z1181" i="4"/>
  <c r="AA1181" i="4"/>
  <c r="Z1182" i="4"/>
  <c r="AA1182" i="4"/>
  <c r="Z1183" i="4"/>
  <c r="AA1183" i="4"/>
  <c r="Z1184" i="4"/>
  <c r="AA1184" i="4"/>
  <c r="Z1185" i="4"/>
  <c r="AA1185" i="4"/>
  <c r="Z1186" i="4"/>
  <c r="AA1186" i="4"/>
  <c r="Z1187" i="4"/>
  <c r="AA1187" i="4"/>
  <c r="Z1188" i="4"/>
  <c r="AA1188" i="4"/>
  <c r="Z1189" i="4"/>
  <c r="AA1189" i="4"/>
  <c r="Z1190" i="4"/>
  <c r="AA1190" i="4"/>
  <c r="Z1191" i="4"/>
  <c r="AA1191" i="4"/>
  <c r="Z1192" i="4"/>
  <c r="AA1192" i="4"/>
  <c r="Z1193" i="4"/>
  <c r="AA1193" i="4"/>
  <c r="Z1194" i="4"/>
  <c r="AA1194" i="4"/>
  <c r="Z1195" i="4"/>
  <c r="AA1195" i="4"/>
  <c r="Z1196" i="4"/>
  <c r="AA1196" i="4"/>
  <c r="Z1197" i="4"/>
  <c r="AA1197" i="4"/>
  <c r="Z1198" i="4"/>
  <c r="AA1198" i="4"/>
  <c r="Z1199" i="4"/>
  <c r="AA1199" i="4"/>
  <c r="Z1200" i="4"/>
  <c r="AA1200" i="4"/>
  <c r="Z1201" i="4"/>
  <c r="AA1201" i="4"/>
  <c r="Z1202" i="4"/>
  <c r="AA1202" i="4"/>
  <c r="Z1203" i="4"/>
  <c r="AA1203" i="4"/>
  <c r="Z1204" i="4"/>
  <c r="AA1204" i="4"/>
  <c r="Z1205" i="4"/>
  <c r="AA1205" i="4"/>
  <c r="Z1206" i="4"/>
  <c r="AA1206" i="4"/>
  <c r="Z1207" i="4"/>
  <c r="AA1207" i="4"/>
  <c r="Z1208" i="4"/>
  <c r="AA1208" i="4"/>
  <c r="Z1209" i="4"/>
  <c r="AA1209" i="4"/>
  <c r="Z1210" i="4"/>
  <c r="AA1210" i="4"/>
  <c r="Z1211" i="4"/>
  <c r="AA1211" i="4"/>
  <c r="Z1212" i="4"/>
  <c r="AA1212" i="4"/>
  <c r="Z1213" i="4"/>
  <c r="AA1213" i="4"/>
  <c r="Z1214" i="4"/>
  <c r="AA1214" i="4"/>
  <c r="Z1215" i="4"/>
  <c r="AA1215" i="4"/>
  <c r="Z1216" i="4"/>
  <c r="AA1216" i="4"/>
  <c r="Z1217" i="4"/>
  <c r="AA1217" i="4"/>
  <c r="Z1218" i="4"/>
  <c r="AA1218" i="4"/>
  <c r="Z1219" i="4"/>
  <c r="AA1219" i="4"/>
  <c r="Z1220" i="4"/>
  <c r="AA1220" i="4"/>
  <c r="Z1221" i="4"/>
  <c r="AA1221" i="4"/>
  <c r="Z1222" i="4"/>
  <c r="AA1222" i="4"/>
  <c r="Z1223" i="4"/>
  <c r="AA1223" i="4"/>
  <c r="Z1224" i="4"/>
  <c r="AA1224" i="4"/>
  <c r="Z1225" i="4"/>
  <c r="AA1225" i="4"/>
  <c r="Z1226" i="4"/>
  <c r="AA1226" i="4"/>
  <c r="Z1227" i="4"/>
  <c r="AA1227" i="4"/>
  <c r="Z1228" i="4"/>
  <c r="AA1228" i="4"/>
  <c r="Z1229" i="4"/>
  <c r="AA1229" i="4"/>
  <c r="Z1230" i="4"/>
  <c r="AA1230" i="4"/>
  <c r="Z1231" i="4"/>
  <c r="AA1231" i="4"/>
  <c r="Z1232" i="4"/>
  <c r="AA1232" i="4"/>
  <c r="Z1233" i="4"/>
  <c r="AA1233" i="4"/>
  <c r="Z1234" i="4"/>
  <c r="AA1234" i="4"/>
  <c r="Z1235" i="4"/>
  <c r="AA1235" i="4"/>
  <c r="Z1236" i="4"/>
  <c r="AA1236" i="4"/>
  <c r="Z1237" i="4"/>
  <c r="AA1237" i="4"/>
  <c r="Z1238" i="4"/>
  <c r="AA1238" i="4"/>
  <c r="Z1239" i="4"/>
  <c r="AA1239" i="4"/>
  <c r="Z1240" i="4"/>
  <c r="AA1240" i="4"/>
  <c r="Z1241" i="4"/>
  <c r="AA1241" i="4"/>
  <c r="Z1242" i="4"/>
  <c r="AA1242" i="4"/>
  <c r="Z1243" i="4"/>
  <c r="AA1243" i="4"/>
  <c r="Z1244" i="4"/>
  <c r="AA1244" i="4"/>
  <c r="Z1245" i="4"/>
  <c r="AA1245" i="4"/>
  <c r="Z1246" i="4"/>
  <c r="AA1246" i="4"/>
  <c r="Z1247" i="4"/>
  <c r="AA1247" i="4"/>
  <c r="Z1248" i="4"/>
  <c r="AA1248" i="4"/>
  <c r="Z1249" i="4"/>
  <c r="AA1249" i="4"/>
  <c r="Z1250" i="4"/>
  <c r="AA1250" i="4"/>
  <c r="Z1251" i="4"/>
  <c r="AA1251" i="4"/>
  <c r="Z1252" i="4"/>
  <c r="AA1252" i="4"/>
  <c r="Z1253" i="4"/>
  <c r="AA1253" i="4"/>
  <c r="Z1254" i="4"/>
  <c r="AA1254" i="4"/>
  <c r="Z1255" i="4"/>
  <c r="AA1255" i="4"/>
  <c r="Z1256" i="4"/>
  <c r="AA1256" i="4"/>
  <c r="Z1257" i="4"/>
  <c r="AA1257" i="4"/>
  <c r="Z1258" i="4"/>
  <c r="AA1258" i="4"/>
  <c r="Z1259" i="4"/>
  <c r="AA1259" i="4"/>
  <c r="Z1260" i="4"/>
  <c r="AA1260" i="4"/>
  <c r="Z1261" i="4"/>
  <c r="AA1261" i="4"/>
  <c r="Z1262" i="4"/>
  <c r="AA1262" i="4"/>
  <c r="Z1263" i="4"/>
  <c r="AA1263" i="4"/>
  <c r="Z1264" i="4"/>
  <c r="AA1264" i="4"/>
  <c r="Z1265" i="4"/>
  <c r="AA1265" i="4"/>
  <c r="Z1266" i="4"/>
  <c r="AA1266" i="4"/>
  <c r="Z1267" i="4"/>
  <c r="AA1267" i="4"/>
  <c r="Z1268" i="4"/>
  <c r="AA1268" i="4"/>
  <c r="Z1269" i="4"/>
  <c r="AA1269" i="4"/>
  <c r="Z1270" i="4"/>
  <c r="AA1270" i="4"/>
  <c r="Z1271" i="4"/>
  <c r="AA1271" i="4"/>
  <c r="Z1272" i="4"/>
  <c r="AA1272" i="4"/>
  <c r="Z1273" i="4"/>
  <c r="AA1273" i="4"/>
  <c r="Z1274" i="4"/>
  <c r="AA1274" i="4"/>
  <c r="Z1275" i="4"/>
  <c r="AA1275" i="4"/>
  <c r="Z1276" i="4"/>
  <c r="AA1276" i="4"/>
  <c r="Z1277" i="4"/>
  <c r="AA1277" i="4"/>
  <c r="Z1278" i="4"/>
  <c r="AA1278" i="4"/>
  <c r="Z1279" i="4"/>
  <c r="AA1279" i="4"/>
  <c r="Z1280" i="4"/>
  <c r="AA1280" i="4"/>
  <c r="Z1281" i="4"/>
  <c r="AA1281" i="4"/>
  <c r="Z1282" i="4"/>
  <c r="AA1282" i="4"/>
  <c r="Z1283" i="4"/>
  <c r="AA1283" i="4"/>
  <c r="Z1284" i="4"/>
  <c r="AA1284" i="4"/>
  <c r="Z1285" i="4"/>
  <c r="AA1285" i="4"/>
  <c r="Z1286" i="4"/>
  <c r="AA1286" i="4"/>
  <c r="Z1287" i="4"/>
  <c r="AA1287" i="4"/>
  <c r="Z1288" i="4"/>
  <c r="AA1288" i="4"/>
  <c r="Z1289" i="4"/>
  <c r="AA1289" i="4"/>
  <c r="Z1290" i="4"/>
  <c r="AA1290" i="4"/>
  <c r="Z1291" i="4"/>
  <c r="AA1291" i="4"/>
  <c r="Z1292" i="4"/>
  <c r="AA1292" i="4"/>
  <c r="Z1293" i="4"/>
  <c r="AA1293" i="4"/>
  <c r="Z1294" i="4"/>
  <c r="AA1294" i="4"/>
  <c r="Z1295" i="4"/>
  <c r="AA1295" i="4"/>
  <c r="Z1296" i="4"/>
  <c r="AA1296" i="4"/>
  <c r="Z1297" i="4"/>
  <c r="AA1297" i="4"/>
  <c r="Z1298" i="4"/>
  <c r="AA1298" i="4"/>
  <c r="Z1299" i="4"/>
  <c r="AA1299" i="4"/>
  <c r="Z1300" i="4"/>
  <c r="AA1300" i="4"/>
  <c r="Z1301" i="4"/>
  <c r="AA1301" i="4"/>
  <c r="Z1302" i="4"/>
  <c r="AA1302" i="4"/>
  <c r="Z1303" i="4"/>
  <c r="AA1303" i="4"/>
  <c r="Z1304" i="4"/>
  <c r="AA1304" i="4"/>
  <c r="Z1305" i="4"/>
  <c r="AA1305" i="4"/>
  <c r="Z1306" i="4"/>
  <c r="AA1306" i="4"/>
  <c r="Z1307" i="4"/>
  <c r="AA1307" i="4"/>
  <c r="Z1308" i="4"/>
  <c r="AA1308" i="4"/>
  <c r="Z1309" i="4"/>
  <c r="AA1309" i="4"/>
  <c r="Z1310" i="4"/>
  <c r="AA1310" i="4"/>
  <c r="Z1311" i="4"/>
  <c r="AA1311" i="4"/>
  <c r="Z1312" i="4"/>
  <c r="AA131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FB1113-934D-4F9F-8D4C-3445B8C8F4F4}" keepAlive="1" name="Query - Table 0" description="Connection to the 'Table 0' query in the workbook." type="5" refreshedVersion="0" background="1" saveData="1">
    <dbPr connection="Provider=Microsoft.Mashup.OleDb.1;Data Source=$Workbook$;Location=&quot;Table 0&quot;;Extended Properties=&quot;&quot;" command="SELECT * FROM [Table 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2"/>
        </ext>
      </extLst>
    </bk>
    <bk>
      <extLst>
        <ext uri="{3e2802c4-a4d2-4d8b-9148-e3be6c30e623}">
          <xlrd:rvb i="5"/>
        </ext>
      </extLst>
    </bk>
    <bk>
      <extLst>
        <ext uri="{3e2802c4-a4d2-4d8b-9148-e3be6c30e623}">
          <xlrd:rvb i="8"/>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<sst xmlns="http://schemas.openxmlformats.org/spreadsheetml/2006/main" count="248" uniqueCount="126">
  <si>
    <t>Strike</t>
  </si>
  <si>
    <t>Type</t>
  </si>
  <si>
    <t>Style</t>
  </si>
  <si>
    <t>StockPrice</t>
  </si>
  <si>
    <t>American</t>
  </si>
  <si>
    <t>Put</t>
  </si>
  <si>
    <t>theta</t>
  </si>
  <si>
    <t>Call</t>
  </si>
  <si>
    <t>European</t>
  </si>
  <si>
    <t>Ticker</t>
  </si>
  <si>
    <t>Price</t>
  </si>
  <si>
    <t>Dividends</t>
  </si>
  <si>
    <t>Maturity</t>
  </si>
  <si>
    <t>Return:</t>
  </si>
  <si>
    <t>PayOff</t>
  </si>
  <si>
    <t>Theta</t>
  </si>
  <si>
    <t>Gamma</t>
  </si>
  <si>
    <t>Delta</t>
  </si>
  <si>
    <t>Ask</t>
  </si>
  <si>
    <t>Bid</t>
  </si>
  <si>
    <t>Vega</t>
  </si>
  <si>
    <t>Rho</t>
  </si>
  <si>
    <t>min</t>
  </si>
  <si>
    <t>max</t>
  </si>
  <si>
    <t>inflation</t>
  </si>
  <si>
    <t>TimetoT</t>
  </si>
  <si>
    <t>RiskFree</t>
  </si>
  <si>
    <t>stepsbinomial</t>
  </si>
  <si>
    <t>LongCall</t>
  </si>
  <si>
    <t>ShortPut</t>
  </si>
  <si>
    <t>ShortStock</t>
  </si>
  <si>
    <t>Cashinterest</t>
  </si>
  <si>
    <t>AdjustedPayOff</t>
  </si>
  <si>
    <t>100Contracts</t>
  </si>
  <si>
    <t>Rho(+1%rf)</t>
  </si>
  <si>
    <t>Vega(iv+1%)</t>
  </si>
  <si>
    <t>onCapital</t>
  </si>
  <si>
    <t>TransactionCosts</t>
  </si>
  <si>
    <t>Move</t>
  </si>
  <si>
    <t>Short</t>
  </si>
  <si>
    <t>Long</t>
  </si>
  <si>
    <t>Contract</t>
  </si>
  <si>
    <t>Plotting</t>
  </si>
  <si>
    <t>Execute</t>
  </si>
  <si>
    <t>Plot</t>
  </si>
  <si>
    <t>PayOffatT</t>
  </si>
  <si>
    <t>IVCall</t>
  </si>
  <si>
    <t>IVPut</t>
  </si>
  <si>
    <t>365,25</t>
  </si>
  <si>
    <t>Strategy</t>
  </si>
  <si>
    <t>days in yr</t>
  </si>
  <si>
    <t>daysinyr value</t>
  </si>
  <si>
    <t>Call Spread</t>
  </si>
  <si>
    <t>Break Even</t>
  </si>
  <si>
    <t>TimeDecay</t>
  </si>
  <si>
    <t>Put Spread</t>
  </si>
  <si>
    <t>Butterfly</t>
  </si>
  <si>
    <t>Condor</t>
  </si>
  <si>
    <t>Positions</t>
  </si>
  <si>
    <t>Statistics</t>
  </si>
  <si>
    <t>Strangle</t>
  </si>
  <si>
    <t>Straddle</t>
  </si>
  <si>
    <t>step</t>
  </si>
  <si>
    <t>Leg2</t>
  </si>
  <si>
    <t>Leg1</t>
  </si>
  <si>
    <t>Leg3</t>
  </si>
  <si>
    <t>Leg4</t>
  </si>
  <si>
    <t>Leg5</t>
  </si>
  <si>
    <t>Aggregate</t>
  </si>
  <si>
    <t>PayOff Leg1</t>
  </si>
  <si>
    <t>PayOff Leg2</t>
  </si>
  <si>
    <t>PayOff Leg3</t>
  </si>
  <si>
    <t>PayOff Leg4</t>
  </si>
  <si>
    <t>PayOff Leg5</t>
  </si>
  <si>
    <t>Greeks T/F</t>
  </si>
  <si>
    <t>Stock</t>
  </si>
  <si>
    <t>Move (finds price)</t>
  </si>
  <si>
    <t>Amount* (minus if short)</t>
  </si>
  <si>
    <t>Strategy (F9!)</t>
  </si>
  <si>
    <t>Range% S_0</t>
  </si>
  <si>
    <t>Greeks</t>
  </si>
  <si>
    <t>Plot Greek:</t>
  </si>
  <si>
    <t>PlotGreek</t>
  </si>
  <si>
    <t>Range% U/L</t>
  </si>
  <si>
    <t>Price (Press F9)</t>
  </si>
  <si>
    <t>Instructions: Copy DeGiro quotes as indicated below. That is, from "CALL" to the last 'sell button'.</t>
  </si>
  <si>
    <t>OptionVBA</t>
  </si>
  <si>
    <t>Price (F9) if Stock then Empty</t>
  </si>
  <si>
    <t>BreakEven</t>
  </si>
  <si>
    <t>Strike (or: Stock Price)</t>
  </si>
  <si>
    <t>Paste Below</t>
  </si>
  <si>
    <t>T_yr = 252</t>
  </si>
  <si>
    <t>T_yr = 365,25</t>
  </si>
  <si>
    <t>Mean</t>
  </si>
  <si>
    <t>Historical volatility σ</t>
  </si>
  <si>
    <t>TimeSpread</t>
  </si>
  <si>
    <t>T_1</t>
  </si>
  <si>
    <t>T_2</t>
  </si>
  <si>
    <t>index_new</t>
  </si>
  <si>
    <t>Call TimeSpread</t>
  </si>
  <si>
    <t>Put TimeSpread</t>
  </si>
  <si>
    <t>Max. Loss</t>
  </si>
  <si>
    <t>Max. Profit</t>
  </si>
  <si>
    <t>Index Level</t>
  </si>
  <si>
    <t>Time to maturity (years)</t>
  </si>
  <si>
    <t>Interest Rate</t>
  </si>
  <si>
    <t>Dividend Yield</t>
  </si>
  <si>
    <t>Volatility</t>
  </si>
  <si>
    <t>Step</t>
  </si>
  <si>
    <t>Discounted value of Strike</t>
  </si>
  <si>
    <t>Put-Call Parity</t>
  </si>
  <si>
    <t>Portfolio</t>
  </si>
  <si>
    <t>Asset</t>
  </si>
  <si>
    <t>Position</t>
  </si>
  <si>
    <t>Index</t>
  </si>
  <si>
    <t>Discounted Strike</t>
  </si>
  <si>
    <t>BinTree(Stock, Exercise, Time, Interest, Dividend, sigma, steps, PutCall, style, Result)</t>
  </si>
  <si>
    <t>df</t>
  </si>
  <si>
    <t>28,00</t>
  </si>
  <si>
    <t>Layout</t>
  </si>
  <si>
    <t>HideStratAnalysis</t>
  </si>
  <si>
    <t>HideContractAnalysis</t>
  </si>
  <si>
    <t>Search</t>
  </si>
  <si>
    <t>All</t>
  </si>
  <si>
    <t>SearchEffective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</si>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</sst>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quot;€&quot;\ * #,##0.00_ ;_ &quot;€&quot;\ * \-#,##0.00_ ;_ &quot;€&quot;\ * &quot;-&quot;??_ ;_ @_ "/>
    <numFmt numFmtId="164" formatCode="_([$€-2]\ * #,##0.00_);_([$€-2]\ * \(#,##0.00\);_([$€-2]\ * &quot;-&quot;??_);_(@_)"/>
    <numFmt numFmtId="165" formatCode="_ &quot;€&quot;\ * #,##0.000_ ;_ &quot;€&quot;\ * \-#,##0.000_ ;_ &quot;€&quot;\ * &quot;-&quot;??_ ;_ @_ "/>
    <numFmt numFmtId="166" formatCode="0.0%"/>
    <numFmt numFmtId="167" formatCode="0.000%"/>
    <numFmt numFmtId="168" formatCode="_ &quot;€&quot;\ * #,##0.0000_ ;_ &quot;€&quot;\ * \-#,##0.0000_ ;_ &quot;€&quot;\ * &quot;-&quot;??_ ;_ @_ "/>
    <numFmt numFmtId="169" formatCode="0.000"/>
    <numFmt numFmtId="170" formatCode="_ &quot;€&quot;\ * #,##0.0_ ;_ &quot;€&quot;\ * \-#,##0.0_ ;_ &quot;€&quot;\ * &quot;-&quot;??_ ;_ @_ "/>
  </numFmts>
  <fonts count="31"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11"/>
      <name val="Calibri"/>
      <family val="2"/>
      <scheme val="minor"/>
    </font>
    <font>
      <i/>
      <sz val="11"/>
      <name val="Calibri"/>
      <family val="2"/>
      <scheme val="minor"/>
    </font>
    <font>
      <b/>
      <i/>
      <sz val="11"/>
      <color theme="1"/>
      <name val="Calibri"/>
      <family val="2"/>
      <scheme val="minor"/>
    </font>
    <font>
      <sz val="11"/>
      <color theme="2" tint="-0.249977111117893"/>
      <name val="Calibri"/>
      <family val="2"/>
      <scheme val="minor"/>
    </font>
    <font>
      <sz val="8"/>
      <name val="Calibri"/>
      <family val="2"/>
      <scheme val="minor"/>
    </font>
    <font>
      <sz val="11"/>
      <color theme="0" tint="-0.14999847407452621"/>
      <name val="Calibri"/>
      <family val="2"/>
      <scheme val="minor"/>
    </font>
    <font>
      <i/>
      <sz val="11"/>
      <color theme="1"/>
      <name val="Calibri"/>
      <family val="2"/>
      <scheme val="minor"/>
    </font>
    <font>
      <sz val="11"/>
      <color theme="1" tint="0.249977111117893"/>
      <name val="Calibri"/>
      <family val="2"/>
      <scheme val="minor"/>
    </font>
    <font>
      <sz val="11"/>
      <color theme="2" tint="-0.499984740745262"/>
      <name val="Calibri"/>
      <family val="2"/>
      <scheme val="minor"/>
    </font>
    <font>
      <b/>
      <sz val="12"/>
      <color theme="1"/>
      <name val="Calibri"/>
      <family val="2"/>
      <scheme val="minor"/>
    </font>
    <font>
      <sz val="20"/>
      <color theme="0"/>
      <name val="Times New Roman"/>
      <family val="1"/>
    </font>
    <font>
      <sz val="11"/>
      <color rgb="FF000000"/>
      <name val="Calibri"/>
      <family val="2"/>
    </font>
    <font>
      <b/>
      <sz val="12"/>
      <color rgb="FF000000"/>
      <name val="Calibri"/>
      <family val="2"/>
    </font>
    <font>
      <sz val="8"/>
      <color rgb="FF000000"/>
      <name val="Calibri"/>
      <family val="2"/>
    </font>
    <font>
      <sz val="22"/>
      <color theme="0"/>
      <name val="Times New Roman"/>
      <family val="1"/>
    </font>
    <font>
      <b/>
      <sz val="11"/>
      <name val="Calibri"/>
      <family val="2"/>
    </font>
    <font>
      <b/>
      <sz val="11"/>
      <name val="Calibri"/>
      <family val="2"/>
      <scheme val="minor"/>
    </font>
    <font>
      <sz val="10"/>
      <name val="Arial"/>
      <family val="2"/>
    </font>
    <font>
      <b/>
      <sz val="12"/>
      <name val="Arial"/>
      <family val="2"/>
    </font>
    <font>
      <i/>
      <sz val="10"/>
      <name val="Arial"/>
      <family val="2"/>
    </font>
    <font>
      <sz val="16"/>
      <color theme="0"/>
      <name val="Times New Roman"/>
      <family val="1"/>
    </font>
    <font>
      <sz val="14"/>
      <color theme="0"/>
      <name val="Times New Roman"/>
      <family val="1"/>
    </font>
    <font>
      <b/>
      <sz val="11"/>
      <color theme="1" tint="0.249977111117893"/>
      <name val="Calibri"/>
      <family val="2"/>
      <scheme val="minor"/>
    </font>
    <font>
      <sz val="6"/>
      <color rgb="FF000000"/>
      <name val="Verdana"/>
      <family val="2"/>
    </font>
    <font>
      <b/>
      <sz val="9"/>
      <color rgb="FF000000"/>
      <name val="Verdana"/>
      <family val="2"/>
    </font>
    <font>
      <b/>
      <sz val="11"/>
      <color theme="0" tint="-0.14999847407452621"/>
      <name val="Calibri"/>
      <family val="2"/>
      <scheme val="minor"/>
    </font>
  </fonts>
  <fills count="9">
    <fill>
      <patternFill patternType="none"/>
    </fill>
    <fill>
      <patternFill patternType="gray125"/>
    </fill>
    <fill>
      <patternFill patternType="solid">
        <fgColor theme="1" tint="0.249977111117893"/>
        <bgColor indexed="64"/>
      </patternFill>
    </fill>
    <fill>
      <patternFill patternType="solid">
        <fgColor theme="0" tint="-0.14999847407452621"/>
        <bgColor indexed="64"/>
      </patternFill>
    </fill>
    <fill>
      <patternFill patternType="solid">
        <fgColor theme="0" tint="-0.14999847407452621"/>
        <bgColor theme="1"/>
      </patternFill>
    </fill>
    <fill>
      <patternFill patternType="solid">
        <fgColor theme="2" tint="-0.499984740745262"/>
        <bgColor indexed="64"/>
      </patternFill>
    </fill>
    <fill>
      <patternFill patternType="solid">
        <fgColor theme="2" tint="-0.749992370372631"/>
        <bgColor indexed="64"/>
      </patternFill>
    </fill>
    <fill>
      <patternFill patternType="solid">
        <fgColor theme="2" tint="-0.249977111117893"/>
        <bgColor indexed="64"/>
      </patternFill>
    </fill>
    <fill>
      <patternFill patternType="solid">
        <fgColor indexed="34"/>
        <bgColor indexed="64"/>
      </patternFill>
    </fill>
  </fills>
  <borders count="53">
    <border>
      <left/>
      <right/>
      <top/>
      <bottom/>
      <diagonal/>
    </border>
    <border>
      <left/>
      <right style="thin">
        <color indexed="64"/>
      </right>
      <top/>
      <bottom/>
      <diagonal/>
    </border>
    <border>
      <left style="medium">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281">
    <xf numFmtId="0" fontId="0" fillId="0" borderId="0" xfId="0"/>
    <xf numFmtId="0" fontId="0" fillId="2" borderId="0" xfId="1" applyNumberFormat="1" applyFont="1" applyFill="1"/>
    <xf numFmtId="0" fontId="0" fillId="2" borderId="0" xfId="0" applyFill="1"/>
    <xf numFmtId="0" fontId="2" fillId="2" borderId="0" xfId="0" applyNumberFormat="1" applyFont="1" applyFill="1"/>
    <xf numFmtId="0" fontId="2" fillId="2" borderId="0" xfId="1" applyNumberFormat="1" applyFont="1" applyFill="1"/>
    <xf numFmtId="44" fontId="2" fillId="2" borderId="0" xfId="1" applyFont="1" applyFill="1"/>
    <xf numFmtId="0" fontId="2" fillId="2" borderId="0" xfId="0" applyFont="1" applyFill="1"/>
    <xf numFmtId="0" fontId="3" fillId="2" borderId="0" xfId="0" applyFont="1" applyFill="1" applyBorder="1"/>
    <xf numFmtId="0" fontId="5" fillId="2" borderId="0" xfId="1" applyNumberFormat="1" applyFont="1" applyFill="1"/>
    <xf numFmtId="0" fontId="5" fillId="2" borderId="0" xfId="0" applyFont="1" applyFill="1"/>
    <xf numFmtId="0" fontId="4" fillId="2" borderId="0" xfId="0" applyFont="1" applyFill="1" applyAlignment="1">
      <alignment horizontal="center"/>
    </xf>
    <xf numFmtId="0" fontId="3" fillId="2" borderId="0" xfId="0" applyFont="1" applyFill="1"/>
    <xf numFmtId="0" fontId="4" fillId="2" borderId="0" xfId="0" applyNumberFormat="1" applyFont="1" applyFill="1"/>
    <xf numFmtId="0" fontId="4" fillId="2" borderId="0" xfId="0" applyFont="1" applyFill="1"/>
    <xf numFmtId="0" fontId="0" fillId="3" borderId="2" xfId="0" applyFill="1" applyBorder="1"/>
    <xf numFmtId="0" fontId="0" fillId="3" borderId="3" xfId="0" applyFill="1" applyBorder="1"/>
    <xf numFmtId="0" fontId="0" fillId="3" borderId="4" xfId="0" applyFill="1" applyBorder="1"/>
    <xf numFmtId="167" fontId="0" fillId="3" borderId="5" xfId="2" applyNumberFormat="1" applyFont="1" applyFill="1" applyBorder="1"/>
    <xf numFmtId="0" fontId="3" fillId="3" borderId="2" xfId="0" applyFont="1" applyFill="1" applyBorder="1"/>
    <xf numFmtId="0" fontId="3" fillId="3" borderId="5" xfId="0" applyFont="1" applyFill="1" applyBorder="1"/>
    <xf numFmtId="0" fontId="0" fillId="3" borderId="6" xfId="0" applyFill="1" applyBorder="1"/>
    <xf numFmtId="164" fontId="0" fillId="3" borderId="1" xfId="0" applyNumberFormat="1" applyFill="1" applyBorder="1"/>
    <xf numFmtId="0" fontId="0" fillId="3" borderId="0" xfId="0" applyFill="1"/>
    <xf numFmtId="10" fontId="0" fillId="3" borderId="7" xfId="2" applyNumberFormat="1" applyFont="1" applyFill="1" applyBorder="1"/>
    <xf numFmtId="0" fontId="3" fillId="3" borderId="6" xfId="0" applyFont="1" applyFill="1" applyBorder="1"/>
    <xf numFmtId="0" fontId="3" fillId="3" borderId="0" xfId="0" applyFont="1" applyFill="1" applyBorder="1"/>
    <xf numFmtId="0" fontId="3" fillId="3" borderId="7" xfId="0" applyFont="1" applyFill="1" applyBorder="1"/>
    <xf numFmtId="22" fontId="0" fillId="3" borderId="1" xfId="0" applyNumberFormat="1" applyFill="1" applyBorder="1" applyAlignment="1">
      <alignment horizontal="right"/>
    </xf>
    <xf numFmtId="4" fontId="0" fillId="3" borderId="7" xfId="0" applyNumberFormat="1" applyFill="1" applyBorder="1"/>
    <xf numFmtId="0" fontId="0" fillId="3" borderId="8" xfId="0" applyFill="1" applyBorder="1"/>
    <xf numFmtId="2" fontId="0" fillId="3" borderId="11" xfId="0" applyNumberFormat="1" applyFill="1" applyBorder="1"/>
    <xf numFmtId="0" fontId="0" fillId="3" borderId="9" xfId="0" applyFill="1" applyBorder="1"/>
    <xf numFmtId="0" fontId="0" fillId="3" borderId="10" xfId="0" applyFill="1" applyBorder="1"/>
    <xf numFmtId="0" fontId="3" fillId="3" borderId="8" xfId="0" applyFont="1" applyFill="1" applyBorder="1"/>
    <xf numFmtId="0" fontId="3" fillId="3" borderId="9" xfId="0" applyFont="1" applyFill="1" applyBorder="1"/>
    <xf numFmtId="0" fontId="3" fillId="3" borderId="10" xfId="0" applyFont="1" applyFill="1" applyBorder="1"/>
    <xf numFmtId="0" fontId="0" fillId="3" borderId="16" xfId="0" applyFill="1" applyBorder="1"/>
    <xf numFmtId="0" fontId="0" fillId="3" borderId="17" xfId="0" applyFill="1" applyBorder="1"/>
    <xf numFmtId="0" fontId="0" fillId="3" borderId="19" xfId="0" applyFill="1" applyBorder="1"/>
    <xf numFmtId="44" fontId="0" fillId="3" borderId="6" xfId="1" applyFont="1" applyFill="1" applyBorder="1"/>
    <xf numFmtId="165" fontId="0" fillId="3" borderId="0" xfId="1" applyNumberFormat="1" applyFont="1" applyFill="1" applyBorder="1"/>
    <xf numFmtId="44" fontId="0" fillId="3" borderId="0" xfId="1" applyFont="1" applyFill="1" applyBorder="1"/>
    <xf numFmtId="2" fontId="0" fillId="3" borderId="0" xfId="2" applyNumberFormat="1" applyFont="1" applyFill="1" applyBorder="1"/>
    <xf numFmtId="0" fontId="2" fillId="3" borderId="22" xfId="0" applyNumberFormat="1" applyFont="1" applyFill="1" applyBorder="1" applyAlignment="1">
      <alignment horizontal="center"/>
    </xf>
    <xf numFmtId="166" fontId="0" fillId="3" borderId="0" xfId="0" applyNumberFormat="1" applyFill="1" applyBorder="1"/>
    <xf numFmtId="2" fontId="0" fillId="3" borderId="0" xfId="0" applyNumberFormat="1" applyFill="1" applyBorder="1"/>
    <xf numFmtId="44" fontId="0" fillId="3" borderId="7" xfId="1" applyFont="1" applyFill="1" applyBorder="1"/>
    <xf numFmtId="2" fontId="0" fillId="3" borderId="0" xfId="1" applyNumberFormat="1" applyFont="1" applyFill="1" applyBorder="1"/>
    <xf numFmtId="44" fontId="2" fillId="3" borderId="31" xfId="1" applyFont="1" applyFill="1" applyBorder="1" applyAlignment="1">
      <alignment horizontal="center"/>
    </xf>
    <xf numFmtId="0" fontId="0" fillId="3" borderId="1" xfId="0" applyFill="1" applyBorder="1" applyAlignment="1">
      <alignment horizontal="left" indent="1"/>
    </xf>
    <xf numFmtId="0" fontId="0" fillId="3" borderId="29" xfId="0" applyFill="1" applyBorder="1"/>
    <xf numFmtId="9" fontId="0" fillId="3" borderId="1" xfId="0" applyNumberFormat="1" applyFill="1" applyBorder="1" applyAlignment="1">
      <alignment horizontal="left" indent="1"/>
    </xf>
    <xf numFmtId="0" fontId="0" fillId="3" borderId="0" xfId="0" applyFill="1" applyBorder="1"/>
    <xf numFmtId="10" fontId="0" fillId="3" borderId="1" xfId="2" applyNumberFormat="1" applyFont="1" applyFill="1" applyBorder="1" applyAlignment="1">
      <alignment horizontal="left" indent="1"/>
    </xf>
    <xf numFmtId="4" fontId="0" fillId="3" borderId="1" xfId="0" applyNumberFormat="1" applyFill="1" applyBorder="1" applyAlignment="1">
      <alignment horizontal="left" indent="1"/>
    </xf>
    <xf numFmtId="0" fontId="0" fillId="3" borderId="11" xfId="0" applyFill="1" applyBorder="1" applyAlignment="1">
      <alignment horizontal="left" indent="1"/>
    </xf>
    <xf numFmtId="0" fontId="0" fillId="3" borderId="30" xfId="0" applyFill="1" applyBorder="1"/>
    <xf numFmtId="44" fontId="0" fillId="3" borderId="10" xfId="1" applyFont="1" applyFill="1" applyBorder="1"/>
    <xf numFmtId="0" fontId="2" fillId="4" borderId="34" xfId="0" applyFont="1" applyFill="1" applyBorder="1"/>
    <xf numFmtId="0" fontId="7" fillId="4" borderId="32" xfId="0" applyFont="1" applyFill="1" applyBorder="1"/>
    <xf numFmtId="44" fontId="7" fillId="4" borderId="33" xfId="1" applyFont="1" applyFill="1" applyBorder="1"/>
    <xf numFmtId="0" fontId="4" fillId="2" borderId="0" xfId="1" applyNumberFormat="1" applyFont="1" applyFill="1"/>
    <xf numFmtId="0" fontId="4" fillId="2" borderId="0" xfId="0" applyNumberFormat="1" applyFont="1" applyFill="1" applyAlignment="1">
      <alignment horizontal="center"/>
    </xf>
    <xf numFmtId="0" fontId="3" fillId="2" borderId="0" xfId="0" applyNumberFormat="1" applyFont="1" applyFill="1" applyAlignment="1">
      <alignment horizontal="right"/>
    </xf>
    <xf numFmtId="10" fontId="3" fillId="2" borderId="0" xfId="2" applyNumberFormat="1" applyFont="1" applyFill="1"/>
    <xf numFmtId="44" fontId="3" fillId="2" borderId="0" xfId="0" applyNumberFormat="1" applyFont="1" applyFill="1" applyBorder="1"/>
    <xf numFmtId="44" fontId="3" fillId="2" borderId="0" xfId="1" applyFont="1" applyFill="1"/>
    <xf numFmtId="44" fontId="3" fillId="2" borderId="0" xfId="0" applyNumberFormat="1" applyFont="1" applyFill="1"/>
    <xf numFmtId="9" fontId="0" fillId="3" borderId="21" xfId="0" applyNumberFormat="1" applyFill="1" applyBorder="1" applyAlignment="1">
      <alignment horizontal="left" indent="1"/>
    </xf>
    <xf numFmtId="0" fontId="0" fillId="3" borderId="1" xfId="2" applyNumberFormat="1" applyFont="1" applyFill="1" applyBorder="1" applyAlignment="1">
      <alignment horizontal="left" indent="1"/>
    </xf>
    <xf numFmtId="168" fontId="3" fillId="2" borderId="0" xfId="1" applyNumberFormat="1" applyFont="1" applyFill="1"/>
    <xf numFmtId="0" fontId="0" fillId="3" borderId="22" xfId="0" applyFill="1" applyBorder="1"/>
    <xf numFmtId="0" fontId="0" fillId="3" borderId="27" xfId="0" applyFill="1" applyBorder="1"/>
    <xf numFmtId="0" fontId="2" fillId="3" borderId="35" xfId="0" applyFont="1" applyFill="1" applyBorder="1" applyAlignment="1">
      <alignment horizontal="center"/>
    </xf>
    <xf numFmtId="0" fontId="0" fillId="3" borderId="10" xfId="1" applyNumberFormat="1" applyFont="1" applyFill="1" applyBorder="1" applyAlignment="1">
      <alignment horizontal="left"/>
    </xf>
    <xf numFmtId="0" fontId="0" fillId="3" borderId="0" xfId="0" applyFill="1" applyBorder="1" applyAlignment="1">
      <alignment horizontal="left" indent="1"/>
    </xf>
    <xf numFmtId="2" fontId="0" fillId="3" borderId="11" xfId="0" applyNumberFormat="1" applyFill="1" applyBorder="1" applyAlignment="1">
      <alignment horizontal="left" indent="1"/>
    </xf>
    <xf numFmtId="0" fontId="0" fillId="3" borderId="1" xfId="0" applyFill="1" applyBorder="1"/>
    <xf numFmtId="0" fontId="0" fillId="3" borderId="7" xfId="0" applyFill="1" applyBorder="1" applyAlignment="1">
      <alignment horizontal="left" indent="1"/>
    </xf>
    <xf numFmtId="0" fontId="0" fillId="3" borderId="7" xfId="0" applyFill="1" applyBorder="1"/>
    <xf numFmtId="0" fontId="2" fillId="3" borderId="33" xfId="0" applyFont="1" applyFill="1" applyBorder="1"/>
    <xf numFmtId="0" fontId="0" fillId="3" borderId="20" xfId="0" applyFill="1" applyBorder="1"/>
    <xf numFmtId="0" fontId="2" fillId="3" borderId="37" xfId="0" applyFont="1" applyFill="1" applyBorder="1"/>
    <xf numFmtId="0" fontId="2" fillId="3" borderId="38" xfId="0" applyFont="1" applyFill="1" applyBorder="1"/>
    <xf numFmtId="0" fontId="7" fillId="3" borderId="36" xfId="0" applyFont="1" applyFill="1" applyBorder="1"/>
    <xf numFmtId="0" fontId="3" fillId="2" borderId="39" xfId="0" applyFont="1" applyFill="1" applyBorder="1"/>
    <xf numFmtId="0" fontId="3" fillId="2" borderId="39" xfId="0" applyNumberFormat="1" applyFont="1" applyFill="1" applyBorder="1"/>
    <xf numFmtId="10" fontId="3" fillId="2" borderId="39" xfId="0" applyNumberFormat="1" applyFont="1" applyFill="1" applyBorder="1"/>
    <xf numFmtId="0" fontId="2" fillId="3" borderId="40" xfId="0" applyFont="1" applyFill="1" applyBorder="1"/>
    <xf numFmtId="0" fontId="0" fillId="3" borderId="41" xfId="0" applyFill="1" applyBorder="1"/>
    <xf numFmtId="0" fontId="0" fillId="3" borderId="42" xfId="0" applyFill="1" applyBorder="1"/>
    <xf numFmtId="164" fontId="0" fillId="3" borderId="1" xfId="0" applyNumberFormat="1" applyFill="1" applyBorder="1" applyAlignment="1">
      <alignment horizontal="left" indent="1"/>
    </xf>
    <xf numFmtId="0" fontId="10" fillId="3" borderId="42" xfId="0" applyFont="1" applyFill="1" applyBorder="1"/>
    <xf numFmtId="0" fontId="0" fillId="3" borderId="43" xfId="0" applyFill="1" applyBorder="1"/>
    <xf numFmtId="166" fontId="0" fillId="3" borderId="1" xfId="2" applyNumberFormat="1" applyFont="1" applyFill="1" applyBorder="1"/>
    <xf numFmtId="44" fontId="0" fillId="3" borderId="1" xfId="1" applyFont="1" applyFill="1" applyBorder="1"/>
    <xf numFmtId="44" fontId="0" fillId="6" borderId="0" xfId="1" applyFont="1" applyFill="1"/>
    <xf numFmtId="0" fontId="0" fillId="6" borderId="0" xfId="0" applyFill="1"/>
    <xf numFmtId="0" fontId="2" fillId="6" borderId="0" xfId="0" applyNumberFormat="1" applyFont="1" applyFill="1"/>
    <xf numFmtId="0" fontId="2" fillId="6" borderId="0" xfId="1" applyNumberFormat="1" applyFont="1" applyFill="1"/>
    <xf numFmtId="0" fontId="0" fillId="6" borderId="0" xfId="0" applyNumberFormat="1" applyFill="1"/>
    <xf numFmtId="0" fontId="2" fillId="6" borderId="0" xfId="0" applyNumberFormat="1" applyFont="1" applyFill="1" applyAlignment="1">
      <alignment horizontal="center"/>
    </xf>
    <xf numFmtId="44" fontId="0" fillId="6" borderId="0" xfId="0" applyNumberFormat="1" applyFill="1" applyAlignment="1">
      <alignment horizontal="right"/>
    </xf>
    <xf numFmtId="0" fontId="0" fillId="6" borderId="0" xfId="0" applyFill="1" applyBorder="1"/>
    <xf numFmtId="44" fontId="5" fillId="6" borderId="0" xfId="1" applyFont="1" applyFill="1"/>
    <xf numFmtId="0" fontId="5" fillId="6" borderId="0" xfId="0" applyFont="1" applyFill="1"/>
    <xf numFmtId="0" fontId="4" fillId="6" borderId="0" xfId="0" applyFont="1" applyFill="1" applyAlignment="1">
      <alignment horizontal="center"/>
    </xf>
    <xf numFmtId="0" fontId="3" fillId="6" borderId="0" xfId="0" applyFont="1" applyFill="1"/>
    <xf numFmtId="0" fontId="5" fillId="6" borderId="0" xfId="0" applyNumberFormat="1" applyFont="1" applyFill="1" applyAlignment="1">
      <alignment horizontal="right"/>
    </xf>
    <xf numFmtId="10" fontId="5" fillId="6" borderId="0" xfId="2" applyNumberFormat="1" applyFont="1" applyFill="1"/>
    <xf numFmtId="10" fontId="5" fillId="6" borderId="0" xfId="0" applyNumberFormat="1" applyFont="1" applyFill="1"/>
    <xf numFmtId="0" fontId="5" fillId="6" borderId="0" xfId="0" applyFont="1" applyFill="1" applyAlignment="1">
      <alignment horizontal="right"/>
    </xf>
    <xf numFmtId="10" fontId="6" fillId="6" borderId="0" xfId="2" applyNumberFormat="1" applyFont="1" applyFill="1"/>
    <xf numFmtId="168" fontId="0" fillId="6" borderId="0" xfId="1" applyNumberFormat="1" applyFont="1" applyFill="1"/>
    <xf numFmtId="2" fontId="0" fillId="6" borderId="0" xfId="0" applyNumberFormat="1" applyFill="1" applyBorder="1"/>
    <xf numFmtId="0" fontId="0" fillId="7" borderId="2" xfId="0" applyFill="1" applyBorder="1"/>
    <xf numFmtId="0" fontId="0" fillId="7" borderId="3" xfId="0" applyFill="1" applyBorder="1"/>
    <xf numFmtId="0" fontId="0" fillId="7" borderId="4" xfId="0" applyFill="1" applyBorder="1"/>
    <xf numFmtId="167" fontId="0" fillId="7" borderId="5" xfId="2" applyNumberFormat="1" applyFont="1" applyFill="1" applyBorder="1"/>
    <xf numFmtId="0" fontId="3" fillId="7" borderId="2" xfId="0" applyFont="1" applyFill="1" applyBorder="1"/>
    <xf numFmtId="0" fontId="3" fillId="7" borderId="5" xfId="0" applyFont="1" applyFill="1" applyBorder="1"/>
    <xf numFmtId="0" fontId="0" fillId="7" borderId="6" xfId="0" applyFill="1" applyBorder="1"/>
    <xf numFmtId="164" fontId="0" fillId="7" borderId="1" xfId="0" applyNumberFormat="1" applyFill="1" applyBorder="1"/>
    <xf numFmtId="0" fontId="0" fillId="7" borderId="0" xfId="0" applyFill="1"/>
    <xf numFmtId="10" fontId="0" fillId="7" borderId="7" xfId="2" applyNumberFormat="1" applyFont="1" applyFill="1" applyBorder="1"/>
    <xf numFmtId="0" fontId="3" fillId="7" borderId="6" xfId="0" applyFont="1" applyFill="1" applyBorder="1"/>
    <xf numFmtId="0" fontId="3" fillId="7" borderId="0" xfId="0" applyFont="1" applyFill="1" applyBorder="1"/>
    <xf numFmtId="0" fontId="3" fillId="7" borderId="7" xfId="0" applyFont="1" applyFill="1" applyBorder="1"/>
    <xf numFmtId="22" fontId="0" fillId="7" borderId="1" xfId="0" applyNumberFormat="1" applyFill="1" applyBorder="1" applyAlignment="1">
      <alignment horizontal="right"/>
    </xf>
    <xf numFmtId="4" fontId="0" fillId="7" borderId="7" xfId="0" applyNumberFormat="1" applyFill="1" applyBorder="1"/>
    <xf numFmtId="0" fontId="0" fillId="7" borderId="8" xfId="0" applyFill="1" applyBorder="1"/>
    <xf numFmtId="2" fontId="0" fillId="7" borderId="11" xfId="0" applyNumberFormat="1" applyFill="1" applyBorder="1"/>
    <xf numFmtId="0" fontId="0" fillId="7" borderId="9" xfId="0" applyFill="1" applyBorder="1"/>
    <xf numFmtId="0" fontId="0" fillId="7" borderId="10" xfId="0" applyFill="1" applyBorder="1"/>
    <xf numFmtId="0" fontId="3" fillId="7" borderId="8" xfId="0" applyFont="1" applyFill="1" applyBorder="1"/>
    <xf numFmtId="0" fontId="3" fillId="7" borderId="9" xfId="0" applyFont="1" applyFill="1" applyBorder="1"/>
    <xf numFmtId="0" fontId="3" fillId="7" borderId="10" xfId="0" applyFont="1" applyFill="1" applyBorder="1"/>
    <xf numFmtId="0" fontId="0" fillId="7" borderId="16" xfId="0" applyFill="1" applyBorder="1"/>
    <xf numFmtId="0" fontId="0" fillId="7" borderId="17" xfId="0" applyFill="1" applyBorder="1"/>
    <xf numFmtId="0" fontId="0" fillId="7" borderId="19" xfId="0" applyFill="1" applyBorder="1"/>
    <xf numFmtId="44" fontId="0" fillId="7" borderId="6" xfId="1" applyFont="1" applyFill="1" applyBorder="1"/>
    <xf numFmtId="44" fontId="0" fillId="7" borderId="0" xfId="1" applyFont="1" applyFill="1" applyBorder="1"/>
    <xf numFmtId="2" fontId="0" fillId="7" borderId="0" xfId="2" applyNumberFormat="1" applyFont="1" applyFill="1" applyBorder="1"/>
    <xf numFmtId="166" fontId="0" fillId="7" borderId="0" xfId="2" applyNumberFormat="1" applyFont="1" applyFill="1" applyBorder="1"/>
    <xf numFmtId="0" fontId="2" fillId="7" borderId="22" xfId="0" applyNumberFormat="1" applyFont="1" applyFill="1" applyBorder="1" applyAlignment="1">
      <alignment horizontal="center"/>
    </xf>
    <xf numFmtId="166" fontId="0" fillId="7" borderId="0" xfId="0" applyNumberFormat="1" applyFill="1" applyBorder="1"/>
    <xf numFmtId="2" fontId="0" fillId="7" borderId="0" xfId="0" applyNumberFormat="1" applyFill="1" applyBorder="1"/>
    <xf numFmtId="44" fontId="0" fillId="7" borderId="7" xfId="1" applyFont="1" applyFill="1" applyBorder="1"/>
    <xf numFmtId="2" fontId="0" fillId="7" borderId="0" xfId="1" applyNumberFormat="1" applyFont="1" applyFill="1" applyBorder="1"/>
    <xf numFmtId="0" fontId="8" fillId="7" borderId="4" xfId="0" applyFont="1" applyFill="1" applyBorder="1"/>
    <xf numFmtId="44" fontId="2" fillId="7" borderId="12" xfId="1" applyFont="1" applyFill="1" applyBorder="1"/>
    <xf numFmtId="44" fontId="2" fillId="7" borderId="13" xfId="1" applyFont="1" applyFill="1" applyBorder="1"/>
    <xf numFmtId="44" fontId="2" fillId="7" borderId="15" xfId="1" applyFont="1" applyFill="1" applyBorder="1"/>
    <xf numFmtId="44" fontId="2" fillId="7" borderId="14" xfId="1" applyFont="1" applyFill="1" applyBorder="1"/>
    <xf numFmtId="44" fontId="0" fillId="7" borderId="20" xfId="1" applyFont="1" applyFill="1" applyBorder="1"/>
    <xf numFmtId="44" fontId="0" fillId="7" borderId="21" xfId="1" applyFont="1" applyFill="1" applyBorder="1"/>
    <xf numFmtId="44" fontId="0" fillId="7" borderId="21" xfId="1" applyFont="1" applyFill="1" applyBorder="1" applyAlignment="1">
      <alignment horizontal="right"/>
    </xf>
    <xf numFmtId="44" fontId="0" fillId="7" borderId="1" xfId="1" applyFont="1" applyFill="1" applyBorder="1"/>
    <xf numFmtId="0" fontId="0" fillId="7" borderId="1" xfId="0" applyFill="1" applyBorder="1"/>
    <xf numFmtId="44" fontId="0" fillId="7" borderId="1" xfId="0" applyNumberFormat="1" applyFill="1" applyBorder="1"/>
    <xf numFmtId="0" fontId="0" fillId="7" borderId="1" xfId="0" applyFill="1" applyBorder="1" applyAlignment="1">
      <alignment horizontal="right"/>
    </xf>
    <xf numFmtId="44" fontId="0" fillId="7" borderId="7" xfId="0" applyNumberFormat="1" applyFill="1" applyBorder="1"/>
    <xf numFmtId="44" fontId="0" fillId="7" borderId="23" xfId="1" applyFont="1" applyFill="1" applyBorder="1"/>
    <xf numFmtId="44" fontId="0" fillId="7" borderId="24" xfId="1" applyFont="1" applyFill="1" applyBorder="1"/>
    <xf numFmtId="0" fontId="0" fillId="7" borderId="24" xfId="0" applyFill="1" applyBorder="1"/>
    <xf numFmtId="0" fontId="0" fillId="7" borderId="20" xfId="0" applyFill="1" applyBorder="1"/>
    <xf numFmtId="0" fontId="0" fillId="7" borderId="25" xfId="0" applyFill="1" applyBorder="1"/>
    <xf numFmtId="44" fontId="0" fillId="7" borderId="11" xfId="0" applyNumberFormat="1" applyFill="1" applyBorder="1"/>
    <xf numFmtId="44" fontId="0" fillId="7" borderId="10" xfId="0" applyNumberFormat="1" applyFill="1" applyBorder="1"/>
    <xf numFmtId="0" fontId="11" fillId="3" borderId="1" xfId="0" applyFont="1" applyFill="1" applyBorder="1" applyAlignment="1">
      <alignment horizontal="left" indent="1"/>
    </xf>
    <xf numFmtId="0" fontId="11" fillId="3" borderId="0" xfId="0" applyFont="1" applyFill="1" applyBorder="1" applyAlignment="1">
      <alignment horizontal="left" indent="1"/>
    </xf>
    <xf numFmtId="0" fontId="12" fillId="2" borderId="0" xfId="0" applyFont="1" applyFill="1"/>
    <xf numFmtId="169" fontId="0" fillId="3" borderId="0" xfId="0" applyNumberFormat="1" applyFill="1" applyBorder="1"/>
    <xf numFmtId="0" fontId="0" fillId="3" borderId="46" xfId="0" applyFill="1" applyBorder="1"/>
    <xf numFmtId="0" fontId="2" fillId="3" borderId="24" xfId="0" applyFont="1" applyFill="1" applyBorder="1" applyAlignment="1">
      <alignment horizontal="left" indent="1"/>
    </xf>
    <xf numFmtId="0" fontId="0" fillId="3" borderId="1" xfId="0" applyFont="1" applyFill="1" applyBorder="1" applyAlignment="1">
      <alignment horizontal="left" indent="1"/>
    </xf>
    <xf numFmtId="166" fontId="5" fillId="2" borderId="0" xfId="0" applyNumberFormat="1" applyFont="1" applyFill="1"/>
    <xf numFmtId="0" fontId="0" fillId="3" borderId="24" xfId="0" applyFill="1" applyBorder="1" applyAlignment="1">
      <alignment horizontal="left" indent="1"/>
    </xf>
    <xf numFmtId="169" fontId="2" fillId="3" borderId="0" xfId="0" applyNumberFormat="1" applyFont="1" applyFill="1" applyBorder="1" applyAlignment="1">
      <alignment horizontal="left" indent="1"/>
    </xf>
    <xf numFmtId="0" fontId="2" fillId="3" borderId="1" xfId="0" applyFont="1" applyFill="1" applyBorder="1" applyAlignment="1">
      <alignment horizontal="left" indent="1"/>
    </xf>
    <xf numFmtId="169" fontId="4" fillId="2" borderId="0" xfId="0" applyNumberFormat="1" applyFont="1" applyFill="1"/>
    <xf numFmtId="0" fontId="0" fillId="5" borderId="0" xfId="0" applyFill="1" applyProtection="1">
      <protection locked="0"/>
    </xf>
    <xf numFmtId="0" fontId="13" fillId="5" borderId="45" xfId="0" applyFont="1" applyFill="1" applyBorder="1" applyProtection="1">
      <protection locked="0"/>
    </xf>
    <xf numFmtId="2" fontId="13" fillId="5" borderId="45" xfId="0" applyNumberFormat="1" applyFont="1" applyFill="1" applyBorder="1" applyProtection="1">
      <protection locked="0"/>
    </xf>
    <xf numFmtId="0" fontId="10" fillId="3" borderId="4" xfId="0" applyFont="1" applyFill="1" applyBorder="1"/>
    <xf numFmtId="0" fontId="15" fillId="2" borderId="0" xfId="0" applyFont="1" applyFill="1" applyAlignment="1">
      <alignment vertical="center"/>
    </xf>
    <xf numFmtId="170" fontId="0" fillId="3" borderId="20" xfId="1" applyNumberFormat="1" applyFont="1" applyFill="1" applyBorder="1"/>
    <xf numFmtId="10" fontId="3" fillId="2" borderId="0" xfId="2" applyNumberFormat="1" applyFont="1" applyFill="1" applyAlignment="1">
      <alignment horizontal="right"/>
    </xf>
    <xf numFmtId="44" fontId="3" fillId="2" borderId="0" xfId="0" applyNumberFormat="1" applyFont="1" applyFill="1" applyAlignment="1">
      <alignment horizontal="right"/>
    </xf>
    <xf numFmtId="164" fontId="2" fillId="2" borderId="0" xfId="1" applyNumberFormat="1" applyFont="1" applyFill="1"/>
    <xf numFmtId="0" fontId="15" fillId="2" borderId="0" xfId="0" applyFont="1" applyFill="1" applyAlignment="1"/>
    <xf numFmtId="0" fontId="15" fillId="2" borderId="9" xfId="0" applyFont="1" applyFill="1" applyBorder="1" applyAlignment="1"/>
    <xf numFmtId="44" fontId="5" fillId="3" borderId="6" xfId="0" applyNumberFormat="1" applyFont="1" applyFill="1" applyBorder="1"/>
    <xf numFmtId="1" fontId="20" fillId="3" borderId="34" xfId="0" applyNumberFormat="1" applyFont="1" applyFill="1" applyBorder="1"/>
    <xf numFmtId="44" fontId="5" fillId="3" borderId="33" xfId="1" applyNumberFormat="1" applyFont="1" applyFill="1" applyBorder="1"/>
    <xf numFmtId="0" fontId="5" fillId="3" borderId="8" xfId="0" applyNumberFormat="1" applyFont="1" applyFill="1" applyBorder="1" applyAlignment="1">
      <alignment horizontal="left"/>
    </xf>
    <xf numFmtId="0" fontId="11" fillId="3" borderId="3" xfId="0" applyFont="1" applyFill="1" applyBorder="1"/>
    <xf numFmtId="164" fontId="11" fillId="3" borderId="1" xfId="0" applyNumberFormat="1" applyFont="1" applyFill="1" applyBorder="1"/>
    <xf numFmtId="2" fontId="11" fillId="3" borderId="11" xfId="0" applyNumberFormat="1" applyFont="1" applyFill="1" applyBorder="1"/>
    <xf numFmtId="167" fontId="11" fillId="3" borderId="5" xfId="2" applyNumberFormat="1" applyFont="1" applyFill="1" applyBorder="1"/>
    <xf numFmtId="10" fontId="11" fillId="3" borderId="7" xfId="2" applyNumberFormat="1" applyFont="1" applyFill="1" applyBorder="1"/>
    <xf numFmtId="0" fontId="11" fillId="3" borderId="10" xfId="0" applyFont="1" applyFill="1" applyBorder="1"/>
    <xf numFmtId="10" fontId="6" fillId="3" borderId="7" xfId="2" applyNumberFormat="1" applyFont="1" applyFill="1" applyBorder="1" applyAlignment="1">
      <alignment horizontal="right"/>
    </xf>
    <xf numFmtId="10" fontId="6" fillId="3" borderId="10" xfId="2" applyNumberFormat="1" applyFont="1" applyFill="1" applyBorder="1"/>
    <xf numFmtId="0" fontId="2" fillId="3" borderId="22" xfId="0" applyFont="1" applyFill="1" applyBorder="1" applyAlignment="1">
      <alignment horizontal="center"/>
    </xf>
    <xf numFmtId="166" fontId="0" fillId="3" borderId="0" xfId="0" applyNumberFormat="1" applyFill="1"/>
    <xf numFmtId="2" fontId="0" fillId="3" borderId="0" xfId="0" applyNumberFormat="1" applyFill="1"/>
    <xf numFmtId="0" fontId="5" fillId="3" borderId="6" xfId="1" applyNumberFormat="1" applyFont="1" applyFill="1" applyBorder="1"/>
    <xf numFmtId="0" fontId="5" fillId="3" borderId="8" xfId="1" applyNumberFormat="1" applyFont="1" applyFill="1" applyBorder="1"/>
    <xf numFmtId="0" fontId="21" fillId="3" borderId="34" xfId="1" applyNumberFormat="1" applyFont="1" applyFill="1" applyBorder="1"/>
    <xf numFmtId="44" fontId="5" fillId="3" borderId="33" xfId="0" applyNumberFormat="1" applyFont="1" applyFill="1" applyBorder="1"/>
    <xf numFmtId="0" fontId="5" fillId="3" borderId="2" xfId="1" applyNumberFormat="1" applyFont="1" applyFill="1" applyBorder="1" applyAlignment="1"/>
    <xf numFmtId="0" fontId="3" fillId="2" borderId="0" xfId="1" applyNumberFormat="1" applyFont="1" applyFill="1"/>
    <xf numFmtId="14" fontId="5" fillId="3" borderId="5" xfId="1" applyNumberFormat="1" applyFont="1" applyFill="1" applyBorder="1" applyAlignment="1"/>
    <xf numFmtId="0" fontId="6" fillId="3" borderId="10" xfId="0" applyNumberFormat="1" applyFont="1" applyFill="1" applyBorder="1"/>
    <xf numFmtId="0" fontId="4" fillId="3" borderId="45" xfId="1" applyNumberFormat="1" applyFont="1" applyFill="1" applyBorder="1"/>
    <xf numFmtId="44" fontId="3" fillId="3" borderId="45" xfId="0" applyNumberFormat="1" applyFont="1" applyFill="1" applyBorder="1"/>
    <xf numFmtId="0" fontId="3" fillId="3" borderId="48" xfId="0" applyFont="1" applyFill="1" applyBorder="1"/>
    <xf numFmtId="44" fontId="0" fillId="3" borderId="7" xfId="1" applyNumberFormat="1" applyFont="1" applyFill="1" applyBorder="1" applyAlignment="1">
      <alignment horizontal="left" indent="1"/>
    </xf>
    <xf numFmtId="0" fontId="0" fillId="3" borderId="7" xfId="1" applyNumberFormat="1" applyFont="1" applyFill="1" applyBorder="1" applyAlignment="1">
      <alignment horizontal="right" indent="1"/>
    </xf>
    <xf numFmtId="44" fontId="4" fillId="2" borderId="0" xfId="0" applyNumberFormat="1" applyFont="1" applyFill="1"/>
    <xf numFmtId="44" fontId="2" fillId="2" borderId="0" xfId="0" applyNumberFormat="1" applyFont="1" applyFill="1"/>
    <xf numFmtId="4" fontId="11" fillId="3" borderId="7" xfId="0" applyNumberFormat="1" applyFont="1" applyFill="1" applyBorder="1" applyAlignment="1">
      <alignment horizontal="right"/>
    </xf>
    <xf numFmtId="0" fontId="22" fillId="0" borderId="49" xfId="0" applyFont="1" applyBorder="1"/>
    <xf numFmtId="1" fontId="0" fillId="8" borderId="21" xfId="0" applyNumberFormat="1" applyFill="1" applyBorder="1"/>
    <xf numFmtId="0" fontId="0" fillId="0" borderId="29" xfId="0" applyBorder="1"/>
    <xf numFmtId="0" fontId="0" fillId="8" borderId="1" xfId="0" applyFill="1" applyBorder="1"/>
    <xf numFmtId="166" fontId="0" fillId="8" borderId="1" xfId="0" applyNumberFormat="1" applyFill="1" applyBorder="1"/>
    <xf numFmtId="9" fontId="0" fillId="8" borderId="1" xfId="0" applyNumberFormat="1" applyFill="1" applyBorder="1"/>
    <xf numFmtId="0" fontId="0" fillId="0" borderId="46" xfId="0" applyBorder="1"/>
    <xf numFmtId="0" fontId="0" fillId="0" borderId="24" xfId="0" applyBorder="1"/>
    <xf numFmtId="0" fontId="0" fillId="0" borderId="47" xfId="0" applyBorder="1"/>
    <xf numFmtId="0" fontId="0" fillId="0" borderId="50" xfId="0" applyBorder="1" applyAlignment="1">
      <alignment horizontal="right"/>
    </xf>
    <xf numFmtId="0" fontId="23" fillId="0" borderId="0" xfId="0" applyFont="1"/>
    <xf numFmtId="0" fontId="0" fillId="0" borderId="47" xfId="0" applyBorder="1" applyAlignment="1">
      <alignment horizontal="center"/>
    </xf>
    <xf numFmtId="0" fontId="0" fillId="0" borderId="43" xfId="0" applyBorder="1" applyAlignment="1">
      <alignment horizontal="center"/>
    </xf>
    <xf numFmtId="0" fontId="0" fillId="0" borderId="49" xfId="0" applyBorder="1" applyAlignment="1">
      <alignment horizontal="center"/>
    </xf>
    <xf numFmtId="0" fontId="0" fillId="0" borderId="21" xfId="0" applyBorder="1" applyAlignment="1">
      <alignment horizontal="center"/>
    </xf>
    <xf numFmtId="0" fontId="0" fillId="0" borderId="29"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0" fillId="0" borderId="24" xfId="0" applyBorder="1" applyAlignment="1">
      <alignment horizontal="center"/>
    </xf>
    <xf numFmtId="0" fontId="26" fillId="2" borderId="0" xfId="0" applyNumberFormat="1" applyFont="1" applyFill="1" applyAlignment="1">
      <alignment vertical="center"/>
    </xf>
    <xf numFmtId="22" fontId="25" fillId="2" borderId="0" xfId="0" applyNumberFormat="1" applyFont="1" applyFill="1" applyAlignment="1">
      <alignment vertical="center"/>
    </xf>
    <xf numFmtId="14" fontId="11" fillId="3" borderId="1" xfId="0" applyNumberFormat="1" applyFont="1" applyFill="1" applyBorder="1" applyAlignment="1">
      <alignment horizontal="right"/>
    </xf>
    <xf numFmtId="44" fontId="27" fillId="2" borderId="0" xfId="1" applyFont="1" applyFill="1"/>
    <xf numFmtId="44" fontId="21" fillId="3" borderId="51" xfId="1" applyNumberFormat="1" applyFont="1" applyFill="1" applyBorder="1"/>
    <xf numFmtId="44" fontId="0" fillId="3" borderId="19" xfId="1" applyNumberFormat="1" applyFont="1" applyFill="1" applyBorder="1" applyAlignment="1">
      <alignment horizontal="left" indent="1"/>
    </xf>
    <xf numFmtId="0" fontId="2" fillId="3" borderId="47" xfId="0" applyFont="1" applyFill="1" applyBorder="1" applyAlignment="1"/>
    <xf numFmtId="0" fontId="2" fillId="3" borderId="52" xfId="0" applyFont="1" applyFill="1" applyBorder="1" applyAlignment="1"/>
    <xf numFmtId="0" fontId="0" fillId="5" borderId="6" xfId="0" applyFill="1" applyBorder="1" applyProtection="1">
      <protection locked="0"/>
    </xf>
    <xf numFmtId="0" fontId="0" fillId="5" borderId="0" xfId="0" applyFill="1" applyBorder="1" applyProtection="1">
      <protection locked="0"/>
    </xf>
    <xf numFmtId="0" fontId="0" fillId="5" borderId="7" xfId="0" applyFill="1" applyBorder="1" applyProtection="1">
      <protection locked="0"/>
    </xf>
    <xf numFmtId="0" fontId="2" fillId="7" borderId="12" xfId="0" applyFont="1" applyFill="1" applyBorder="1" applyAlignment="1">
      <alignment horizontal="center"/>
    </xf>
    <xf numFmtId="0" fontId="2" fillId="7" borderId="13" xfId="0" applyFont="1" applyFill="1" applyBorder="1" applyAlignment="1">
      <alignment horizontal="center"/>
    </xf>
    <xf numFmtId="0" fontId="2" fillId="7" borderId="14" xfId="0" applyFont="1" applyFill="1" applyBorder="1" applyAlignment="1">
      <alignment horizontal="center"/>
    </xf>
    <xf numFmtId="0" fontId="2" fillId="7" borderId="26" xfId="0" applyNumberFormat="1" applyFont="1" applyFill="1" applyBorder="1" applyAlignment="1">
      <alignment horizontal="center"/>
    </xf>
    <xf numFmtId="0" fontId="2" fillId="7" borderId="18" xfId="0" applyNumberFormat="1" applyFont="1" applyFill="1" applyBorder="1" applyAlignment="1">
      <alignment horizontal="center"/>
    </xf>
    <xf numFmtId="0" fontId="2" fillId="3" borderId="12" xfId="0" applyFont="1" applyFill="1" applyBorder="1" applyAlignment="1">
      <alignment horizontal="center"/>
    </xf>
    <xf numFmtId="0" fontId="2" fillId="3" borderId="13" xfId="0" applyFont="1" applyFill="1" applyBorder="1" applyAlignment="1">
      <alignment horizontal="center"/>
    </xf>
    <xf numFmtId="0" fontId="2" fillId="3" borderId="26" xfId="0" applyNumberFormat="1" applyFont="1" applyFill="1" applyBorder="1" applyAlignment="1">
      <alignment horizontal="center"/>
    </xf>
    <xf numFmtId="0" fontId="2" fillId="3" borderId="18" xfId="0" applyNumberFormat="1" applyFont="1" applyFill="1" applyBorder="1" applyAlignment="1">
      <alignment horizontal="center"/>
    </xf>
    <xf numFmtId="0" fontId="2" fillId="3" borderId="14" xfId="0" applyFont="1" applyFill="1" applyBorder="1" applyAlignment="1">
      <alignment horizontal="center"/>
    </xf>
    <xf numFmtId="0" fontId="19" fillId="2" borderId="0" xfId="0" applyFont="1" applyFill="1" applyAlignment="1">
      <alignment horizontal="right"/>
    </xf>
    <xf numFmtId="0" fontId="19" fillId="2" borderId="9" xfId="0" applyFont="1" applyFill="1" applyBorder="1" applyAlignment="1">
      <alignment horizontal="right"/>
    </xf>
    <xf numFmtId="0" fontId="2" fillId="3" borderId="15" xfId="0" applyFont="1" applyFill="1" applyBorder="1" applyAlignment="1">
      <alignment horizontal="center"/>
    </xf>
    <xf numFmtId="44" fontId="2" fillId="3" borderId="13" xfId="1" applyFont="1" applyFill="1" applyBorder="1" applyAlignment="1">
      <alignment horizontal="center"/>
    </xf>
    <xf numFmtId="44" fontId="2" fillId="3" borderId="14" xfId="1" applyFont="1" applyFill="1" applyBorder="1" applyAlignment="1">
      <alignment horizontal="center"/>
    </xf>
    <xf numFmtId="0" fontId="2" fillId="3" borderId="28" xfId="0" applyFont="1" applyFill="1" applyBorder="1" applyAlignment="1">
      <alignment horizontal="center"/>
    </xf>
    <xf numFmtId="0" fontId="2" fillId="3" borderId="47" xfId="0" applyFont="1" applyFill="1" applyBorder="1" applyAlignment="1">
      <alignment horizontal="center"/>
    </xf>
    <xf numFmtId="0" fontId="2" fillId="3" borderId="43" xfId="0" applyFont="1" applyFill="1" applyBorder="1" applyAlignment="1">
      <alignment horizontal="center"/>
    </xf>
    <xf numFmtId="2" fontId="24" fillId="0" borderId="49" xfId="0" applyNumberFormat="1" applyFont="1" applyBorder="1" applyAlignment="1">
      <alignment horizontal="center"/>
    </xf>
    <xf numFmtId="0" fontId="24" fillId="0" borderId="21" xfId="0" applyFont="1" applyBorder="1" applyAlignment="1">
      <alignment horizontal="center"/>
    </xf>
    <xf numFmtId="0" fontId="14" fillId="5" borderId="0" xfId="0" applyFont="1" applyFill="1" applyProtection="1">
      <protection locked="0"/>
    </xf>
    <xf numFmtId="0" fontId="13" fillId="5" borderId="0" xfId="0" applyFont="1" applyFill="1" applyProtection="1">
      <protection locked="0"/>
    </xf>
    <xf numFmtId="3" fontId="0" fillId="5" borderId="0" xfId="0" applyNumberFormat="1" applyFill="1" applyProtection="1">
      <protection locked="0"/>
    </xf>
    <xf numFmtId="44" fontId="30" fillId="3" borderId="44" xfId="1" applyNumberFormat="1" applyFont="1" applyFill="1" applyBorder="1"/>
    <xf numFmtId="0" fontId="30" fillId="3" borderId="45" xfId="1" applyNumberFormat="1" applyFont="1" applyFill="1" applyBorder="1"/>
    <xf numFmtId="44" fontId="10" fillId="3" borderId="45" xfId="0" applyNumberFormat="1" applyFont="1" applyFill="1" applyBorder="1"/>
    <xf numFmtId="0" fontId="10" fillId="3" borderId="48" xfId="0" applyFont="1" applyFill="1" applyBorder="1"/>
    <xf numFmtId="14" fontId="5" fillId="3" borderId="7" xfId="0" applyNumberFormat="1" applyFont="1" applyFill="1" applyBorder="1"/>
  </cellXfs>
  <cellStyles count="4">
    <cellStyle name="Currency" xfId="1" builtinId="4"/>
    <cellStyle name="Currency 2" xfId="3" xr:uid="{C77F9FCE-5464-44A9-BBD8-6C224C056674}"/>
    <cellStyle name="Normal" xfId="0" builtinId="0"/>
    <cellStyle name="Percent" xfId="2" builtinId="5"/>
  </cellStyles>
  <dxfs count="0"/>
  <tableStyles count="0" defaultTableStyle="TableStyleMedium2" defaultPivotStyle="PivotStyleLight16"/>
  <colors>
    <mruColors>
      <color rgb="FFFAF0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aredStrings" Target="sharedString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19050" cap="rnd">
              <a:solidFill>
                <a:srgbClr val="7030A0"/>
              </a:solidFill>
              <a:round/>
            </a:ln>
            <a:effectLst/>
          </c:spPr>
          <c:marker>
            <c:symbol val="none"/>
          </c:marker>
          <c:cat>
            <c:numRef>
              <c:f>Advanced!$T$10:$T$109</c:f>
              <c:numCache>
                <c:formatCode>_ "€"\ * #,##0.0_ ;_ "€"\ * \-#,##0.0_ ;_ "€"\ * "-"??_ ;_ @_ </c:formatCode>
                <c:ptCount val="100"/>
              </c:numCache>
            </c:numRef>
          </c:cat>
          <c:val>
            <c:numRef>
              <c:f>Advanced!$Z$10:$Z$109</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4DEF-49ED-8604-C8652360EA9E}"/>
            </c:ext>
          </c:extLst>
        </c:ser>
        <c:dLbls>
          <c:showLegendKey val="0"/>
          <c:showVal val="0"/>
          <c:showCatName val="0"/>
          <c:showSerName val="0"/>
          <c:showPercent val="0"/>
          <c:showBubbleSize val="0"/>
        </c:dLbls>
        <c:smooth val="0"/>
        <c:axId val="2009447135"/>
        <c:axId val="2009447967"/>
      </c:lineChart>
      <c:catAx>
        <c:axId val="2009447135"/>
        <c:scaling>
          <c:orientation val="minMax"/>
        </c:scaling>
        <c:delete val="0"/>
        <c:axPos val="b"/>
        <c:numFmt formatCode="_ &quot;€&quot;\ * #,##0.0_ ;_ &quot;€&quot;\ * \-#,##0.0_ ;_ &quot;€&quot;\ * &quot;-&quot;??_ ;_ @_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967"/>
        <c:crosses val="autoZero"/>
        <c:auto val="1"/>
        <c:lblAlgn val="ctr"/>
        <c:lblOffset val="100"/>
        <c:noMultiLvlLbl val="0"/>
      </c:catAx>
      <c:valAx>
        <c:axId val="2009447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Trader!$AI$10:$AI$40</c:f>
            </c:numRef>
          </c:val>
          <c:smooth val="0"/>
          <c:extLst>
            <c:ext xmlns:c15="http://schemas.microsoft.com/office/drawing/2012/chart" uri="{02D57815-91ED-43cb-92C2-25804820EDAC}">
              <c15:filteredCategoryTitle>
                <c15:cat>
                  <c:numRef>
                    <c:extLst>
                      <c:ext uri="{02D57815-91ED-43cb-92C2-25804820EDAC}">
                        <c15:formulaRef>
                          <c15:sqref>Trader!$AC$10:$AC$40</c15:sqref>
                        </c15:formulaRef>
                      </c:ext>
                    </c:extLst>
                  </c:numRef>
                </c15:cat>
              </c15:filteredCategoryTitle>
            </c:ext>
            <c:ext xmlns:c16="http://schemas.microsoft.com/office/drawing/2014/chart" uri="{C3380CC4-5D6E-409C-BE32-E72D297353CC}">
              <c16:uniqueId val="{00000003-9FF2-4F91-9711-6AA1443AD9E0}"/>
            </c:ext>
          </c:extLst>
        </c:ser>
        <c:dLbls>
          <c:showLegendKey val="0"/>
          <c:showVal val="0"/>
          <c:showCatName val="0"/>
          <c:showSerName val="0"/>
          <c:showPercent val="0"/>
          <c:showBubbleSize val="0"/>
        </c:dLbls>
        <c:marker val="1"/>
        <c:smooth val="0"/>
        <c:axId val="1754510495"/>
        <c:axId val="1754510911"/>
      </c:lineChart>
      <c:lineChart>
        <c:grouping val="standard"/>
        <c:varyColors val="0"/>
        <c:ser>
          <c:idx val="1"/>
          <c:order val="1"/>
          <c:spPr>
            <a:ln w="28575" cap="rnd">
              <a:solidFill>
                <a:schemeClr val="accent2"/>
              </a:solidFill>
              <a:round/>
            </a:ln>
            <a:effectLst/>
          </c:spPr>
          <c:marker>
            <c:symbol val="none"/>
          </c:marker>
          <c:val>
            <c:numRef>
              <c:f>Trader!$AG$10:$AG$40</c:f>
            </c:numRef>
          </c:val>
          <c:smooth val="0"/>
          <c:extLst>
            <c:ext xmlns:c16="http://schemas.microsoft.com/office/drawing/2014/chart" uri="{C3380CC4-5D6E-409C-BE32-E72D297353CC}">
              <c16:uniqueId val="{00000007-420D-4CF3-8E30-E6843654A1E4}"/>
            </c:ext>
          </c:extLst>
        </c:ser>
        <c:dLbls>
          <c:showLegendKey val="0"/>
          <c:showVal val="0"/>
          <c:showCatName val="0"/>
          <c:showSerName val="0"/>
          <c:showPercent val="0"/>
          <c:showBubbleSize val="0"/>
        </c:dLbls>
        <c:marker val="1"/>
        <c:smooth val="0"/>
        <c:axId val="403866640"/>
        <c:axId val="403862480"/>
      </c:lineChart>
      <c:catAx>
        <c:axId val="1754510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911"/>
        <c:crosses val="autoZero"/>
        <c:auto val="1"/>
        <c:lblAlgn val="ctr"/>
        <c:lblOffset val="100"/>
        <c:noMultiLvlLbl val="0"/>
      </c:catAx>
      <c:valAx>
        <c:axId val="17545109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495"/>
        <c:crosses val="autoZero"/>
        <c:crossBetween val="between"/>
      </c:valAx>
      <c:valAx>
        <c:axId val="403862480"/>
        <c:scaling>
          <c:orientation val="minMax"/>
        </c:scaling>
        <c:delete val="0"/>
        <c:axPos val="r"/>
        <c:numFmt formatCode="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403866640"/>
        <c:crosses val="max"/>
        <c:crossBetween val="between"/>
      </c:valAx>
      <c:catAx>
        <c:axId val="403866640"/>
        <c:scaling>
          <c:orientation val="minMax"/>
        </c:scaling>
        <c:delete val="1"/>
        <c:axPos val="b"/>
        <c:majorTickMark val="out"/>
        <c:minorTickMark val="none"/>
        <c:tickLblPos val="nextTo"/>
        <c:crossAx val="40386248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65000"/>
      </a:schemeClr>
    </a:solidFill>
    <a:ln w="9525" cap="flat" cmpd="sng" algn="ctr">
      <a:noFill/>
      <a:prstDash val="dash"/>
      <a:round/>
    </a:ln>
    <a:effectLst/>
  </c:spPr>
  <c:txPr>
    <a:bodyPr/>
    <a:lstStyle/>
    <a:p>
      <a:pPr>
        <a:defRPr/>
      </a:pPr>
      <a:endParaRPr lang="en-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spPr>
            <a:ln w="28575" cap="rnd">
              <a:solidFill>
                <a:schemeClr val="accent1"/>
              </a:solidFill>
              <a:round/>
            </a:ln>
            <a:effectLst/>
          </c:spPr>
          <c:marker>
            <c:symbol val="none"/>
          </c:marker>
          <c:val>
            <c:numRef>
              <c:f>Trader!$X$10:$X$60</c:f>
            </c:numRef>
          </c:val>
          <c:smooth val="0"/>
          <c:extLst>
            <c:ext xmlns:c15="http://schemas.microsoft.com/office/drawing/2012/chart" uri="{02D57815-91ED-43cb-92C2-25804820EDAC}">
              <c15:filteredCategoryTitle>
                <c15:cat>
                  <c:numRef>
                    <c:extLst>
                      <c:ext uri="{02D57815-91ED-43cb-92C2-25804820EDAC}">
                        <c15:formulaRef>
                          <c15:sqref>Trader!$T$10:$T$60</c15:sqref>
                        </c15:formulaRef>
                      </c:ext>
                    </c:extLst>
                  </c:numRef>
                </c15:cat>
              </c15:filteredCategoryTitle>
            </c:ext>
            <c:ext xmlns:c16="http://schemas.microsoft.com/office/drawing/2014/chart" uri="{C3380CC4-5D6E-409C-BE32-E72D297353CC}">
              <c16:uniqueId val="{00000000-5282-4701-9DCE-020F30BC3692}"/>
            </c:ext>
          </c:extLst>
        </c:ser>
        <c:dLbls>
          <c:showLegendKey val="0"/>
          <c:showVal val="0"/>
          <c:showCatName val="0"/>
          <c:showSerName val="0"/>
          <c:showPercent val="0"/>
          <c:showBubbleSize val="0"/>
        </c:dLbls>
        <c:marker val="1"/>
        <c:smooth val="0"/>
        <c:axId val="1865007152"/>
        <c:axId val="1864990512"/>
      </c:lineChart>
      <c:catAx>
        <c:axId val="186500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4990512"/>
        <c:crosses val="autoZero"/>
        <c:auto val="1"/>
        <c:lblAlgn val="ctr"/>
        <c:lblOffset val="100"/>
        <c:noMultiLvlLbl val="0"/>
      </c:catAx>
      <c:valAx>
        <c:axId val="18649905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5007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2</xdr:row>
          <xdr:rowOff>95250</xdr:rowOff>
        </xdr:from>
        <xdr:to>
          <xdr:col>6</xdr:col>
          <xdr:colOff>304800</xdr:colOff>
          <xdr:row>3</xdr:row>
          <xdr:rowOff>133350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xdr:row>
          <xdr:rowOff>47625</xdr:rowOff>
        </xdr:from>
        <xdr:to>
          <xdr:col>6</xdr:col>
          <xdr:colOff>304800</xdr:colOff>
          <xdr:row>5</xdr:row>
          <xdr:rowOff>85725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504825</xdr:colOff>
          <xdr:row>2</xdr:row>
          <xdr:rowOff>142875</xdr:rowOff>
        </xdr:from>
        <xdr:to>
          <xdr:col>7</xdr:col>
          <xdr:colOff>590550</xdr:colOff>
          <xdr:row>5</xdr:row>
          <xdr:rowOff>28575</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Greeks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18</xdr:col>
      <xdr:colOff>17463</xdr:colOff>
      <xdr:row>3</xdr:row>
      <xdr:rowOff>66761</xdr:rowOff>
    </xdr:from>
    <xdr:to>
      <xdr:col>29</xdr:col>
      <xdr:colOff>474371</xdr:colOff>
      <xdr:row>16</xdr:row>
      <xdr:rowOff>135402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0329311" y="646544"/>
          <a:ext cx="6470082" cy="255342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2</xdr:row>
          <xdr:rowOff>95250</xdr:rowOff>
        </xdr:from>
        <xdr:to>
          <xdr:col>6</xdr:col>
          <xdr:colOff>304800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3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xdr:row>
          <xdr:rowOff>47625</xdr:rowOff>
        </xdr:from>
        <xdr:to>
          <xdr:col>6</xdr:col>
          <xdr:colOff>304800</xdr:colOff>
          <xdr:row>5</xdr:row>
          <xdr:rowOff>85725</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300-000002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438150</xdr:colOff>
          <xdr:row>2</xdr:row>
          <xdr:rowOff>95250</xdr:rowOff>
        </xdr:from>
        <xdr:to>
          <xdr:col>7</xdr:col>
          <xdr:colOff>476250</xdr:colOff>
          <xdr:row>5</xdr:row>
          <xdr:rowOff>76200</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00000000-0008-0000-03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200" b="1" i="0" u="none" strike="noStrike" baseline="0">
                  <a:solidFill>
                    <a:srgbClr val="000000"/>
                  </a:solidFill>
                  <a:latin typeface="Calibri"/>
                  <a:ea typeface="Calibri"/>
                  <a:cs typeface="Calibri"/>
                </a:rPr>
                <a:t>Greeks</a:t>
              </a:r>
            </a:p>
          </xdr:txBody>
        </xdr:sp>
        <xdr:clientData fPrintsWithSheet="0"/>
      </xdr:twoCellAnchor>
    </mc:Choice>
    <mc:Fallback/>
  </mc:AlternateContent>
  <xdr:twoCellAnchor>
    <xdr:from>
      <xdr:col>26</xdr:col>
      <xdr:colOff>163285</xdr:colOff>
      <xdr:row>2</xdr:row>
      <xdr:rowOff>19050</xdr:rowOff>
    </xdr:from>
    <xdr:to>
      <xdr:col>36</xdr:col>
      <xdr:colOff>419100</xdr:colOff>
      <xdr:row>25</xdr:row>
      <xdr:rowOff>7620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25</xdr:col>
          <xdr:colOff>114300</xdr:colOff>
          <xdr:row>2</xdr:row>
          <xdr:rowOff>114300</xdr:rowOff>
        </xdr:from>
        <xdr:to>
          <xdr:col>25</xdr:col>
          <xdr:colOff>828675</xdr:colOff>
          <xdr:row>5</xdr:row>
          <xdr:rowOff>95250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0300-000018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PayOff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171450</xdr:rowOff>
        </xdr:from>
        <xdr:to>
          <xdr:col>25</xdr:col>
          <xdr:colOff>838200</xdr:colOff>
          <xdr:row>7</xdr:row>
          <xdr:rowOff>38100</xdr:rowOff>
        </xdr:to>
        <xdr:sp macro="" textlink="">
          <xdr:nvSpPr>
            <xdr:cNvPr id="79897" name="Button 25" hidden="1">
              <a:extLst>
                <a:ext uri="{63B3BB69-23CF-44E3-9099-C40C66FF867C}">
                  <a14:compatExt spid="_x0000_s79897"/>
                </a:ext>
                <a:ext uri="{FF2B5EF4-FFF2-40B4-BE49-F238E27FC236}">
                  <a16:creationId xmlns:a16="http://schemas.microsoft.com/office/drawing/2014/main" id="{00000000-0008-0000-0300-000019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221336</xdr:colOff>
          <xdr:row>2</xdr:row>
          <xdr:rowOff>66627</xdr:rowOff>
        </xdr:from>
        <xdr:to>
          <xdr:col>6</xdr:col>
          <xdr:colOff>542465</xdr:colOff>
          <xdr:row>5</xdr:row>
          <xdr:rowOff>126406</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0400-00000200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NL" sz="600" b="0" i="0" u="none" strike="noStrike" baseline="0">
                  <a:solidFill>
                    <a:srgbClr val="000000"/>
                  </a:solidFill>
                  <a:latin typeface="Verdana"/>
                  <a:ea typeface="Verdana"/>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200025</xdr:colOff>
          <xdr:row>3</xdr:row>
          <xdr:rowOff>47625</xdr:rowOff>
        </xdr:from>
        <xdr:to>
          <xdr:col>24</xdr:col>
          <xdr:colOff>733425</xdr:colOff>
          <xdr:row>4</xdr:row>
          <xdr:rowOff>104775</xdr:rowOff>
        </xdr:to>
        <xdr:sp macro="" textlink="">
          <xdr:nvSpPr>
            <xdr:cNvPr id="65539" name="Button 3" hidden="1">
              <a:extLst>
                <a:ext uri="{63B3BB69-23CF-44E3-9099-C40C66FF867C}">
                  <a14:compatExt spid="_x0000_s65539"/>
                </a:ext>
                <a:ext uri="{FF2B5EF4-FFF2-40B4-BE49-F238E27FC236}">
                  <a16:creationId xmlns:a16="http://schemas.microsoft.com/office/drawing/2014/main" id="{00000000-0008-0000-0400-000003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228600</xdr:colOff>
          <xdr:row>6</xdr:row>
          <xdr:rowOff>85725</xdr:rowOff>
        </xdr:from>
        <xdr:to>
          <xdr:col>24</xdr:col>
          <xdr:colOff>685800</xdr:colOff>
          <xdr:row>7</xdr:row>
          <xdr:rowOff>123825</xdr:rowOff>
        </xdr:to>
        <xdr:sp macro="" textlink="">
          <xdr:nvSpPr>
            <xdr:cNvPr id="65540" name="Button 4" hidden="1">
              <a:extLst>
                <a:ext uri="{63B3BB69-23CF-44E3-9099-C40C66FF867C}">
                  <a14:compatExt spid="_x0000_s65540"/>
                </a:ext>
                <a:ext uri="{FF2B5EF4-FFF2-40B4-BE49-F238E27FC236}">
                  <a16:creationId xmlns:a16="http://schemas.microsoft.com/office/drawing/2014/main" id="{00000000-0008-0000-0400-000004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121497</xdr:colOff>
          <xdr:row>2</xdr:row>
          <xdr:rowOff>66375</xdr:rowOff>
        </xdr:from>
        <xdr:to>
          <xdr:col>6</xdr:col>
          <xdr:colOff>149679</xdr:colOff>
          <xdr:row>5</xdr:row>
          <xdr:rowOff>125186</xdr:rowOff>
        </xdr:to>
        <xdr:sp macro="" textlink="">
          <xdr:nvSpPr>
            <xdr:cNvPr id="65541" name="Button 5" hidden="1">
              <a:extLst>
                <a:ext uri="{63B3BB69-23CF-44E3-9099-C40C66FF867C}">
                  <a14:compatExt spid="_x0000_s65541"/>
                </a:ext>
                <a:ext uri="{FF2B5EF4-FFF2-40B4-BE49-F238E27FC236}">
                  <a16:creationId xmlns:a16="http://schemas.microsoft.com/office/drawing/2014/main" id="{00000000-0008-0000-0400-0000050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n-NL" sz="900" b="1" i="0" u="none" strike="noStrike" baseline="0">
                  <a:solidFill>
                    <a:srgbClr val="000000"/>
                  </a:solidFill>
                  <a:latin typeface="Verdana"/>
                  <a:ea typeface="Verdana"/>
                </a:rPr>
                <a:t>Greeks</a:t>
              </a:r>
            </a:p>
          </xdr:txBody>
        </xdr:sp>
        <xdr:clientData fPrintsWithSheet="0"/>
      </xdr:twoCellAnchor>
    </mc:Choice>
    <mc:Fallback/>
  </mc:AlternateContent>
  <xdr:twoCellAnchor>
    <xdr:from>
      <xdr:col>36</xdr:col>
      <xdr:colOff>125058</xdr:colOff>
      <xdr:row>2</xdr:row>
      <xdr:rowOff>7326</xdr:rowOff>
    </xdr:from>
    <xdr:to>
      <xdr:col>46</xdr:col>
      <xdr:colOff>177408</xdr:colOff>
      <xdr:row>43</xdr:row>
      <xdr:rowOff>135876</xdr:rowOff>
    </xdr:to>
    <xdr:graphicFrame macro="">
      <xdr:nvGraphicFramePr>
        <xdr:cNvPr id="2" name="StrategiesPayOff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66675</xdr:colOff>
          <xdr:row>3</xdr:row>
          <xdr:rowOff>66675</xdr:rowOff>
        </xdr:from>
        <xdr:to>
          <xdr:col>35</xdr:col>
          <xdr:colOff>790575</xdr:colOff>
          <xdr:row>5</xdr:row>
          <xdr:rowOff>9525</xdr:rowOff>
        </xdr:to>
        <xdr:sp macro="" textlink="">
          <xdr:nvSpPr>
            <xdr:cNvPr id="65547" name="Button 11" hidden="1">
              <a:extLst>
                <a:ext uri="{63B3BB69-23CF-44E3-9099-C40C66FF867C}">
                  <a14:compatExt spid="_x0000_s65547"/>
                </a:ext>
                <a:ext uri="{FF2B5EF4-FFF2-40B4-BE49-F238E27FC236}">
                  <a16:creationId xmlns:a16="http://schemas.microsoft.com/office/drawing/2014/main" id="{00000000-0008-0000-0400-00000B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6</xdr:row>
          <xdr:rowOff>114300</xdr:rowOff>
        </xdr:from>
        <xdr:to>
          <xdr:col>35</xdr:col>
          <xdr:colOff>762000</xdr:colOff>
          <xdr:row>7</xdr:row>
          <xdr:rowOff>123825</xdr:rowOff>
        </xdr:to>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0400-00000C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xdr:twoCellAnchor>
    <xdr:from>
      <xdr:col>19</xdr:col>
      <xdr:colOff>173243</xdr:colOff>
      <xdr:row>9</xdr:row>
      <xdr:rowOff>60848</xdr:rowOff>
    </xdr:from>
    <xdr:to>
      <xdr:col>25</xdr:col>
      <xdr:colOff>966107</xdr:colOff>
      <xdr:row>31</xdr:row>
      <xdr:rowOff>108857</xdr:rowOff>
    </xdr:to>
    <xdr:graphicFrame macro="">
      <xdr:nvGraphicFramePr>
        <xdr:cNvPr id="3" name="PlotContract">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23</xdr:col>
          <xdr:colOff>209550</xdr:colOff>
          <xdr:row>4</xdr:row>
          <xdr:rowOff>152400</xdr:rowOff>
        </xdr:from>
        <xdr:to>
          <xdr:col>24</xdr:col>
          <xdr:colOff>695325</xdr:colOff>
          <xdr:row>6</xdr:row>
          <xdr:rowOff>19050</xdr:rowOff>
        </xdr:to>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0400-00000D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Change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5</xdr:row>
          <xdr:rowOff>47625</xdr:rowOff>
        </xdr:from>
        <xdr:to>
          <xdr:col>35</xdr:col>
          <xdr:colOff>771525</xdr:colOff>
          <xdr:row>6</xdr:row>
          <xdr:rowOff>57150</xdr:rowOff>
        </xdr:to>
        <xdr:sp macro="" textlink="">
          <xdr:nvSpPr>
            <xdr:cNvPr id="65558" name="Button 22" hidden="1">
              <a:extLst>
                <a:ext uri="{63B3BB69-23CF-44E3-9099-C40C66FF867C}">
                  <a14:compatExt spid="_x0000_s65558"/>
                </a:ext>
                <a:ext uri="{FF2B5EF4-FFF2-40B4-BE49-F238E27FC236}">
                  <a16:creationId xmlns:a16="http://schemas.microsoft.com/office/drawing/2014/main" id="{00000000-0008-0000-0400-000016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800" b="0" i="0" u="none" strike="noStrike" baseline="0">
                  <a:solidFill>
                    <a:srgbClr val="000000"/>
                  </a:solidFill>
                  <a:latin typeface="Calibri"/>
                  <a:ea typeface="Calibri"/>
                  <a:cs typeface="Calibri"/>
                </a:rPr>
                <a:t>Plot Greek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89339</xdr:colOff>
          <xdr:row>2</xdr:row>
          <xdr:rowOff>99520</xdr:rowOff>
        </xdr:from>
        <xdr:to>
          <xdr:col>11</xdr:col>
          <xdr:colOff>584639</xdr:colOff>
          <xdr:row>5</xdr:row>
          <xdr:rowOff>72259</xdr:rowOff>
        </xdr:to>
        <xdr:sp macro="" textlink="">
          <xdr:nvSpPr>
            <xdr:cNvPr id="65562" name="Button 26" hidden="1">
              <a:extLst>
                <a:ext uri="{63B3BB69-23CF-44E3-9099-C40C66FF867C}">
                  <a14:compatExt spid="_x0000_s65562"/>
                </a:ext>
                <a:ext uri="{FF2B5EF4-FFF2-40B4-BE49-F238E27FC236}">
                  <a16:creationId xmlns:a16="http://schemas.microsoft.com/office/drawing/2014/main" id="{00000000-0008-0000-0400-00001A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Add 2nd 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87682</xdr:colOff>
          <xdr:row>3</xdr:row>
          <xdr:rowOff>56891</xdr:rowOff>
        </xdr:from>
        <xdr:to>
          <xdr:col>12</xdr:col>
          <xdr:colOff>582982</xdr:colOff>
          <xdr:row>4</xdr:row>
          <xdr:rowOff>56891</xdr:rowOff>
        </xdr:to>
        <xdr:sp macro="" textlink="">
          <xdr:nvSpPr>
            <xdr:cNvPr id="65565" name="Button 29" hidden="1">
              <a:extLst>
                <a:ext uri="{63B3BB69-23CF-44E3-9099-C40C66FF867C}">
                  <a14:compatExt spid="_x0000_s65565"/>
                </a:ext>
                <a:ext uri="{FF2B5EF4-FFF2-40B4-BE49-F238E27FC236}">
                  <a16:creationId xmlns:a16="http://schemas.microsoft.com/office/drawing/2014/main" id="{00000000-0008-0000-0400-00001D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ContrA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86932</xdr:colOff>
          <xdr:row>4</xdr:row>
          <xdr:rowOff>111478</xdr:rowOff>
        </xdr:from>
        <xdr:to>
          <xdr:col>12</xdr:col>
          <xdr:colOff>583732</xdr:colOff>
          <xdr:row>5</xdr:row>
          <xdr:rowOff>112983</xdr:rowOff>
        </xdr:to>
        <xdr:sp macro="" textlink="">
          <xdr:nvSpPr>
            <xdr:cNvPr id="65566" name="Button 30" hidden="1">
              <a:extLst>
                <a:ext uri="{63B3BB69-23CF-44E3-9099-C40C66FF867C}">
                  <a14:compatExt spid="_x0000_s65566"/>
                </a:ext>
                <a:ext uri="{FF2B5EF4-FFF2-40B4-BE49-F238E27FC236}">
                  <a16:creationId xmlns:a16="http://schemas.microsoft.com/office/drawing/2014/main" id="{00000000-0008-0000-0400-00001E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StratA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495300</xdr:colOff>
      <xdr:row>17</xdr:row>
      <xdr:rowOff>9525</xdr:rowOff>
    </xdr:from>
    <xdr:to>
      <xdr:col>7</xdr:col>
      <xdr:colOff>523567</xdr:colOff>
      <xdr:row>18</xdr:row>
      <xdr:rowOff>114263</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257675" y="3257550"/>
          <a:ext cx="2466667" cy="295238"/>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
  <rv s="0">
    <v>https://www.bing.com/financeapi/forcetrigger?t=bnib4c&amp;q=XAMS%3aIAEX&amp;form=skydnc</v>
    <v>Learn more on Bing</v>
  </rv>
  <rv s="1">
    <v>en-GB</v>
    <v>bnib4c</v>
    <v>268435456</v>
    <v>1</v>
    <v>Powered by Refinitiv</v>
    <v>0</v>
    <v>iShrs AEX UCITS ETF EUR D (XAMS:IAEX)</v>
    <v>2</v>
    <v>3</v>
    <v>Finance</v>
    <v>4</v>
    <v>78.25</v>
    <v>60.92</v>
    <v>1.0005999999999999</v>
    <v>0.14000000000000001</v>
    <v>1.9109999999999999E-3</v>
    <v>EUR</v>
    <v>Euronext Amsterdam</v>
    <v>XAMS</v>
    <v>3.0000000000000001E-3</v>
    <v>73.52</v>
    <v>ETF</v>
    <v>44946.412997685184</v>
    <v>0</v>
    <v>73.19</v>
    <v>553842615.33000004</v>
    <v>iShrs AEX UCITS ETF EUR D</v>
    <v>73.489999999999995</v>
    <v>73.27</v>
    <v>73.41</v>
    <v>IAEX</v>
    <v>iShrs AEX UCITS ETF EUR D (XAMS:IAEX)</v>
    <v>5070</v>
  </rv>
  <rv s="2">
    <v>1</v>
  </rv>
  <rv s="0">
    <v>https://www.bing.com/financeapi/forcetrigger?t=an1war&amp;q=XSWX%3aIAEX&amp;form=skydnc</v>
    <v>Learn more on Bing</v>
  </rv>
  <rv s="1">
    <v>en-GB</v>
    <v>an1war</v>
    <v>268435456</v>
    <v>1</v>
    <v>Powered by Refinitiv</v>
    <v>0</v>
    <v>iShrs AEX UCITS ETF EUR D (XSWX:IAEX)</v>
    <v>2</v>
    <v>3</v>
    <v>Finance</v>
    <v>4</v>
    <v>77.97</v>
    <v>61.19</v>
    <v>1.0005999999999999</v>
    <v>0.72</v>
    <v>9.7040000000000008E-3</v>
    <v>EUR</v>
    <v>SIX Swiss Exchange</v>
    <v>XSWX</v>
    <v>3.0000000000000001E-3</v>
    <v>75.05</v>
    <v>ETF</v>
    <v>44944.875</v>
    <v>3</v>
    <v>74.709999999999994</v>
    <v>553842615.33000004</v>
    <v>iShrs AEX UCITS ETF EUR D</v>
    <v>74.709999999999994</v>
    <v>74.2</v>
    <v>74.92</v>
    <v>IAEX</v>
    <v>iShrs AEX UCITS ETF EUR D (XSWX:IAEX)</v>
    <v>16</v>
  </rv>
  <rv s="2">
    <v>4</v>
  </rv>
  <rv s="0">
    <v>https://www.bing.com/financeapi/forcetrigger?t=aloifr&amp;q=XAMS%3aSHELL&amp;form=skydnc</v>
    <v>Learn more on Bing</v>
  </rv>
  <rv s="3">
    <v>en-GB</v>
    <v>aloifr</v>
    <v>268435456</v>
    <v>1</v>
    <v>Powered by Refinitiv</v>
    <v>5</v>
    <v>SHELL PLC (XAMS:SHELL)</v>
    <v>6</v>
    <v>7</v>
    <v>Finance</v>
    <v>4</v>
    <v>29.2</v>
    <v>20.65</v>
    <v>1.1984999999999999</v>
    <v>0.08</v>
    <v>2.9589999999999998E-3</v>
    <v>EUR</v>
    <v>Shell plc (Shell), formerly The Royal Dutch Shell plc, is an international energy and petrochemical company. The Company is engaged in the exploration, production, refining and marketing of oil and natural gas, and the manufacturing and marketing of chemicals. Its businesses include Upstream, Integrated Gas, Renewables and Energy Solutions, and Downstream. Its Upstream organization manages the exploration for and extraction of crude oil, natural gas and natural gas liquids. Shell's Integrated Gas organization manages its liquefied natural gas activities and the production of gas-to-liquids fuels and other products. Renewables and Energy Solutions include hydrogen, power from renewable and low-carbon sources such as wind, solar and natural gas. Its Downstream organization manages different chemicals and products activities as part of an integrated value chain that trades and refines crude oil and other feedstocks into a range of products which are moved and marketed around the world.</v>
    <v>82000</v>
    <v>Euronext Amsterdam</v>
    <v>XAMS</v>
    <v>XAMS</v>
    <v>Shell Centre, LONDON, UNITED KINGDOM-NA, SE1 7NA GB</v>
    <v>27.43</v>
    <v>Oil &amp; Gas</v>
    <v>Stock</v>
    <v>44946.41300925926</v>
    <v>6</v>
    <v>27.11</v>
    <v>164238800000</v>
    <v>SHELL PLC</v>
    <v>SHELL PLC</v>
    <v>27.395</v>
    <v>4.5856000000000003</v>
    <v>27.04</v>
    <v>27.12</v>
    <v>6984020000</v>
    <v>SHELL</v>
    <v>SHELL PLC (XAMS:SHELL)</v>
    <v>1618844</v>
    <v>13355740</v>
    <v>2002</v>
  </rv>
  <rv s="2">
    <v>7</v>
  </rv>
</rvData>
</file>

<file path=xl/richData/rdrichvaluestructure.xml><?xml version="1.0" encoding="utf-8"?>
<rvStructures xmlns="http://schemas.microsoft.com/office/spreadsheetml/2017/richdata" count="4">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8">
    <spb s="0">
      <v>0</v>
      <v>Name</v>
      <v>LearnMoreOnLink</v>
    </spb>
    <spb s="1">
      <v>0</v>
      <v>0</v>
      <v>0</v>
    </spb>
    <spb s="2">
      <v>1</v>
      <v>1</v>
      <v>1</v>
    </spb>
    <spb s="3">
      <v>1</v>
      <v>2</v>
      <v>1</v>
      <v>3</v>
      <v>1</v>
      <v>1</v>
      <v>1</v>
      <v>4</v>
      <v>5</v>
      <v>6</v>
      <v>1</v>
      <v>1</v>
      <v>5</v>
      <v>1</v>
      <v>7</v>
      <v>8</v>
    </spb>
    <spb s="4">
      <v>Delayed 15 minutes</v>
      <v>from previous close</v>
      <v>from previous close</v>
      <v>GMT</v>
    </spb>
    <spb s="0">
      <v>1</v>
      <v>Name</v>
      <v>LearnMoreOnLink</v>
    </spb>
    <spb s="5">
      <v>1</v>
      <v>1</v>
      <v>1</v>
      <v>1</v>
    </spb>
    <spb s="6">
      <v>1</v>
      <v>2</v>
      <v>2</v>
      <v>1</v>
      <v>3</v>
      <v>1</v>
      <v>1</v>
      <v>1</v>
      <v>4</v>
      <v>4</v>
      <v>5</v>
      <v>9</v>
      <v>1</v>
      <v>1</v>
      <v>1</v>
      <v>4</v>
      <v>7</v>
      <v>10</v>
      <v>8</v>
      <v>4</v>
    </spb>
  </spbData>
</supportingPropertyBags>
</file>

<file path=xl/richData/rdsupportingpropertybagstructure.xml><?xml version="1.0" encoding="utf-8"?>
<spbStructures xmlns="http://schemas.microsoft.com/office/spreadsheetml/2017/richdata2" count="7">
  <s>
    <k n="^Order" t="spba"/>
    <k n="TitleProperty" t="s"/>
    <k n="SubTitleProperty" t="s"/>
  </s>
  <s>
    <k n="ShowInCardView" t="b"/>
    <k n="ShowInDotNotation" t="b"/>
    <k n="ShowInAutoComplete" t="b"/>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Change (%)" t="s"/>
    <k n="Last trade ti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4" formatCode="#,##0.00"/>
    </x:dxf>
    <x:dxf>
      <x:numFmt numFmtId="3" formatCode="#,##0"/>
    </x:dxf>
    <x:dxf>
      <x:numFmt numFmtId="14" formatCode="0.00%"/>
    </x:dxf>
    <x:dxf>
      <x:numFmt numFmtId="27" formatCode="dd/mm/yyyy\ hh:mm"/>
    </x:dxf>
    <x:dxf>
      <x:numFmt numFmtId="2" formatCode="0.00"/>
    </x:dxf>
    <x:dxf>
      <x:numFmt numFmtId="0" formatCode="General"/>
    </x:dxf>
    <x:dxf>
      <x:numFmt numFmtId="1" formatCode="0"/>
    </x:dxf>
  </dxfs>
  <richProperties>
    <rPr n="NumberFormat" t="s"/>
    <rPr n="IsTitleField" t="b"/>
  </richProperties>
  <richStyles>
    <rSty dxfid="5">
      <rpv i="0">_([$€-x-euro2] * #,##0.00_);_([$€-x-euro2] * (#,##0.00);_([$€-x-euro2] * "-"??_);_(@_)</rpv>
    </rSty>
    <rSty dxfid="0">
      <rpv i="0">#,##0.00</rpv>
    </rSty>
    <rSty>
      <rpv i="1">1</rpv>
    </rSty>
    <rSty dxfid="1">
      <rpv i="0">#,##0</rpv>
    </rSty>
    <rSty dxfid="2"/>
    <rSty dxfid="5">
      <rpv i="0">_([$€-x-euro2] * #,##0_);_([$€-x-euro2] * (#,##0);_([$€-x-euro2] * "-"_);_(@_)</rpv>
    </rSty>
    <rSty dxfid="3"/>
    <rSty dxfid="4">
      <rpv i="0">0.00</rpv>
    </rSty>
    <rSty dxfid="5">
      <rpv i="0">_-[$£-en-GB]* #,##0_-;-[$£-en-GB]* #,##0_-;_-[$£-en-GB]* "-"_-;_-@_-</rpv>
    </rSty>
    <rSty dxfid="6">
      <rpv i="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2FDE9-8C00-45E8-AA96-E1182FA5EE26}">
  <sheetPr codeName="Sheet3"/>
  <dimension ref="C2:K30"/>
  <sheetViews>
    <sheetView workbookViewId="0">
      <selection activeCell="D31" sqref="D31"/>
    </sheetView>
  </sheetViews>
  <sheetFormatPr defaultColWidth="8.85546875" defaultRowHeight="15" x14ac:dyDescent="0.25"/>
  <cols>
    <col min="1" max="2" width="8.85546875" style="85"/>
    <col min="3" max="3" width="29" style="85" customWidth="1"/>
    <col min="4" max="4" width="12.85546875" style="85" customWidth="1"/>
    <col min="5" max="5" width="10.7109375" style="85" customWidth="1"/>
    <col min="6" max="6" width="8.85546875" style="85"/>
    <col min="7" max="7" width="10" style="85" bestFit="1" customWidth="1"/>
    <col min="8" max="16384" width="8.85546875" style="85"/>
  </cols>
  <sheetData>
    <row r="2" spans="3:6" x14ac:dyDescent="0.25">
      <c r="C2" s="85" t="s">
        <v>50</v>
      </c>
      <c r="D2" s="86" t="s">
        <v>48</v>
      </c>
    </row>
    <row r="3" spans="3:6" x14ac:dyDescent="0.25">
      <c r="C3" s="85" t="s">
        <v>51</v>
      </c>
      <c r="D3" s="86">
        <f>_xlfn.NUMBERVALUE(D2)</f>
        <v>365.25</v>
      </c>
    </row>
    <row r="4" spans="3:6" x14ac:dyDescent="0.25">
      <c r="C4" s="85" t="s">
        <v>2</v>
      </c>
      <c r="D4" s="85" t="s">
        <v>4</v>
      </c>
      <c r="E4" s="85" t="s">
        <v>8</v>
      </c>
    </row>
    <row r="5" spans="3:6" x14ac:dyDescent="0.25">
      <c r="C5" s="85" t="s">
        <v>24</v>
      </c>
      <c r="D5" s="87">
        <f ca="1">0.97*risk_free</f>
        <v>-2.0554599425645588E-2</v>
      </c>
    </row>
    <row r="8" spans="3:6" x14ac:dyDescent="0.25">
      <c r="C8" s="85">
        <v>0</v>
      </c>
      <c r="D8" s="85" t="s">
        <v>10</v>
      </c>
    </row>
    <row r="9" spans="3:6" x14ac:dyDescent="0.25">
      <c r="C9" s="85">
        <v>1</v>
      </c>
      <c r="D9" s="85" t="s">
        <v>17</v>
      </c>
    </row>
    <row r="10" spans="3:6" x14ac:dyDescent="0.25">
      <c r="C10" s="85">
        <v>2</v>
      </c>
      <c r="D10" s="85" t="s">
        <v>16</v>
      </c>
    </row>
    <row r="11" spans="3:6" x14ac:dyDescent="0.25">
      <c r="C11" s="85">
        <v>3</v>
      </c>
      <c r="D11" s="85" t="s">
        <v>20</v>
      </c>
    </row>
    <row r="12" spans="3:6" x14ac:dyDescent="0.25">
      <c r="C12" s="85">
        <v>4</v>
      </c>
      <c r="D12" s="85" t="s">
        <v>6</v>
      </c>
    </row>
    <row r="13" spans="3:6" x14ac:dyDescent="0.25">
      <c r="C13" s="85">
        <v>5</v>
      </c>
      <c r="D13" s="85" t="s">
        <v>21</v>
      </c>
    </row>
    <row r="15" spans="3:6" x14ac:dyDescent="0.25">
      <c r="C15" s="85" t="s">
        <v>38</v>
      </c>
      <c r="D15" s="85" t="s">
        <v>40</v>
      </c>
      <c r="E15" s="85" t="s">
        <v>39</v>
      </c>
    </row>
    <row r="16" spans="3:6" x14ac:dyDescent="0.25">
      <c r="C16" s="85" t="s">
        <v>1</v>
      </c>
      <c r="D16" s="85" t="s">
        <v>5</v>
      </c>
      <c r="E16" s="85" t="s">
        <v>7</v>
      </c>
      <c r="F16" s="85" t="s">
        <v>75</v>
      </c>
    </row>
    <row r="18" spans="3:11" x14ac:dyDescent="0.25">
      <c r="C18" s="85" t="s">
        <v>49</v>
      </c>
      <c r="D18" s="85" t="s">
        <v>52</v>
      </c>
      <c r="E18" s="85" t="s">
        <v>55</v>
      </c>
      <c r="F18" s="85" t="s">
        <v>56</v>
      </c>
      <c r="G18" s="85" t="s">
        <v>57</v>
      </c>
      <c r="H18" s="85" t="s">
        <v>60</v>
      </c>
      <c r="I18" s="85" t="s">
        <v>61</v>
      </c>
      <c r="J18" s="85" t="s">
        <v>99</v>
      </c>
      <c r="K18" s="85" t="s">
        <v>100</v>
      </c>
    </row>
    <row r="20" spans="3:11" x14ac:dyDescent="0.25">
      <c r="C20" s="85" t="s">
        <v>80</v>
      </c>
      <c r="D20" s="85" t="b">
        <f>TRUE</f>
        <v>1</v>
      </c>
      <c r="E20" s="85" t="b">
        <f>FALSE</f>
        <v>0</v>
      </c>
    </row>
    <row r="22" spans="3:11" x14ac:dyDescent="0.25">
      <c r="C22" s="85" t="s">
        <v>82</v>
      </c>
      <c r="D22" s="85" t="b">
        <f>FALSE</f>
        <v>0</v>
      </c>
      <c r="E22" s="85" t="s">
        <v>17</v>
      </c>
      <c r="F22" s="85" t="s">
        <v>16</v>
      </c>
      <c r="G22" s="85" t="s">
        <v>20</v>
      </c>
      <c r="H22" s="85" t="s">
        <v>15</v>
      </c>
      <c r="I22" s="85" t="s">
        <v>21</v>
      </c>
    </row>
    <row r="24" spans="3:11" x14ac:dyDescent="0.25">
      <c r="C24" s="85" t="s">
        <v>95</v>
      </c>
      <c r="D24" s="85" t="b">
        <f>TRUE</f>
        <v>1</v>
      </c>
      <c r="E24" s="85" t="b">
        <f>FALSE</f>
        <v>0</v>
      </c>
    </row>
    <row r="26" spans="3:11" x14ac:dyDescent="0.25">
      <c r="C26" s="85" t="s">
        <v>121</v>
      </c>
      <c r="D26" s="85" t="b">
        <v>1</v>
      </c>
    </row>
    <row r="27" spans="3:11" x14ac:dyDescent="0.25">
      <c r="C27" s="85" t="s">
        <v>120</v>
      </c>
      <c r="D27" s="85" t="b">
        <v>1</v>
      </c>
    </row>
    <row r="29" spans="3:11" x14ac:dyDescent="0.25">
      <c r="C29" s="85" t="s">
        <v>122</v>
      </c>
      <c r="D29" s="85" t="s">
        <v>96</v>
      </c>
      <c r="E29" s="85" t="s">
        <v>97</v>
      </c>
      <c r="F29" s="85" t="s">
        <v>123</v>
      </c>
    </row>
    <row r="30" spans="3:11" x14ac:dyDescent="0.25">
      <c r="C30" s="85" t="s">
        <v>124</v>
      </c>
      <c r="D30" s="85" t="str" cm="1">
        <f t="array" ref="D30">IF(Trader!$K$3,'Assumptions &amp; Lists'!$D$29:$F$29,'Assumptions &amp; Lists'!$F$29)</f>
        <v>All</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CC3E8-9CA5-475C-A981-7677CAC493F3}">
  <sheetPr codeName="Sheet4"/>
  <dimension ref="A1:AA1312"/>
  <sheetViews>
    <sheetView zoomScaleNormal="100" workbookViewId="0">
      <selection activeCell="P26" sqref="P26"/>
    </sheetView>
  </sheetViews>
  <sheetFormatPr defaultColWidth="8.85546875" defaultRowHeight="15" x14ac:dyDescent="0.25"/>
  <cols>
    <col min="1" max="1" width="8.85546875" style="96"/>
    <col min="2" max="2" width="10.5703125" style="140" bestFit="1" customWidth="1"/>
    <col min="3" max="3" width="21.7109375" style="141" customWidth="1"/>
    <col min="4" max="4" width="13.5703125" style="141" customWidth="1"/>
    <col min="5" max="5" width="10.7109375" style="148" customWidth="1"/>
    <col min="6" max="6" width="11.28515625" style="146" bestFit="1" customWidth="1"/>
    <col min="7" max="7" width="11.28515625" style="143" bestFit="1" customWidth="1"/>
    <col min="8" max="8" width="11.28515625" style="141" bestFit="1" customWidth="1"/>
    <col min="9" max="9" width="11.85546875" style="141" bestFit="1" customWidth="1"/>
    <col min="10" max="10" width="16.7109375" style="144" customWidth="1"/>
    <col min="11" max="12" width="11.28515625" style="141" bestFit="1" customWidth="1"/>
    <col min="13" max="13" width="11.28515625" style="145" bestFit="1" customWidth="1"/>
    <col min="14" max="15" width="11.28515625" style="146" bestFit="1" customWidth="1"/>
    <col min="16" max="17" width="11.28515625" style="141" bestFit="1" customWidth="1"/>
    <col min="18" max="18" width="11.28515625" style="147" bestFit="1" customWidth="1"/>
    <col min="19" max="19" width="8.85546875" style="97"/>
    <col min="20" max="20" width="17.28515625" style="97" bestFit="1" customWidth="1"/>
    <col min="21" max="21" width="9.85546875" style="97" bestFit="1" customWidth="1"/>
    <col min="22" max="22" width="10.5703125" style="97" bestFit="1" customWidth="1"/>
    <col min="23" max="23" width="12.42578125" style="97" bestFit="1" customWidth="1"/>
    <col min="24" max="24" width="13.28515625" style="97" customWidth="1"/>
    <col min="25" max="25" width="13.5703125" style="97" bestFit="1" customWidth="1"/>
    <col min="26" max="26" width="16.5703125" style="97" bestFit="1" customWidth="1"/>
    <col min="27" max="27" width="14.28515625" style="97" bestFit="1" customWidth="1"/>
    <col min="28" max="16384" width="8.85546875" style="97"/>
  </cols>
  <sheetData>
    <row r="1" spans="1:27" x14ac:dyDescent="0.25">
      <c r="B1" s="97"/>
      <c r="C1" s="97"/>
      <c r="D1" s="97"/>
      <c r="E1" s="97"/>
      <c r="F1" s="97"/>
      <c r="G1" s="97"/>
      <c r="H1" s="97"/>
      <c r="I1" s="97"/>
      <c r="J1" s="98"/>
      <c r="K1" s="97"/>
      <c r="L1" s="97"/>
      <c r="M1" s="97"/>
      <c r="N1" s="97"/>
      <c r="O1" s="97"/>
      <c r="P1" s="97"/>
      <c r="Q1" s="97"/>
      <c r="R1" s="97"/>
    </row>
    <row r="2" spans="1:27" ht="15.75" thickBot="1" x14ac:dyDescent="0.3">
      <c r="A2" s="99"/>
      <c r="B2" s="98"/>
      <c r="C2" s="99"/>
      <c r="D2" s="98"/>
      <c r="E2" s="99"/>
      <c r="F2" s="98"/>
      <c r="G2" s="99"/>
      <c r="H2" s="98"/>
      <c r="I2" s="99"/>
      <c r="J2" s="98"/>
      <c r="K2" s="99"/>
      <c r="L2" s="98"/>
      <c r="M2" s="99"/>
      <c r="N2" s="98"/>
      <c r="O2" s="99"/>
      <c r="P2" s="99"/>
      <c r="Q2" s="98"/>
      <c r="R2" s="99"/>
    </row>
    <row r="3" spans="1:27" x14ac:dyDescent="0.25">
      <c r="B3" s="115" t="s">
        <v>9</v>
      </c>
      <c r="C3" s="116" t="e" vm="1">
        <v>#VALUE!</v>
      </c>
      <c r="D3" s="117" t="s">
        <v>26</v>
      </c>
      <c r="E3" s="118">
        <f ca="1">MAX(0.5%,risk_free-inflation)</f>
        <v>5.0000000000000001E-3</v>
      </c>
      <c r="F3" s="119"/>
      <c r="G3" s="149">
        <v>0.05</v>
      </c>
      <c r="H3" s="120"/>
      <c r="I3" s="97"/>
      <c r="J3" s="100"/>
      <c r="K3" s="97"/>
      <c r="L3" s="97" t="b">
        <f>FALSE</f>
        <v>0</v>
      </c>
      <c r="M3" s="97"/>
      <c r="N3" s="97"/>
      <c r="O3" s="97"/>
      <c r="P3" s="97"/>
      <c r="Q3" s="97"/>
      <c r="R3" s="97"/>
    </row>
    <row r="4" spans="1:27" x14ac:dyDescent="0.25">
      <c r="B4" s="121" t="s">
        <v>10</v>
      </c>
      <c r="C4" s="122">
        <v>722.11</v>
      </c>
      <c r="D4" s="123" t="s">
        <v>11</v>
      </c>
      <c r="E4" s="124">
        <v>0</v>
      </c>
      <c r="F4" s="125"/>
      <c r="G4" s="126"/>
      <c r="H4" s="127"/>
      <c r="I4" s="97"/>
      <c r="J4" s="100">
        <f ca="1">inflation</f>
        <v>-2.0554599425645588E-2</v>
      </c>
      <c r="K4" s="97"/>
      <c r="L4" s="97"/>
      <c r="M4" s="97"/>
      <c r="N4" s="97"/>
      <c r="O4" s="97"/>
      <c r="P4" s="97"/>
      <c r="Q4" s="97"/>
      <c r="R4" s="97"/>
    </row>
    <row r="5" spans="1:27" x14ac:dyDescent="0.25">
      <c r="B5" s="121" t="s">
        <v>12</v>
      </c>
      <c r="C5" s="128">
        <v>45275.729166666664</v>
      </c>
      <c r="D5" s="123" t="s">
        <v>2</v>
      </c>
      <c r="E5" s="129" t="s">
        <v>8</v>
      </c>
      <c r="F5" s="125"/>
      <c r="G5" s="126"/>
      <c r="H5" s="127"/>
      <c r="I5" s="97"/>
      <c r="J5" s="101"/>
      <c r="K5" s="97"/>
      <c r="L5" s="97"/>
      <c r="M5" s="97"/>
      <c r="N5" s="97"/>
      <c r="O5" s="97"/>
      <c r="P5" s="97"/>
      <c r="Q5" s="97"/>
      <c r="R5" s="97"/>
    </row>
    <row r="6" spans="1:27" ht="15.75" thickBot="1" x14ac:dyDescent="0.3">
      <c r="B6" s="130" t="s">
        <v>25</v>
      </c>
      <c r="C6" s="131">
        <f ca="1">(C5-NOW())/days_yr</f>
        <v>0.90133575240194641</v>
      </c>
      <c r="D6" s="132" t="s">
        <v>27</v>
      </c>
      <c r="E6" s="133">
        <v>25</v>
      </c>
      <c r="F6" s="134"/>
      <c r="G6" s="135"/>
      <c r="H6" s="136"/>
      <c r="I6" s="97"/>
      <c r="J6" s="102"/>
      <c r="K6" s="97"/>
      <c r="L6" s="103"/>
      <c r="M6" s="97"/>
      <c r="N6" s="97"/>
      <c r="O6" s="97"/>
      <c r="P6" s="97"/>
      <c r="Q6" s="97"/>
      <c r="R6" s="97"/>
    </row>
    <row r="7" spans="1:27" s="105" customFormat="1" ht="15.75" thickBot="1" x14ac:dyDescent="0.3">
      <c r="A7" s="104"/>
      <c r="C7" s="106"/>
      <c r="D7" s="107"/>
      <c r="J7" s="108"/>
      <c r="K7" s="109"/>
      <c r="L7" s="103"/>
      <c r="Y7" s="110">
        <v>-1.4999999999999999E-2</v>
      </c>
      <c r="Z7" s="111" t="s">
        <v>13</v>
      </c>
      <c r="AA7" s="112">
        <f ca="1">IFERROR((AA9/100)/Y10,1.5%)</f>
        <v>-2.1190308686232565E-2</v>
      </c>
    </row>
    <row r="8" spans="1:27" x14ac:dyDescent="0.25">
      <c r="B8" s="253" t="s">
        <v>7</v>
      </c>
      <c r="C8" s="254"/>
      <c r="D8" s="254"/>
      <c r="E8" s="254"/>
      <c r="F8" s="254"/>
      <c r="G8" s="254"/>
      <c r="H8" s="254"/>
      <c r="I8" s="254"/>
      <c r="J8" s="256" t="s">
        <v>0</v>
      </c>
      <c r="K8" s="254" t="s">
        <v>5</v>
      </c>
      <c r="L8" s="254"/>
      <c r="M8" s="254"/>
      <c r="N8" s="254"/>
      <c r="O8" s="254"/>
      <c r="P8" s="254"/>
      <c r="Q8" s="254"/>
      <c r="R8" s="255"/>
      <c r="T8" s="150"/>
      <c r="U8" s="151" t="s">
        <v>28</v>
      </c>
      <c r="V8" s="151" t="s">
        <v>29</v>
      </c>
      <c r="W8" s="152" t="s">
        <v>30</v>
      </c>
      <c r="X8" s="151" t="s">
        <v>14</v>
      </c>
      <c r="Y8" s="152" t="s">
        <v>31</v>
      </c>
      <c r="Z8" s="151" t="s">
        <v>32</v>
      </c>
      <c r="AA8" s="153" t="s">
        <v>33</v>
      </c>
    </row>
    <row r="9" spans="1:27" x14ac:dyDescent="0.25">
      <c r="B9" s="137" t="s">
        <v>34</v>
      </c>
      <c r="C9" s="138" t="s">
        <v>15</v>
      </c>
      <c r="D9" s="138" t="s">
        <v>35</v>
      </c>
      <c r="E9" s="138" t="s">
        <v>16</v>
      </c>
      <c r="F9" s="138" t="s">
        <v>17</v>
      </c>
      <c r="G9" s="138" t="s">
        <v>46</v>
      </c>
      <c r="H9" s="138" t="s">
        <v>18</v>
      </c>
      <c r="I9" s="138" t="s">
        <v>19</v>
      </c>
      <c r="J9" s="257"/>
      <c r="K9" s="138" t="s">
        <v>19</v>
      </c>
      <c r="L9" s="138" t="s">
        <v>18</v>
      </c>
      <c r="M9" s="138" t="s">
        <v>47</v>
      </c>
      <c r="N9" s="138" t="s">
        <v>17</v>
      </c>
      <c r="O9" s="138" t="s">
        <v>16</v>
      </c>
      <c r="P9" s="138" t="s">
        <v>20</v>
      </c>
      <c r="Q9" s="138" t="s">
        <v>15</v>
      </c>
      <c r="R9" s="139" t="s">
        <v>21</v>
      </c>
      <c r="T9" s="154" t="s">
        <v>0</v>
      </c>
      <c r="U9" s="155">
        <f>MROUND(C4,50)</f>
        <v>700</v>
      </c>
      <c r="V9" s="155">
        <f>U9</f>
        <v>700</v>
      </c>
      <c r="W9" s="155"/>
      <c r="X9" s="155"/>
      <c r="Y9" s="155" t="s">
        <v>36</v>
      </c>
      <c r="Z9" s="156" t="s">
        <v>22</v>
      </c>
      <c r="AA9" s="147">
        <f ca="1">MIN(AA12:AA100001)</f>
        <v>-1471.7577121517111</v>
      </c>
    </row>
    <row r="10" spans="1:27" x14ac:dyDescent="0.25">
      <c r="A10" s="113"/>
      <c r="B10" s="140">
        <v>4.310645591970399</v>
      </c>
      <c r="C10" s="141">
        <v>-7.4385078874399824E-2</v>
      </c>
      <c r="D10" s="141">
        <v>2.3671189945211726</v>
      </c>
      <c r="E10" s="142">
        <v>2.1466119275064541E-3</v>
      </c>
      <c r="F10" s="142">
        <v>0.73464318020376163</v>
      </c>
      <c r="G10" s="143">
        <v>0.21142578125</v>
      </c>
      <c r="H10" s="141">
        <v>105.25</v>
      </c>
      <c r="I10" s="141">
        <v>100.5</v>
      </c>
      <c r="J10" s="144">
        <v>650</v>
      </c>
      <c r="K10" s="141">
        <v>29.1</v>
      </c>
      <c r="L10" s="141">
        <v>31</v>
      </c>
      <c r="M10" s="145">
        <v>0.22216796875</v>
      </c>
      <c r="N10" s="146">
        <v>-0.27189617348803496</v>
      </c>
      <c r="O10" s="146">
        <v>2.067965873371787E-3</v>
      </c>
      <c r="P10" s="141">
        <v>2.3962571405751358</v>
      </c>
      <c r="Q10" s="141">
        <v>-6.9801287229495301E-2</v>
      </c>
      <c r="R10" s="147">
        <v>-2.2006458707146237</v>
      </c>
      <c r="S10" s="114"/>
      <c r="T10" s="154" t="s">
        <v>10</v>
      </c>
      <c r="U10" s="157">
        <f>INDEX(H10:H1048576,MATCH(U$9,J10:J1048576,0))</f>
        <v>70.099999999999994</v>
      </c>
      <c r="V10" s="157">
        <f>INDEX(K10:K1048576,MATCH(V$9,J10:J1048576,0))</f>
        <v>42.55</v>
      </c>
      <c r="W10" s="157">
        <f>$C$4</f>
        <v>722.11</v>
      </c>
      <c r="X10" s="158"/>
      <c r="Y10" s="159">
        <f>W10+V10-U10-2*U11/100</f>
        <v>694.54299999999989</v>
      </c>
      <c r="Z10" s="160" t="s">
        <v>23</v>
      </c>
      <c r="AA10" s="161">
        <f ca="1">MAX(AA12:AA1048576)</f>
        <v>-1471.7577121517027</v>
      </c>
    </row>
    <row r="11" spans="1:27" x14ac:dyDescent="0.25">
      <c r="A11" s="113"/>
      <c r="B11" s="140">
        <v>3.7919390895834226</v>
      </c>
      <c r="C11" s="141">
        <v>-7.7842035743856286E-2</v>
      </c>
      <c r="D11" s="141">
        <v>2.7672203533336961</v>
      </c>
      <c r="E11" s="142">
        <v>2.7648561267828108E-3</v>
      </c>
      <c r="F11" s="142">
        <v>0.61181468630635694</v>
      </c>
      <c r="G11" s="143">
        <v>0.19189453125</v>
      </c>
      <c r="H11" s="141">
        <v>70.099999999999994</v>
      </c>
      <c r="I11" s="141">
        <v>65.900000000000006</v>
      </c>
      <c r="J11" s="144">
        <v>700</v>
      </c>
      <c r="K11" s="141">
        <v>42.55</v>
      </c>
      <c r="L11" s="141">
        <v>44.95</v>
      </c>
      <c r="M11" s="145">
        <v>0.19677734375</v>
      </c>
      <c r="N11" s="146">
        <v>-0.38903837558873389</v>
      </c>
      <c r="O11" s="146">
        <v>2.697947690194504E-3</v>
      </c>
      <c r="P11" s="141">
        <v>2.7689634744663723</v>
      </c>
      <c r="Q11" s="141">
        <v>-7.0177909380277015E-2</v>
      </c>
      <c r="R11" s="147">
        <v>-3.1613497924133185</v>
      </c>
      <c r="S11" s="114"/>
      <c r="T11" s="162" t="s">
        <v>37</v>
      </c>
      <c r="U11" s="163">
        <v>0.85</v>
      </c>
      <c r="V11" s="163">
        <v>0.85</v>
      </c>
      <c r="W11" s="163">
        <v>0</v>
      </c>
      <c r="X11" s="164"/>
      <c r="Y11" s="164"/>
      <c r="Z11" s="164"/>
      <c r="AA11" s="139"/>
    </row>
    <row r="12" spans="1:27" x14ac:dyDescent="0.25">
      <c r="A12" s="113"/>
      <c r="B12" s="140">
        <v>3.5003775187719839</v>
      </c>
      <c r="C12" s="141">
        <v>-7.7065272265713247E-2</v>
      </c>
      <c r="D12" s="141">
        <v>2.8548611176369665</v>
      </c>
      <c r="E12" s="142">
        <v>2.9577885259313525E-3</v>
      </c>
      <c r="F12" s="142">
        <v>0.55384135770602372</v>
      </c>
      <c r="G12" s="143">
        <v>0.18505859375</v>
      </c>
      <c r="H12" s="141">
        <v>57.45</v>
      </c>
      <c r="I12" s="141">
        <v>54.15</v>
      </c>
      <c r="J12" s="144">
        <v>720</v>
      </c>
      <c r="K12" s="141">
        <v>49.8</v>
      </c>
      <c r="L12" s="141">
        <v>52.45</v>
      </c>
      <c r="M12" s="145">
        <v>0.18798828125</v>
      </c>
      <c r="N12" s="146">
        <v>-0.4458434060220271</v>
      </c>
      <c r="O12" s="146">
        <v>2.9113778673394135E-3</v>
      </c>
      <c r="P12" s="141">
        <v>2.854552017922551</v>
      </c>
      <c r="Q12" s="141">
        <v>-6.8387314228118612E-2</v>
      </c>
      <c r="R12" s="147">
        <v>-3.6369259483465726</v>
      </c>
      <c r="S12" s="114"/>
      <c r="T12" s="165">
        <v>0</v>
      </c>
      <c r="U12" s="159">
        <f>MAX(0,T12-$U$9)-$U$10-$U$11/100</f>
        <v>-70.108499999999992</v>
      </c>
      <c r="V12" s="159">
        <f>$V$10-MAX(0,$V$9-T12)-$V$11/100</f>
        <v>-657.45850000000007</v>
      </c>
      <c r="W12" s="159">
        <f>$W$10-T12</f>
        <v>722.11</v>
      </c>
      <c r="X12" s="159">
        <f>SUM(U12:W12)</f>
        <v>-5.4569999999999936</v>
      </c>
      <c r="Y12" s="159">
        <f t="shared" ref="Y12:Y75" ca="1" si="0">$Y$10*EXP($Y$7*$C$6)-$Y$10</f>
        <v>-9.327053436771962</v>
      </c>
      <c r="Z12" s="159">
        <f ca="1">EXP(-$E$3*$C$6)*SUM(X12:Y12)</f>
        <v>-14.717576365048943</v>
      </c>
      <c r="AA12" s="161">
        <f ca="1">Z12*100</f>
        <v>-1471.7576365048944</v>
      </c>
    </row>
    <row r="13" spans="1:27" x14ac:dyDescent="0.25">
      <c r="A13" s="113"/>
      <c r="B13" s="140">
        <v>2.9885633194635943</v>
      </c>
      <c r="C13" s="141">
        <v>-7.2424744004820241E-2</v>
      </c>
      <c r="D13" s="141">
        <v>2.866332607512482</v>
      </c>
      <c r="E13" s="142">
        <v>3.1526786977656069E-3</v>
      </c>
      <c r="F13" s="142">
        <v>0.45957065241336864</v>
      </c>
      <c r="G13" s="143">
        <v>0.17431640625</v>
      </c>
      <c r="H13" s="141">
        <v>40.700000000000003</v>
      </c>
      <c r="I13" s="141">
        <v>38.950000000000003</v>
      </c>
      <c r="J13" s="144">
        <v>750</v>
      </c>
      <c r="K13" s="141">
        <v>62.4</v>
      </c>
      <c r="L13" s="141">
        <v>65</v>
      </c>
      <c r="M13" s="145">
        <v>0.17333984375</v>
      </c>
      <c r="N13" s="146">
        <v>-0.54104501566832808</v>
      </c>
      <c r="O13" s="146">
        <v>3.1699371940545912E-3</v>
      </c>
      <c r="P13" s="141">
        <v>2.8658777883619382</v>
      </c>
      <c r="Q13" s="141">
        <v>-6.1812520479691102E-2</v>
      </c>
      <c r="R13" s="147">
        <v>-4.4397527355666284</v>
      </c>
      <c r="T13" s="165">
        <v>1</v>
      </c>
      <c r="U13" s="159">
        <f t="shared" ref="U13:U76" si="1">MAX(0,T13-$U$9)-$U$10-$U$11/100</f>
        <v>-70.108499999999992</v>
      </c>
      <c r="V13" s="159">
        <f t="shared" ref="V13:V76" si="2">$V$10-MAX(0,$V$9-T13)-$V$11/100</f>
        <v>-656.45850000000007</v>
      </c>
      <c r="W13" s="159">
        <f t="shared" ref="W13:W76" si="3">$W$10-T13</f>
        <v>721.11</v>
      </c>
      <c r="X13" s="159">
        <f>SUM(U13:W13)</f>
        <v>-5.4569999999999936</v>
      </c>
      <c r="Y13" s="159">
        <f t="shared" ca="1" si="0"/>
        <v>-9.327053436771962</v>
      </c>
      <c r="Z13" s="159">
        <f t="shared" ref="Z13:Z76" ca="1" si="4">EXP(-$E$3*$C$6)*SUM(X13:Y13)</f>
        <v>-14.717576365048943</v>
      </c>
      <c r="AA13" s="161">
        <f t="shared" ref="AA13:AA76" ca="1" si="5">Z13*100</f>
        <v>-1471.7576365048944</v>
      </c>
    </row>
    <row r="14" spans="1:27" x14ac:dyDescent="0.25">
      <c r="A14" s="113"/>
      <c r="B14" s="140">
        <v>2.6067662704129759</v>
      </c>
      <c r="C14" s="141">
        <v>-6.7188467566921872E-2</v>
      </c>
      <c r="D14" s="141">
        <v>2.7781983327826674</v>
      </c>
      <c r="E14" s="142">
        <v>3.1804639000198951E-3</v>
      </c>
      <c r="F14" s="142">
        <v>0.39367501185002385</v>
      </c>
      <c r="G14" s="143">
        <v>0.16748046875</v>
      </c>
      <c r="H14" s="141">
        <v>31.7</v>
      </c>
      <c r="I14" s="141">
        <v>29.9</v>
      </c>
      <c r="J14" s="144">
        <v>770</v>
      </c>
      <c r="K14" s="141">
        <v>72.7</v>
      </c>
      <c r="L14" s="141">
        <v>76.849999999999994</v>
      </c>
      <c r="M14" s="145">
        <v>0.16748046875</v>
      </c>
      <c r="N14" s="146">
        <v>-0.60632498814997615</v>
      </c>
      <c r="O14" s="146">
        <v>3.1804639000198951E-3</v>
      </c>
      <c r="P14" s="141">
        <v>2.7781983327826674</v>
      </c>
      <c r="Q14" s="141">
        <v>-5.67002546411004E-2</v>
      </c>
      <c r="R14" s="147">
        <v>-5.0184200721733419</v>
      </c>
      <c r="T14" s="165">
        <v>2</v>
      </c>
      <c r="U14" s="159">
        <f t="shared" si="1"/>
        <v>-70.108499999999992</v>
      </c>
      <c r="V14" s="159">
        <f t="shared" si="2"/>
        <v>-655.45850000000007</v>
      </c>
      <c r="W14" s="159">
        <f t="shared" si="3"/>
        <v>720.11</v>
      </c>
      <c r="X14" s="159">
        <f t="shared" ref="X14:X76" si="6">SUM(U14:W14)</f>
        <v>-5.4569999999999936</v>
      </c>
      <c r="Y14" s="159">
        <f t="shared" ca="1" si="0"/>
        <v>-9.327053436771962</v>
      </c>
      <c r="Z14" s="159">
        <f t="shared" ca="1" si="4"/>
        <v>-14.717576365048943</v>
      </c>
      <c r="AA14" s="161">
        <f t="shared" ca="1" si="5"/>
        <v>-1471.7576365048944</v>
      </c>
    </row>
    <row r="15" spans="1:27" x14ac:dyDescent="0.25">
      <c r="A15" s="113"/>
      <c r="E15" s="142"/>
      <c r="F15" s="142"/>
      <c r="T15" s="165">
        <v>3</v>
      </c>
      <c r="U15" s="159">
        <f t="shared" si="1"/>
        <v>-70.108499999999992</v>
      </c>
      <c r="V15" s="159">
        <f t="shared" si="2"/>
        <v>-654.45850000000007</v>
      </c>
      <c r="W15" s="159">
        <f t="shared" si="3"/>
        <v>719.11</v>
      </c>
      <c r="X15" s="159">
        <f t="shared" si="6"/>
        <v>-5.4569999999999936</v>
      </c>
      <c r="Y15" s="159">
        <f t="shared" ca="1" si="0"/>
        <v>-9.327053436771962</v>
      </c>
      <c r="Z15" s="159">
        <f t="shared" ca="1" si="4"/>
        <v>-14.717576365048943</v>
      </c>
      <c r="AA15" s="161">
        <f t="shared" ca="1" si="5"/>
        <v>-1471.7576365048944</v>
      </c>
    </row>
    <row r="16" spans="1:27" x14ac:dyDescent="0.25">
      <c r="A16" s="113"/>
      <c r="E16" s="142"/>
      <c r="F16" s="142"/>
      <c r="T16" s="165">
        <v>4</v>
      </c>
      <c r="U16" s="159">
        <f t="shared" si="1"/>
        <v>-70.108499999999992</v>
      </c>
      <c r="V16" s="159">
        <f t="shared" si="2"/>
        <v>-653.45850000000007</v>
      </c>
      <c r="W16" s="159">
        <f t="shared" si="3"/>
        <v>718.11</v>
      </c>
      <c r="X16" s="159">
        <f t="shared" si="6"/>
        <v>-5.4569999999999936</v>
      </c>
      <c r="Y16" s="159">
        <f t="shared" ca="1" si="0"/>
        <v>-9.327053436771962</v>
      </c>
      <c r="Z16" s="159">
        <f t="shared" ca="1" si="4"/>
        <v>-14.717576365048943</v>
      </c>
      <c r="AA16" s="161">
        <f t="shared" ca="1" si="5"/>
        <v>-1471.7576365048944</v>
      </c>
    </row>
    <row r="17" spans="1:27" x14ac:dyDescent="0.25">
      <c r="A17" s="113"/>
      <c r="E17" s="142"/>
      <c r="F17" s="142"/>
      <c r="T17" s="165">
        <v>5</v>
      </c>
      <c r="U17" s="159">
        <f t="shared" si="1"/>
        <v>-70.108499999999992</v>
      </c>
      <c r="V17" s="159">
        <f t="shared" si="2"/>
        <v>-652.45850000000007</v>
      </c>
      <c r="W17" s="159">
        <f t="shared" si="3"/>
        <v>717.11</v>
      </c>
      <c r="X17" s="159">
        <f t="shared" si="6"/>
        <v>-5.4569999999999936</v>
      </c>
      <c r="Y17" s="159">
        <f t="shared" ca="1" si="0"/>
        <v>-9.327053436771962</v>
      </c>
      <c r="Z17" s="159">
        <f t="shared" ca="1" si="4"/>
        <v>-14.717576365048943</v>
      </c>
      <c r="AA17" s="161">
        <f t="shared" ca="1" si="5"/>
        <v>-1471.7576365048944</v>
      </c>
    </row>
    <row r="18" spans="1:27" x14ac:dyDescent="0.25">
      <c r="E18" s="142"/>
      <c r="F18" s="142"/>
      <c r="T18" s="165">
        <v>6</v>
      </c>
      <c r="U18" s="159">
        <f t="shared" si="1"/>
        <v>-70.108499999999992</v>
      </c>
      <c r="V18" s="159">
        <f t="shared" si="2"/>
        <v>-651.45850000000007</v>
      </c>
      <c r="W18" s="159">
        <f t="shared" si="3"/>
        <v>716.11</v>
      </c>
      <c r="X18" s="159">
        <f t="shared" si="6"/>
        <v>-5.4569999999999936</v>
      </c>
      <c r="Y18" s="159">
        <f t="shared" ca="1" si="0"/>
        <v>-9.327053436771962</v>
      </c>
      <c r="Z18" s="159">
        <f t="shared" ca="1" si="4"/>
        <v>-14.717576365048943</v>
      </c>
      <c r="AA18" s="161">
        <f t="shared" ca="1" si="5"/>
        <v>-1471.7576365048944</v>
      </c>
    </row>
    <row r="19" spans="1:27" x14ac:dyDescent="0.25">
      <c r="E19" s="142"/>
      <c r="F19" s="142"/>
      <c r="T19" s="165">
        <v>7</v>
      </c>
      <c r="U19" s="159">
        <f t="shared" si="1"/>
        <v>-70.108499999999992</v>
      </c>
      <c r="V19" s="159">
        <f t="shared" si="2"/>
        <v>-650.45850000000007</v>
      </c>
      <c r="W19" s="159">
        <f t="shared" si="3"/>
        <v>715.11</v>
      </c>
      <c r="X19" s="159">
        <f t="shared" si="6"/>
        <v>-5.4569999999999936</v>
      </c>
      <c r="Y19" s="159">
        <f t="shared" ca="1" si="0"/>
        <v>-9.327053436771962</v>
      </c>
      <c r="Z19" s="159">
        <f t="shared" ca="1" si="4"/>
        <v>-14.717576365048943</v>
      </c>
      <c r="AA19" s="161">
        <f t="shared" ca="1" si="5"/>
        <v>-1471.7576365048944</v>
      </c>
    </row>
    <row r="20" spans="1:27" x14ac:dyDescent="0.25">
      <c r="E20" s="142"/>
      <c r="F20" s="142"/>
      <c r="T20" s="165">
        <v>8</v>
      </c>
      <c r="U20" s="159">
        <f t="shared" si="1"/>
        <v>-70.108499999999992</v>
      </c>
      <c r="V20" s="159">
        <f t="shared" si="2"/>
        <v>-649.45850000000007</v>
      </c>
      <c r="W20" s="159">
        <f t="shared" si="3"/>
        <v>714.11</v>
      </c>
      <c r="X20" s="159">
        <f t="shared" si="6"/>
        <v>-5.4569999999999936</v>
      </c>
      <c r="Y20" s="159">
        <f t="shared" ca="1" si="0"/>
        <v>-9.327053436771962</v>
      </c>
      <c r="Z20" s="159">
        <f t="shared" ca="1" si="4"/>
        <v>-14.717576365048943</v>
      </c>
      <c r="AA20" s="161">
        <f t="shared" ca="1" si="5"/>
        <v>-1471.7576365048944</v>
      </c>
    </row>
    <row r="21" spans="1:27" x14ac:dyDescent="0.25">
      <c r="E21" s="142"/>
      <c r="F21" s="142"/>
      <c r="T21" s="165">
        <v>9</v>
      </c>
      <c r="U21" s="159">
        <f t="shared" si="1"/>
        <v>-70.108499999999992</v>
      </c>
      <c r="V21" s="159">
        <f t="shared" si="2"/>
        <v>-648.45850000000007</v>
      </c>
      <c r="W21" s="159">
        <f t="shared" si="3"/>
        <v>713.11</v>
      </c>
      <c r="X21" s="159">
        <f t="shared" si="6"/>
        <v>-5.4569999999999936</v>
      </c>
      <c r="Y21" s="159">
        <f t="shared" ca="1" si="0"/>
        <v>-9.327053436771962</v>
      </c>
      <c r="Z21" s="159">
        <f t="shared" ca="1" si="4"/>
        <v>-14.717576365048943</v>
      </c>
      <c r="AA21" s="161">
        <f t="shared" ca="1" si="5"/>
        <v>-1471.7576365048944</v>
      </c>
    </row>
    <row r="22" spans="1:27" x14ac:dyDescent="0.25">
      <c r="E22" s="142"/>
      <c r="F22" s="142"/>
      <c r="T22" s="165">
        <v>10</v>
      </c>
      <c r="U22" s="159">
        <f t="shared" si="1"/>
        <v>-70.108499999999992</v>
      </c>
      <c r="V22" s="159">
        <f t="shared" si="2"/>
        <v>-647.45850000000007</v>
      </c>
      <c r="W22" s="159">
        <f t="shared" si="3"/>
        <v>712.11</v>
      </c>
      <c r="X22" s="159">
        <f t="shared" si="6"/>
        <v>-5.4569999999999936</v>
      </c>
      <c r="Y22" s="159">
        <f t="shared" ca="1" si="0"/>
        <v>-9.327053436771962</v>
      </c>
      <c r="Z22" s="159">
        <f t="shared" ca="1" si="4"/>
        <v>-14.717576365048943</v>
      </c>
      <c r="AA22" s="161">
        <f t="shared" ca="1" si="5"/>
        <v>-1471.7576365048944</v>
      </c>
    </row>
    <row r="23" spans="1:27" x14ac:dyDescent="0.25">
      <c r="E23" s="142"/>
      <c r="F23" s="142"/>
      <c r="T23" s="165">
        <v>11</v>
      </c>
      <c r="U23" s="159">
        <f t="shared" si="1"/>
        <v>-70.108499999999992</v>
      </c>
      <c r="V23" s="159">
        <f t="shared" si="2"/>
        <v>-646.45850000000007</v>
      </c>
      <c r="W23" s="159">
        <f t="shared" si="3"/>
        <v>711.11</v>
      </c>
      <c r="X23" s="159">
        <f t="shared" si="6"/>
        <v>-5.4569999999999936</v>
      </c>
      <c r="Y23" s="159">
        <f t="shared" ca="1" si="0"/>
        <v>-9.327053436771962</v>
      </c>
      <c r="Z23" s="159">
        <f t="shared" ca="1" si="4"/>
        <v>-14.717576365048943</v>
      </c>
      <c r="AA23" s="161">
        <f t="shared" ca="1" si="5"/>
        <v>-1471.7576365048944</v>
      </c>
    </row>
    <row r="24" spans="1:27" x14ac:dyDescent="0.25">
      <c r="E24" s="142"/>
      <c r="F24" s="142"/>
      <c r="T24" s="165">
        <v>12</v>
      </c>
      <c r="U24" s="159">
        <f t="shared" si="1"/>
        <v>-70.108499999999992</v>
      </c>
      <c r="V24" s="159">
        <f t="shared" si="2"/>
        <v>-645.45850000000007</v>
      </c>
      <c r="W24" s="159">
        <f t="shared" si="3"/>
        <v>710.11</v>
      </c>
      <c r="X24" s="159">
        <f t="shared" si="6"/>
        <v>-5.4569999999999936</v>
      </c>
      <c r="Y24" s="159">
        <f t="shared" ca="1" si="0"/>
        <v>-9.327053436771962</v>
      </c>
      <c r="Z24" s="159">
        <f t="shared" ca="1" si="4"/>
        <v>-14.717576365048943</v>
      </c>
      <c r="AA24" s="161">
        <f t="shared" ca="1" si="5"/>
        <v>-1471.7576365048944</v>
      </c>
    </row>
    <row r="25" spans="1:27" x14ac:dyDescent="0.25">
      <c r="E25" s="142"/>
      <c r="F25" s="142"/>
      <c r="T25" s="165">
        <v>13</v>
      </c>
      <c r="U25" s="159">
        <f t="shared" si="1"/>
        <v>-70.108499999999992</v>
      </c>
      <c r="V25" s="159">
        <f t="shared" si="2"/>
        <v>-644.45850000000007</v>
      </c>
      <c r="W25" s="159">
        <f t="shared" si="3"/>
        <v>709.11</v>
      </c>
      <c r="X25" s="159">
        <f t="shared" si="6"/>
        <v>-5.4569999999999936</v>
      </c>
      <c r="Y25" s="159">
        <f t="shared" ca="1" si="0"/>
        <v>-9.327053436771962</v>
      </c>
      <c r="Z25" s="159">
        <f t="shared" ca="1" si="4"/>
        <v>-14.717576365048943</v>
      </c>
      <c r="AA25" s="161">
        <f t="shared" ca="1" si="5"/>
        <v>-1471.7576365048944</v>
      </c>
    </row>
    <row r="26" spans="1:27" x14ac:dyDescent="0.25">
      <c r="E26" s="142"/>
      <c r="F26" s="142"/>
      <c r="T26" s="165">
        <v>14</v>
      </c>
      <c r="U26" s="159">
        <f t="shared" si="1"/>
        <v>-70.108499999999992</v>
      </c>
      <c r="V26" s="159">
        <f t="shared" si="2"/>
        <v>-643.45850000000007</v>
      </c>
      <c r="W26" s="159">
        <f t="shared" si="3"/>
        <v>708.11</v>
      </c>
      <c r="X26" s="159">
        <f t="shared" si="6"/>
        <v>-5.4569999999999936</v>
      </c>
      <c r="Y26" s="159">
        <f t="shared" ca="1" si="0"/>
        <v>-9.327053436771962</v>
      </c>
      <c r="Z26" s="159">
        <f t="shared" ca="1" si="4"/>
        <v>-14.717576365048943</v>
      </c>
      <c r="AA26" s="161">
        <f t="shared" ca="1" si="5"/>
        <v>-1471.7576365048944</v>
      </c>
    </row>
    <row r="27" spans="1:27" x14ac:dyDescent="0.25">
      <c r="E27" s="142"/>
      <c r="F27" s="142"/>
      <c r="T27" s="165">
        <v>15</v>
      </c>
      <c r="U27" s="159">
        <f t="shared" si="1"/>
        <v>-70.108499999999992</v>
      </c>
      <c r="V27" s="159">
        <f t="shared" si="2"/>
        <v>-642.45850000000007</v>
      </c>
      <c r="W27" s="159">
        <f t="shared" si="3"/>
        <v>707.11</v>
      </c>
      <c r="X27" s="159">
        <f t="shared" si="6"/>
        <v>-5.4569999999999936</v>
      </c>
      <c r="Y27" s="159">
        <f t="shared" ca="1" si="0"/>
        <v>-9.327053436771962</v>
      </c>
      <c r="Z27" s="159">
        <f t="shared" ca="1" si="4"/>
        <v>-14.717576365048943</v>
      </c>
      <c r="AA27" s="161">
        <f t="shared" ca="1" si="5"/>
        <v>-1471.7576365048944</v>
      </c>
    </row>
    <row r="28" spans="1:27" x14ac:dyDescent="0.25">
      <c r="E28" s="142"/>
      <c r="F28" s="142"/>
      <c r="T28" s="165">
        <v>16</v>
      </c>
      <c r="U28" s="159">
        <f t="shared" si="1"/>
        <v>-70.108499999999992</v>
      </c>
      <c r="V28" s="159">
        <f t="shared" si="2"/>
        <v>-641.45850000000007</v>
      </c>
      <c r="W28" s="159">
        <f t="shared" si="3"/>
        <v>706.11</v>
      </c>
      <c r="X28" s="159">
        <f t="shared" si="6"/>
        <v>-5.4569999999999936</v>
      </c>
      <c r="Y28" s="159">
        <f t="shared" ca="1" si="0"/>
        <v>-9.327053436771962</v>
      </c>
      <c r="Z28" s="159">
        <f t="shared" ca="1" si="4"/>
        <v>-14.717576365048943</v>
      </c>
      <c r="AA28" s="161">
        <f t="shared" ca="1" si="5"/>
        <v>-1471.7576365048944</v>
      </c>
    </row>
    <row r="29" spans="1:27" x14ac:dyDescent="0.25">
      <c r="E29" s="142"/>
      <c r="F29" s="142"/>
      <c r="T29" s="165">
        <v>17</v>
      </c>
      <c r="U29" s="159">
        <f t="shared" si="1"/>
        <v>-70.108499999999992</v>
      </c>
      <c r="V29" s="159">
        <f t="shared" si="2"/>
        <v>-640.45850000000007</v>
      </c>
      <c r="W29" s="159">
        <f t="shared" si="3"/>
        <v>705.11</v>
      </c>
      <c r="X29" s="159">
        <f t="shared" si="6"/>
        <v>-5.4569999999999936</v>
      </c>
      <c r="Y29" s="159">
        <f t="shared" ca="1" si="0"/>
        <v>-9.327053436771962</v>
      </c>
      <c r="Z29" s="159">
        <f t="shared" ca="1" si="4"/>
        <v>-14.717576365048943</v>
      </c>
      <c r="AA29" s="161">
        <f t="shared" ca="1" si="5"/>
        <v>-1471.7576365048944</v>
      </c>
    </row>
    <row r="30" spans="1:27" x14ac:dyDescent="0.25">
      <c r="E30" s="142"/>
      <c r="F30" s="142"/>
      <c r="T30" s="165">
        <v>18</v>
      </c>
      <c r="U30" s="159">
        <f t="shared" si="1"/>
        <v>-70.108499999999992</v>
      </c>
      <c r="V30" s="159">
        <f t="shared" si="2"/>
        <v>-639.45850000000007</v>
      </c>
      <c r="W30" s="159">
        <f t="shared" si="3"/>
        <v>704.11</v>
      </c>
      <c r="X30" s="159">
        <f t="shared" si="6"/>
        <v>-5.4569999999999936</v>
      </c>
      <c r="Y30" s="159">
        <f t="shared" ca="1" si="0"/>
        <v>-9.327053436771962</v>
      </c>
      <c r="Z30" s="159">
        <f t="shared" ca="1" si="4"/>
        <v>-14.717576365048943</v>
      </c>
      <c r="AA30" s="161">
        <f t="shared" ca="1" si="5"/>
        <v>-1471.7576365048944</v>
      </c>
    </row>
    <row r="31" spans="1:27" x14ac:dyDescent="0.25">
      <c r="E31" s="142"/>
      <c r="F31" s="142"/>
      <c r="T31" s="165">
        <v>19</v>
      </c>
      <c r="U31" s="159">
        <f t="shared" si="1"/>
        <v>-70.108499999999992</v>
      </c>
      <c r="V31" s="159">
        <f t="shared" si="2"/>
        <v>-638.45850000000007</v>
      </c>
      <c r="W31" s="159">
        <f t="shared" si="3"/>
        <v>703.11</v>
      </c>
      <c r="X31" s="159">
        <f t="shared" si="6"/>
        <v>-5.4569999999999936</v>
      </c>
      <c r="Y31" s="159">
        <f t="shared" ca="1" si="0"/>
        <v>-9.327053436771962</v>
      </c>
      <c r="Z31" s="159">
        <f t="shared" ca="1" si="4"/>
        <v>-14.717576365048943</v>
      </c>
      <c r="AA31" s="161">
        <f t="shared" ca="1" si="5"/>
        <v>-1471.7576365048944</v>
      </c>
    </row>
    <row r="32" spans="1:27" x14ac:dyDescent="0.25">
      <c r="E32" s="142"/>
      <c r="F32" s="142"/>
      <c r="T32" s="165">
        <v>20</v>
      </c>
      <c r="U32" s="159">
        <f t="shared" si="1"/>
        <v>-70.108499999999992</v>
      </c>
      <c r="V32" s="159">
        <f t="shared" si="2"/>
        <v>-637.45850000000007</v>
      </c>
      <c r="W32" s="159">
        <f t="shared" si="3"/>
        <v>702.11</v>
      </c>
      <c r="X32" s="159">
        <f t="shared" si="6"/>
        <v>-5.4569999999999936</v>
      </c>
      <c r="Y32" s="159">
        <f t="shared" ca="1" si="0"/>
        <v>-9.327053436771962</v>
      </c>
      <c r="Z32" s="159">
        <f t="shared" ca="1" si="4"/>
        <v>-14.717576365048943</v>
      </c>
      <c r="AA32" s="161">
        <f t="shared" ca="1" si="5"/>
        <v>-1471.7576365048944</v>
      </c>
    </row>
    <row r="33" spans="5:27" x14ac:dyDescent="0.25">
      <c r="E33" s="142"/>
      <c r="F33" s="142"/>
      <c r="T33" s="165">
        <v>21</v>
      </c>
      <c r="U33" s="159">
        <f t="shared" si="1"/>
        <v>-70.108499999999992</v>
      </c>
      <c r="V33" s="159">
        <f t="shared" si="2"/>
        <v>-636.45850000000007</v>
      </c>
      <c r="W33" s="159">
        <f t="shared" si="3"/>
        <v>701.11</v>
      </c>
      <c r="X33" s="159">
        <f t="shared" si="6"/>
        <v>-5.4569999999999936</v>
      </c>
      <c r="Y33" s="159">
        <f t="shared" ca="1" si="0"/>
        <v>-9.327053436771962</v>
      </c>
      <c r="Z33" s="159">
        <f t="shared" ca="1" si="4"/>
        <v>-14.717576365048943</v>
      </c>
      <c r="AA33" s="161">
        <f t="shared" ca="1" si="5"/>
        <v>-1471.7576365048944</v>
      </c>
    </row>
    <row r="34" spans="5:27" x14ac:dyDescent="0.25">
      <c r="E34" s="142"/>
      <c r="F34" s="142"/>
      <c r="T34" s="165">
        <v>22</v>
      </c>
      <c r="U34" s="159">
        <f t="shared" si="1"/>
        <v>-70.108499999999992</v>
      </c>
      <c r="V34" s="159">
        <f t="shared" si="2"/>
        <v>-635.45850000000007</v>
      </c>
      <c r="W34" s="159">
        <f t="shared" si="3"/>
        <v>700.11</v>
      </c>
      <c r="X34" s="159">
        <f t="shared" si="6"/>
        <v>-5.4569999999999936</v>
      </c>
      <c r="Y34" s="159">
        <f t="shared" ca="1" si="0"/>
        <v>-9.327053436771962</v>
      </c>
      <c r="Z34" s="159">
        <f t="shared" ca="1" si="4"/>
        <v>-14.717576365048943</v>
      </c>
      <c r="AA34" s="161">
        <f t="shared" ca="1" si="5"/>
        <v>-1471.7576365048944</v>
      </c>
    </row>
    <row r="35" spans="5:27" x14ac:dyDescent="0.25">
      <c r="E35" s="142"/>
      <c r="F35" s="142"/>
      <c r="T35" s="165">
        <v>23</v>
      </c>
      <c r="U35" s="159">
        <f t="shared" si="1"/>
        <v>-70.108499999999992</v>
      </c>
      <c r="V35" s="159">
        <f t="shared" si="2"/>
        <v>-634.45850000000007</v>
      </c>
      <c r="W35" s="159">
        <f t="shared" si="3"/>
        <v>699.11</v>
      </c>
      <c r="X35" s="159">
        <f t="shared" si="6"/>
        <v>-5.4569999999999936</v>
      </c>
      <c r="Y35" s="159">
        <f t="shared" ca="1" si="0"/>
        <v>-9.327053436771962</v>
      </c>
      <c r="Z35" s="159">
        <f t="shared" ca="1" si="4"/>
        <v>-14.717576365048943</v>
      </c>
      <c r="AA35" s="161">
        <f t="shared" ca="1" si="5"/>
        <v>-1471.7576365048944</v>
      </c>
    </row>
    <row r="36" spans="5:27" x14ac:dyDescent="0.25">
      <c r="E36" s="142"/>
      <c r="F36" s="142"/>
      <c r="T36" s="165">
        <v>24</v>
      </c>
      <c r="U36" s="159">
        <f t="shared" si="1"/>
        <v>-70.108499999999992</v>
      </c>
      <c r="V36" s="159">
        <f t="shared" si="2"/>
        <v>-633.45850000000007</v>
      </c>
      <c r="W36" s="159">
        <f t="shared" si="3"/>
        <v>698.11</v>
      </c>
      <c r="X36" s="159">
        <f t="shared" si="6"/>
        <v>-5.4569999999999936</v>
      </c>
      <c r="Y36" s="159">
        <f t="shared" ca="1" si="0"/>
        <v>-9.327053436771962</v>
      </c>
      <c r="Z36" s="159">
        <f t="shared" ca="1" si="4"/>
        <v>-14.717576365048943</v>
      </c>
      <c r="AA36" s="161">
        <f t="shared" ca="1" si="5"/>
        <v>-1471.7576365048944</v>
      </c>
    </row>
    <row r="37" spans="5:27" x14ac:dyDescent="0.25">
      <c r="E37" s="142"/>
      <c r="F37" s="142"/>
      <c r="T37" s="165">
        <v>25</v>
      </c>
      <c r="U37" s="159">
        <f t="shared" si="1"/>
        <v>-70.108499999999992</v>
      </c>
      <c r="V37" s="159">
        <f t="shared" si="2"/>
        <v>-632.45850000000007</v>
      </c>
      <c r="W37" s="159">
        <f t="shared" si="3"/>
        <v>697.11</v>
      </c>
      <c r="X37" s="159">
        <f t="shared" si="6"/>
        <v>-5.4569999999999936</v>
      </c>
      <c r="Y37" s="159">
        <f t="shared" ca="1" si="0"/>
        <v>-9.327053436771962</v>
      </c>
      <c r="Z37" s="159">
        <f t="shared" ca="1" si="4"/>
        <v>-14.717576365048943</v>
      </c>
      <c r="AA37" s="161">
        <f t="shared" ca="1" si="5"/>
        <v>-1471.7576365048944</v>
      </c>
    </row>
    <row r="38" spans="5:27" x14ac:dyDescent="0.25">
      <c r="E38" s="142"/>
      <c r="F38" s="142"/>
      <c r="T38" s="165">
        <v>26</v>
      </c>
      <c r="U38" s="159">
        <f t="shared" si="1"/>
        <v>-70.108499999999992</v>
      </c>
      <c r="V38" s="159">
        <f t="shared" si="2"/>
        <v>-631.45850000000007</v>
      </c>
      <c r="W38" s="159">
        <f t="shared" si="3"/>
        <v>696.11</v>
      </c>
      <c r="X38" s="159">
        <f t="shared" si="6"/>
        <v>-5.4569999999999936</v>
      </c>
      <c r="Y38" s="159">
        <f t="shared" ca="1" si="0"/>
        <v>-9.327053436771962</v>
      </c>
      <c r="Z38" s="159">
        <f t="shared" ca="1" si="4"/>
        <v>-14.717576365048943</v>
      </c>
      <c r="AA38" s="161">
        <f t="shared" ca="1" si="5"/>
        <v>-1471.7576365048944</v>
      </c>
    </row>
    <row r="39" spans="5:27" x14ac:dyDescent="0.25">
      <c r="E39" s="142"/>
      <c r="F39" s="142"/>
      <c r="T39" s="165">
        <v>27</v>
      </c>
      <c r="U39" s="159">
        <f t="shared" si="1"/>
        <v>-70.108499999999992</v>
      </c>
      <c r="V39" s="159">
        <f t="shared" si="2"/>
        <v>-630.45850000000007</v>
      </c>
      <c r="W39" s="159">
        <f t="shared" si="3"/>
        <v>695.11</v>
      </c>
      <c r="X39" s="159">
        <f t="shared" si="6"/>
        <v>-5.4569999999999936</v>
      </c>
      <c r="Y39" s="159">
        <f t="shared" ca="1" si="0"/>
        <v>-9.327053436771962</v>
      </c>
      <c r="Z39" s="159">
        <f t="shared" ca="1" si="4"/>
        <v>-14.717576365048943</v>
      </c>
      <c r="AA39" s="161">
        <f t="shared" ca="1" si="5"/>
        <v>-1471.7576365048944</v>
      </c>
    </row>
    <row r="40" spans="5:27" x14ac:dyDescent="0.25">
      <c r="E40" s="142"/>
      <c r="F40" s="142"/>
      <c r="T40" s="165">
        <v>28</v>
      </c>
      <c r="U40" s="159">
        <f t="shared" si="1"/>
        <v>-70.108499999999992</v>
      </c>
      <c r="V40" s="159">
        <f t="shared" si="2"/>
        <v>-629.45850000000007</v>
      </c>
      <c r="W40" s="159">
        <f t="shared" si="3"/>
        <v>694.11</v>
      </c>
      <c r="X40" s="159">
        <f t="shared" si="6"/>
        <v>-5.4569999999999936</v>
      </c>
      <c r="Y40" s="159">
        <f t="shared" ca="1" si="0"/>
        <v>-9.327053436771962</v>
      </c>
      <c r="Z40" s="159">
        <f t="shared" ca="1" si="4"/>
        <v>-14.717576365048943</v>
      </c>
      <c r="AA40" s="161">
        <f t="shared" ca="1" si="5"/>
        <v>-1471.7576365048944</v>
      </c>
    </row>
    <row r="41" spans="5:27" x14ac:dyDescent="0.25">
      <c r="E41" s="142"/>
      <c r="F41" s="142"/>
      <c r="T41" s="165">
        <v>29</v>
      </c>
      <c r="U41" s="159">
        <f t="shared" si="1"/>
        <v>-70.108499999999992</v>
      </c>
      <c r="V41" s="159">
        <f t="shared" si="2"/>
        <v>-628.45850000000007</v>
      </c>
      <c r="W41" s="159">
        <f t="shared" si="3"/>
        <v>693.11</v>
      </c>
      <c r="X41" s="159">
        <f t="shared" si="6"/>
        <v>-5.4569999999999936</v>
      </c>
      <c r="Y41" s="159">
        <f t="shared" ca="1" si="0"/>
        <v>-9.327053436771962</v>
      </c>
      <c r="Z41" s="159">
        <f t="shared" ca="1" si="4"/>
        <v>-14.717576365048943</v>
      </c>
      <c r="AA41" s="161">
        <f t="shared" ca="1" si="5"/>
        <v>-1471.7576365048944</v>
      </c>
    </row>
    <row r="42" spans="5:27" x14ac:dyDescent="0.25">
      <c r="E42" s="142"/>
      <c r="F42" s="142"/>
      <c r="T42" s="165">
        <v>30</v>
      </c>
      <c r="U42" s="159">
        <f t="shared" si="1"/>
        <v>-70.108499999999992</v>
      </c>
      <c r="V42" s="159">
        <f t="shared" si="2"/>
        <v>-627.45850000000007</v>
      </c>
      <c r="W42" s="159">
        <f t="shared" si="3"/>
        <v>692.11</v>
      </c>
      <c r="X42" s="159">
        <f t="shared" si="6"/>
        <v>-5.4569999999999936</v>
      </c>
      <c r="Y42" s="159">
        <f t="shared" ca="1" si="0"/>
        <v>-9.327053436771962</v>
      </c>
      <c r="Z42" s="159">
        <f t="shared" ca="1" si="4"/>
        <v>-14.717576365048943</v>
      </c>
      <c r="AA42" s="161">
        <f t="shared" ca="1" si="5"/>
        <v>-1471.7576365048944</v>
      </c>
    </row>
    <row r="43" spans="5:27" x14ac:dyDescent="0.25">
      <c r="E43" s="142"/>
      <c r="F43" s="142"/>
      <c r="T43" s="165">
        <v>31</v>
      </c>
      <c r="U43" s="159">
        <f t="shared" si="1"/>
        <v>-70.108499999999992</v>
      </c>
      <c r="V43" s="159">
        <f t="shared" si="2"/>
        <v>-626.45850000000007</v>
      </c>
      <c r="W43" s="159">
        <f t="shared" si="3"/>
        <v>691.11</v>
      </c>
      <c r="X43" s="159">
        <f t="shared" si="6"/>
        <v>-5.4569999999999936</v>
      </c>
      <c r="Y43" s="159">
        <f t="shared" ca="1" si="0"/>
        <v>-9.327053436771962</v>
      </c>
      <c r="Z43" s="159">
        <f t="shared" ca="1" si="4"/>
        <v>-14.717576365048943</v>
      </c>
      <c r="AA43" s="161">
        <f t="shared" ca="1" si="5"/>
        <v>-1471.7576365048944</v>
      </c>
    </row>
    <row r="44" spans="5:27" x14ac:dyDescent="0.25">
      <c r="E44" s="142"/>
      <c r="F44" s="142"/>
      <c r="T44" s="165">
        <v>32</v>
      </c>
      <c r="U44" s="159">
        <f t="shared" si="1"/>
        <v>-70.108499999999992</v>
      </c>
      <c r="V44" s="159">
        <f t="shared" si="2"/>
        <v>-625.45850000000007</v>
      </c>
      <c r="W44" s="159">
        <f t="shared" si="3"/>
        <v>690.11</v>
      </c>
      <c r="X44" s="159">
        <f t="shared" si="6"/>
        <v>-5.4569999999999936</v>
      </c>
      <c r="Y44" s="159">
        <f t="shared" ca="1" si="0"/>
        <v>-9.327053436771962</v>
      </c>
      <c r="Z44" s="159">
        <f t="shared" ca="1" si="4"/>
        <v>-14.717576365048943</v>
      </c>
      <c r="AA44" s="161">
        <f t="shared" ca="1" si="5"/>
        <v>-1471.7576365048944</v>
      </c>
    </row>
    <row r="45" spans="5:27" x14ac:dyDescent="0.25">
      <c r="E45" s="142"/>
      <c r="F45" s="142"/>
      <c r="T45" s="165">
        <v>33</v>
      </c>
      <c r="U45" s="159">
        <f t="shared" si="1"/>
        <v>-70.108499999999992</v>
      </c>
      <c r="V45" s="159">
        <f t="shared" si="2"/>
        <v>-624.45850000000007</v>
      </c>
      <c r="W45" s="159">
        <f t="shared" si="3"/>
        <v>689.11</v>
      </c>
      <c r="X45" s="159">
        <f t="shared" si="6"/>
        <v>-5.4569999999999936</v>
      </c>
      <c r="Y45" s="159">
        <f t="shared" ca="1" si="0"/>
        <v>-9.327053436771962</v>
      </c>
      <c r="Z45" s="159">
        <f t="shared" ca="1" si="4"/>
        <v>-14.717576365048943</v>
      </c>
      <c r="AA45" s="161">
        <f t="shared" ca="1" si="5"/>
        <v>-1471.7576365048944</v>
      </c>
    </row>
    <row r="46" spans="5:27" x14ac:dyDescent="0.25">
      <c r="E46" s="142"/>
      <c r="F46" s="142"/>
      <c r="T46" s="165">
        <v>34</v>
      </c>
      <c r="U46" s="159">
        <f t="shared" si="1"/>
        <v>-70.108499999999992</v>
      </c>
      <c r="V46" s="159">
        <f t="shared" si="2"/>
        <v>-623.45850000000007</v>
      </c>
      <c r="W46" s="159">
        <f t="shared" si="3"/>
        <v>688.11</v>
      </c>
      <c r="X46" s="159">
        <f t="shared" si="6"/>
        <v>-5.4569999999999936</v>
      </c>
      <c r="Y46" s="159">
        <f t="shared" ca="1" si="0"/>
        <v>-9.327053436771962</v>
      </c>
      <c r="Z46" s="159">
        <f t="shared" ca="1" si="4"/>
        <v>-14.717576365048943</v>
      </c>
      <c r="AA46" s="161">
        <f t="shared" ca="1" si="5"/>
        <v>-1471.7576365048944</v>
      </c>
    </row>
    <row r="47" spans="5:27" x14ac:dyDescent="0.25">
      <c r="E47" s="142"/>
      <c r="F47" s="142"/>
      <c r="T47" s="165">
        <v>35</v>
      </c>
      <c r="U47" s="159">
        <f t="shared" si="1"/>
        <v>-70.108499999999992</v>
      </c>
      <c r="V47" s="159">
        <f t="shared" si="2"/>
        <v>-622.45850000000007</v>
      </c>
      <c r="W47" s="159">
        <f t="shared" si="3"/>
        <v>687.11</v>
      </c>
      <c r="X47" s="159">
        <f t="shared" si="6"/>
        <v>-5.4569999999999936</v>
      </c>
      <c r="Y47" s="159">
        <f t="shared" ca="1" si="0"/>
        <v>-9.327053436771962</v>
      </c>
      <c r="Z47" s="159">
        <f t="shared" ca="1" si="4"/>
        <v>-14.717576365048943</v>
      </c>
      <c r="AA47" s="161">
        <f t="shared" ca="1" si="5"/>
        <v>-1471.7576365048944</v>
      </c>
    </row>
    <row r="48" spans="5:27" x14ac:dyDescent="0.25">
      <c r="E48" s="142"/>
      <c r="F48" s="142"/>
      <c r="T48" s="165">
        <v>36</v>
      </c>
      <c r="U48" s="159">
        <f t="shared" si="1"/>
        <v>-70.108499999999992</v>
      </c>
      <c r="V48" s="159">
        <f t="shared" si="2"/>
        <v>-621.45850000000007</v>
      </c>
      <c r="W48" s="159">
        <f t="shared" si="3"/>
        <v>686.11</v>
      </c>
      <c r="X48" s="159">
        <f t="shared" si="6"/>
        <v>-5.4569999999999936</v>
      </c>
      <c r="Y48" s="159">
        <f t="shared" ca="1" si="0"/>
        <v>-9.327053436771962</v>
      </c>
      <c r="Z48" s="159">
        <f t="shared" ca="1" si="4"/>
        <v>-14.717576365048943</v>
      </c>
      <c r="AA48" s="161">
        <f t="shared" ca="1" si="5"/>
        <v>-1471.7576365048944</v>
      </c>
    </row>
    <row r="49" spans="5:27" x14ac:dyDescent="0.25">
      <c r="E49" s="142"/>
      <c r="F49" s="142"/>
      <c r="T49" s="165">
        <v>37</v>
      </c>
      <c r="U49" s="159">
        <f t="shared" si="1"/>
        <v>-70.108499999999992</v>
      </c>
      <c r="V49" s="159">
        <f t="shared" si="2"/>
        <v>-620.45850000000007</v>
      </c>
      <c r="W49" s="159">
        <f t="shared" si="3"/>
        <v>685.11</v>
      </c>
      <c r="X49" s="159">
        <f t="shared" si="6"/>
        <v>-5.4569999999999936</v>
      </c>
      <c r="Y49" s="159">
        <f t="shared" ca="1" si="0"/>
        <v>-9.327053436771962</v>
      </c>
      <c r="Z49" s="159">
        <f t="shared" ca="1" si="4"/>
        <v>-14.717576365048943</v>
      </c>
      <c r="AA49" s="161">
        <f t="shared" ca="1" si="5"/>
        <v>-1471.7576365048944</v>
      </c>
    </row>
    <row r="50" spans="5:27" x14ac:dyDescent="0.25">
      <c r="E50" s="142"/>
      <c r="F50" s="142"/>
      <c r="T50" s="165">
        <v>38</v>
      </c>
      <c r="U50" s="159">
        <f t="shared" si="1"/>
        <v>-70.108499999999992</v>
      </c>
      <c r="V50" s="159">
        <f t="shared" si="2"/>
        <v>-619.45850000000007</v>
      </c>
      <c r="W50" s="159">
        <f t="shared" si="3"/>
        <v>684.11</v>
      </c>
      <c r="X50" s="159">
        <f t="shared" si="6"/>
        <v>-5.4569999999999936</v>
      </c>
      <c r="Y50" s="159">
        <f t="shared" ca="1" si="0"/>
        <v>-9.327053436771962</v>
      </c>
      <c r="Z50" s="159">
        <f t="shared" ca="1" si="4"/>
        <v>-14.717576365048943</v>
      </c>
      <c r="AA50" s="161">
        <f t="shared" ca="1" si="5"/>
        <v>-1471.7576365048944</v>
      </c>
    </row>
    <row r="51" spans="5:27" x14ac:dyDescent="0.25">
      <c r="E51" s="142"/>
      <c r="F51" s="142"/>
      <c r="T51" s="165">
        <v>39</v>
      </c>
      <c r="U51" s="159">
        <f t="shared" si="1"/>
        <v>-70.108499999999992</v>
      </c>
      <c r="V51" s="159">
        <f t="shared" si="2"/>
        <v>-618.45850000000007</v>
      </c>
      <c r="W51" s="159">
        <f t="shared" si="3"/>
        <v>683.11</v>
      </c>
      <c r="X51" s="159">
        <f t="shared" si="6"/>
        <v>-5.4569999999999936</v>
      </c>
      <c r="Y51" s="159">
        <f t="shared" ca="1" si="0"/>
        <v>-9.327053436771962</v>
      </c>
      <c r="Z51" s="159">
        <f t="shared" ca="1" si="4"/>
        <v>-14.717576365048943</v>
      </c>
      <c r="AA51" s="161">
        <f t="shared" ca="1" si="5"/>
        <v>-1471.7576365048944</v>
      </c>
    </row>
    <row r="52" spans="5:27" x14ac:dyDescent="0.25">
      <c r="E52" s="142"/>
      <c r="F52" s="142"/>
      <c r="T52" s="165">
        <v>40</v>
      </c>
      <c r="U52" s="159">
        <f t="shared" si="1"/>
        <v>-70.108499999999992</v>
      </c>
      <c r="V52" s="159">
        <f t="shared" si="2"/>
        <v>-617.45850000000007</v>
      </c>
      <c r="W52" s="159">
        <f t="shared" si="3"/>
        <v>682.11</v>
      </c>
      <c r="X52" s="159">
        <f t="shared" si="6"/>
        <v>-5.4569999999999936</v>
      </c>
      <c r="Y52" s="159">
        <f t="shared" ca="1" si="0"/>
        <v>-9.327053436771962</v>
      </c>
      <c r="Z52" s="159">
        <f t="shared" ca="1" si="4"/>
        <v>-14.717576365048943</v>
      </c>
      <c r="AA52" s="161">
        <f t="shared" ca="1" si="5"/>
        <v>-1471.7576365048944</v>
      </c>
    </row>
    <row r="53" spans="5:27" x14ac:dyDescent="0.25">
      <c r="E53" s="142"/>
      <c r="F53" s="142"/>
      <c r="T53" s="165">
        <v>41</v>
      </c>
      <c r="U53" s="159">
        <f t="shared" si="1"/>
        <v>-70.108499999999992</v>
      </c>
      <c r="V53" s="159">
        <f t="shared" si="2"/>
        <v>-616.45850000000007</v>
      </c>
      <c r="W53" s="159">
        <f t="shared" si="3"/>
        <v>681.11</v>
      </c>
      <c r="X53" s="159">
        <f t="shared" si="6"/>
        <v>-5.4569999999999936</v>
      </c>
      <c r="Y53" s="159">
        <f t="shared" ca="1" si="0"/>
        <v>-9.327053436771962</v>
      </c>
      <c r="Z53" s="159">
        <f t="shared" ca="1" si="4"/>
        <v>-14.717576365048943</v>
      </c>
      <c r="AA53" s="161">
        <f t="shared" ca="1" si="5"/>
        <v>-1471.7576365048944</v>
      </c>
    </row>
    <row r="54" spans="5:27" x14ac:dyDescent="0.25">
      <c r="E54" s="142"/>
      <c r="F54" s="142"/>
      <c r="T54" s="165">
        <v>42</v>
      </c>
      <c r="U54" s="159">
        <f t="shared" si="1"/>
        <v>-70.108499999999992</v>
      </c>
      <c r="V54" s="159">
        <f t="shared" si="2"/>
        <v>-615.45850000000007</v>
      </c>
      <c r="W54" s="159">
        <f t="shared" si="3"/>
        <v>680.11</v>
      </c>
      <c r="X54" s="159">
        <f t="shared" si="6"/>
        <v>-5.4569999999999936</v>
      </c>
      <c r="Y54" s="159">
        <f t="shared" ca="1" si="0"/>
        <v>-9.327053436771962</v>
      </c>
      <c r="Z54" s="159">
        <f t="shared" ca="1" si="4"/>
        <v>-14.717576365048943</v>
      </c>
      <c r="AA54" s="161">
        <f t="shared" ca="1" si="5"/>
        <v>-1471.7576365048944</v>
      </c>
    </row>
    <row r="55" spans="5:27" x14ac:dyDescent="0.25">
      <c r="E55" s="142"/>
      <c r="F55" s="142"/>
      <c r="T55" s="165">
        <v>43</v>
      </c>
      <c r="U55" s="159">
        <f t="shared" si="1"/>
        <v>-70.108499999999992</v>
      </c>
      <c r="V55" s="159">
        <f t="shared" si="2"/>
        <v>-614.45850000000007</v>
      </c>
      <c r="W55" s="159">
        <f t="shared" si="3"/>
        <v>679.11</v>
      </c>
      <c r="X55" s="159">
        <f t="shared" si="6"/>
        <v>-5.4569999999999936</v>
      </c>
      <c r="Y55" s="159">
        <f t="shared" ca="1" si="0"/>
        <v>-9.327053436771962</v>
      </c>
      <c r="Z55" s="159">
        <f t="shared" ca="1" si="4"/>
        <v>-14.717576365048943</v>
      </c>
      <c r="AA55" s="161">
        <f t="shared" ca="1" si="5"/>
        <v>-1471.7576365048944</v>
      </c>
    </row>
    <row r="56" spans="5:27" x14ac:dyDescent="0.25">
      <c r="E56" s="142"/>
      <c r="F56" s="142"/>
      <c r="T56" s="165">
        <v>44</v>
      </c>
      <c r="U56" s="159">
        <f t="shared" si="1"/>
        <v>-70.108499999999992</v>
      </c>
      <c r="V56" s="159">
        <f t="shared" si="2"/>
        <v>-613.45850000000007</v>
      </c>
      <c r="W56" s="159">
        <f t="shared" si="3"/>
        <v>678.11</v>
      </c>
      <c r="X56" s="159">
        <f t="shared" si="6"/>
        <v>-5.4569999999999936</v>
      </c>
      <c r="Y56" s="159">
        <f t="shared" ca="1" si="0"/>
        <v>-9.327053436771962</v>
      </c>
      <c r="Z56" s="159">
        <f t="shared" ca="1" si="4"/>
        <v>-14.717576365048943</v>
      </c>
      <c r="AA56" s="161">
        <f t="shared" ca="1" si="5"/>
        <v>-1471.7576365048944</v>
      </c>
    </row>
    <row r="57" spans="5:27" x14ac:dyDescent="0.25">
      <c r="E57" s="142"/>
      <c r="F57" s="142"/>
      <c r="T57" s="165">
        <v>45</v>
      </c>
      <c r="U57" s="159">
        <f t="shared" si="1"/>
        <v>-70.108499999999992</v>
      </c>
      <c r="V57" s="159">
        <f t="shared" si="2"/>
        <v>-612.45850000000007</v>
      </c>
      <c r="W57" s="159">
        <f t="shared" si="3"/>
        <v>677.11</v>
      </c>
      <c r="X57" s="159">
        <f t="shared" si="6"/>
        <v>-5.4569999999999936</v>
      </c>
      <c r="Y57" s="159">
        <f t="shared" ca="1" si="0"/>
        <v>-9.327053436771962</v>
      </c>
      <c r="Z57" s="159">
        <f t="shared" ca="1" si="4"/>
        <v>-14.717576365048943</v>
      </c>
      <c r="AA57" s="161">
        <f t="shared" ca="1" si="5"/>
        <v>-1471.7576365048944</v>
      </c>
    </row>
    <row r="58" spans="5:27" x14ac:dyDescent="0.25">
      <c r="E58" s="142"/>
      <c r="F58" s="142"/>
      <c r="T58" s="165">
        <v>46</v>
      </c>
      <c r="U58" s="159">
        <f t="shared" si="1"/>
        <v>-70.108499999999992</v>
      </c>
      <c r="V58" s="159">
        <f t="shared" si="2"/>
        <v>-611.45850000000007</v>
      </c>
      <c r="W58" s="159">
        <f t="shared" si="3"/>
        <v>676.11</v>
      </c>
      <c r="X58" s="159">
        <f t="shared" si="6"/>
        <v>-5.4569999999999936</v>
      </c>
      <c r="Y58" s="159">
        <f t="shared" ca="1" si="0"/>
        <v>-9.327053436771962</v>
      </c>
      <c r="Z58" s="159">
        <f t="shared" ca="1" si="4"/>
        <v>-14.717576365048943</v>
      </c>
      <c r="AA58" s="161">
        <f t="shared" ca="1" si="5"/>
        <v>-1471.7576365048944</v>
      </c>
    </row>
    <row r="59" spans="5:27" x14ac:dyDescent="0.25">
      <c r="E59" s="142"/>
      <c r="F59" s="142"/>
      <c r="T59" s="165">
        <v>47</v>
      </c>
      <c r="U59" s="159">
        <f t="shared" si="1"/>
        <v>-70.108499999999992</v>
      </c>
      <c r="V59" s="159">
        <f t="shared" si="2"/>
        <v>-610.45850000000007</v>
      </c>
      <c r="W59" s="159">
        <f t="shared" si="3"/>
        <v>675.11</v>
      </c>
      <c r="X59" s="159">
        <f t="shared" si="6"/>
        <v>-5.4569999999999936</v>
      </c>
      <c r="Y59" s="159">
        <f t="shared" ca="1" si="0"/>
        <v>-9.327053436771962</v>
      </c>
      <c r="Z59" s="159">
        <f t="shared" ca="1" si="4"/>
        <v>-14.717576365048943</v>
      </c>
      <c r="AA59" s="161">
        <f t="shared" ca="1" si="5"/>
        <v>-1471.7576365048944</v>
      </c>
    </row>
    <row r="60" spans="5:27" x14ac:dyDescent="0.25">
      <c r="E60" s="142"/>
      <c r="F60" s="142"/>
      <c r="T60" s="165">
        <v>48</v>
      </c>
      <c r="U60" s="159">
        <f t="shared" si="1"/>
        <v>-70.108499999999992</v>
      </c>
      <c r="V60" s="159">
        <f t="shared" si="2"/>
        <v>-609.45850000000007</v>
      </c>
      <c r="W60" s="159">
        <f t="shared" si="3"/>
        <v>674.11</v>
      </c>
      <c r="X60" s="159">
        <f t="shared" si="6"/>
        <v>-5.4569999999999936</v>
      </c>
      <c r="Y60" s="159">
        <f t="shared" ca="1" si="0"/>
        <v>-9.327053436771962</v>
      </c>
      <c r="Z60" s="159">
        <f t="shared" ca="1" si="4"/>
        <v>-14.717576365048943</v>
      </c>
      <c r="AA60" s="161">
        <f t="shared" ca="1" si="5"/>
        <v>-1471.7576365048944</v>
      </c>
    </row>
    <row r="61" spans="5:27" x14ac:dyDescent="0.25">
      <c r="E61" s="142"/>
      <c r="F61" s="142"/>
      <c r="T61" s="165">
        <v>49</v>
      </c>
      <c r="U61" s="159">
        <f t="shared" si="1"/>
        <v>-70.108499999999992</v>
      </c>
      <c r="V61" s="159">
        <f t="shared" si="2"/>
        <v>-608.45850000000007</v>
      </c>
      <c r="W61" s="159">
        <f t="shared" si="3"/>
        <v>673.11</v>
      </c>
      <c r="X61" s="159">
        <f t="shared" si="6"/>
        <v>-5.4569999999999936</v>
      </c>
      <c r="Y61" s="159">
        <f t="shared" ca="1" si="0"/>
        <v>-9.327053436771962</v>
      </c>
      <c r="Z61" s="159">
        <f t="shared" ca="1" si="4"/>
        <v>-14.717576365048943</v>
      </c>
      <c r="AA61" s="161">
        <f t="shared" ca="1" si="5"/>
        <v>-1471.7576365048944</v>
      </c>
    </row>
    <row r="62" spans="5:27" x14ac:dyDescent="0.25">
      <c r="E62" s="142"/>
      <c r="F62" s="142"/>
      <c r="T62" s="165">
        <v>50</v>
      </c>
      <c r="U62" s="159">
        <f t="shared" si="1"/>
        <v>-70.108499999999992</v>
      </c>
      <c r="V62" s="159">
        <f t="shared" si="2"/>
        <v>-607.45850000000007</v>
      </c>
      <c r="W62" s="159">
        <f t="shared" si="3"/>
        <v>672.11</v>
      </c>
      <c r="X62" s="159">
        <f t="shared" si="6"/>
        <v>-5.4569999999999936</v>
      </c>
      <c r="Y62" s="159">
        <f t="shared" ca="1" si="0"/>
        <v>-9.327053436771962</v>
      </c>
      <c r="Z62" s="159">
        <f t="shared" ca="1" si="4"/>
        <v>-14.717576365048943</v>
      </c>
      <c r="AA62" s="161">
        <f t="shared" ca="1" si="5"/>
        <v>-1471.7576365048944</v>
      </c>
    </row>
    <row r="63" spans="5:27" x14ac:dyDescent="0.25">
      <c r="E63" s="142"/>
      <c r="F63" s="142"/>
      <c r="T63" s="165">
        <v>51</v>
      </c>
      <c r="U63" s="159">
        <f t="shared" si="1"/>
        <v>-70.108499999999992</v>
      </c>
      <c r="V63" s="159">
        <f t="shared" si="2"/>
        <v>-606.45850000000007</v>
      </c>
      <c r="W63" s="159">
        <f t="shared" si="3"/>
        <v>671.11</v>
      </c>
      <c r="X63" s="159">
        <f t="shared" si="6"/>
        <v>-5.4569999999999936</v>
      </c>
      <c r="Y63" s="159">
        <f t="shared" ca="1" si="0"/>
        <v>-9.327053436771962</v>
      </c>
      <c r="Z63" s="159">
        <f t="shared" ca="1" si="4"/>
        <v>-14.717576365048943</v>
      </c>
      <c r="AA63" s="161">
        <f t="shared" ca="1" si="5"/>
        <v>-1471.7576365048944</v>
      </c>
    </row>
    <row r="64" spans="5:27" x14ac:dyDescent="0.25">
      <c r="E64" s="142"/>
      <c r="F64" s="142"/>
      <c r="T64" s="165">
        <v>52</v>
      </c>
      <c r="U64" s="159">
        <f t="shared" si="1"/>
        <v>-70.108499999999992</v>
      </c>
      <c r="V64" s="159">
        <f t="shared" si="2"/>
        <v>-605.45850000000007</v>
      </c>
      <c r="W64" s="159">
        <f t="shared" si="3"/>
        <v>670.11</v>
      </c>
      <c r="X64" s="159">
        <f t="shared" si="6"/>
        <v>-5.4569999999999936</v>
      </c>
      <c r="Y64" s="159">
        <f t="shared" ca="1" si="0"/>
        <v>-9.327053436771962</v>
      </c>
      <c r="Z64" s="159">
        <f t="shared" ca="1" si="4"/>
        <v>-14.717576365048943</v>
      </c>
      <c r="AA64" s="161">
        <f t="shared" ca="1" si="5"/>
        <v>-1471.7576365048944</v>
      </c>
    </row>
    <row r="65" spans="5:27" x14ac:dyDescent="0.25">
      <c r="E65" s="142"/>
      <c r="F65" s="142"/>
      <c r="T65" s="165">
        <v>53</v>
      </c>
      <c r="U65" s="159">
        <f t="shared" si="1"/>
        <v>-70.108499999999992</v>
      </c>
      <c r="V65" s="159">
        <f t="shared" si="2"/>
        <v>-604.45850000000007</v>
      </c>
      <c r="W65" s="159">
        <f t="shared" si="3"/>
        <v>669.11</v>
      </c>
      <c r="X65" s="159">
        <f t="shared" si="6"/>
        <v>-5.4569999999999936</v>
      </c>
      <c r="Y65" s="159">
        <f t="shared" ca="1" si="0"/>
        <v>-9.327053436771962</v>
      </c>
      <c r="Z65" s="159">
        <f t="shared" ca="1" si="4"/>
        <v>-14.717576365048943</v>
      </c>
      <c r="AA65" s="161">
        <f t="shared" ca="1" si="5"/>
        <v>-1471.7576365048944</v>
      </c>
    </row>
    <row r="66" spans="5:27" x14ac:dyDescent="0.25">
      <c r="E66" s="142"/>
      <c r="F66" s="142"/>
      <c r="T66" s="165">
        <v>54</v>
      </c>
      <c r="U66" s="159">
        <f t="shared" si="1"/>
        <v>-70.108499999999992</v>
      </c>
      <c r="V66" s="159">
        <f t="shared" si="2"/>
        <v>-603.45850000000007</v>
      </c>
      <c r="W66" s="159">
        <f t="shared" si="3"/>
        <v>668.11</v>
      </c>
      <c r="X66" s="159">
        <f t="shared" si="6"/>
        <v>-5.4569999999999936</v>
      </c>
      <c r="Y66" s="159">
        <f t="shared" ca="1" si="0"/>
        <v>-9.327053436771962</v>
      </c>
      <c r="Z66" s="159">
        <f t="shared" ca="1" si="4"/>
        <v>-14.717576365048943</v>
      </c>
      <c r="AA66" s="161">
        <f t="shared" ca="1" si="5"/>
        <v>-1471.7576365048944</v>
      </c>
    </row>
    <row r="67" spans="5:27" x14ac:dyDescent="0.25">
      <c r="E67" s="142"/>
      <c r="F67" s="142"/>
      <c r="T67" s="165">
        <v>55</v>
      </c>
      <c r="U67" s="159">
        <f t="shared" si="1"/>
        <v>-70.108499999999992</v>
      </c>
      <c r="V67" s="159">
        <f t="shared" si="2"/>
        <v>-602.45850000000007</v>
      </c>
      <c r="W67" s="159">
        <f t="shared" si="3"/>
        <v>667.11</v>
      </c>
      <c r="X67" s="159">
        <f t="shared" si="6"/>
        <v>-5.4569999999999936</v>
      </c>
      <c r="Y67" s="159">
        <f t="shared" ca="1" si="0"/>
        <v>-9.327053436771962</v>
      </c>
      <c r="Z67" s="159">
        <f t="shared" ca="1" si="4"/>
        <v>-14.717576365048943</v>
      </c>
      <c r="AA67" s="161">
        <f t="shared" ca="1" si="5"/>
        <v>-1471.7576365048944</v>
      </c>
    </row>
    <row r="68" spans="5:27" x14ac:dyDescent="0.25">
      <c r="E68" s="142"/>
      <c r="F68" s="142"/>
      <c r="T68" s="165">
        <v>56</v>
      </c>
      <c r="U68" s="159">
        <f t="shared" si="1"/>
        <v>-70.108499999999992</v>
      </c>
      <c r="V68" s="159">
        <f t="shared" si="2"/>
        <v>-601.45850000000007</v>
      </c>
      <c r="W68" s="159">
        <f t="shared" si="3"/>
        <v>666.11</v>
      </c>
      <c r="X68" s="159">
        <f t="shared" si="6"/>
        <v>-5.4569999999999936</v>
      </c>
      <c r="Y68" s="159">
        <f t="shared" ca="1" si="0"/>
        <v>-9.327053436771962</v>
      </c>
      <c r="Z68" s="159">
        <f t="shared" ca="1" si="4"/>
        <v>-14.717576365048943</v>
      </c>
      <c r="AA68" s="161">
        <f t="shared" ca="1" si="5"/>
        <v>-1471.7576365048944</v>
      </c>
    </row>
    <row r="69" spans="5:27" x14ac:dyDescent="0.25">
      <c r="E69" s="142"/>
      <c r="F69" s="142"/>
      <c r="T69" s="165">
        <v>57</v>
      </c>
      <c r="U69" s="159">
        <f t="shared" si="1"/>
        <v>-70.108499999999992</v>
      </c>
      <c r="V69" s="159">
        <f t="shared" si="2"/>
        <v>-600.45850000000007</v>
      </c>
      <c r="W69" s="159">
        <f t="shared" si="3"/>
        <v>665.11</v>
      </c>
      <c r="X69" s="159">
        <f t="shared" si="6"/>
        <v>-5.4569999999999936</v>
      </c>
      <c r="Y69" s="159">
        <f t="shared" ca="1" si="0"/>
        <v>-9.327053436771962</v>
      </c>
      <c r="Z69" s="159">
        <f t="shared" ca="1" si="4"/>
        <v>-14.717576365048943</v>
      </c>
      <c r="AA69" s="161">
        <f t="shared" ca="1" si="5"/>
        <v>-1471.7576365048944</v>
      </c>
    </row>
    <row r="70" spans="5:27" x14ac:dyDescent="0.25">
      <c r="E70" s="142"/>
      <c r="F70" s="142"/>
      <c r="T70" s="165">
        <v>58</v>
      </c>
      <c r="U70" s="159">
        <f t="shared" si="1"/>
        <v>-70.108499999999992</v>
      </c>
      <c r="V70" s="159">
        <f t="shared" si="2"/>
        <v>-599.45850000000007</v>
      </c>
      <c r="W70" s="159">
        <f t="shared" si="3"/>
        <v>664.11</v>
      </c>
      <c r="X70" s="159">
        <f t="shared" si="6"/>
        <v>-5.4569999999999936</v>
      </c>
      <c r="Y70" s="159">
        <f t="shared" ca="1" si="0"/>
        <v>-9.327053436771962</v>
      </c>
      <c r="Z70" s="159">
        <f t="shared" ca="1" si="4"/>
        <v>-14.717576365048943</v>
      </c>
      <c r="AA70" s="161">
        <f t="shared" ca="1" si="5"/>
        <v>-1471.7576365048944</v>
      </c>
    </row>
    <row r="71" spans="5:27" x14ac:dyDescent="0.25">
      <c r="E71" s="142"/>
      <c r="F71" s="142"/>
      <c r="T71" s="165">
        <v>59</v>
      </c>
      <c r="U71" s="159">
        <f t="shared" si="1"/>
        <v>-70.108499999999992</v>
      </c>
      <c r="V71" s="159">
        <f t="shared" si="2"/>
        <v>-598.45850000000007</v>
      </c>
      <c r="W71" s="159">
        <f t="shared" si="3"/>
        <v>663.11</v>
      </c>
      <c r="X71" s="159">
        <f t="shared" si="6"/>
        <v>-5.4569999999999936</v>
      </c>
      <c r="Y71" s="159">
        <f t="shared" ca="1" si="0"/>
        <v>-9.327053436771962</v>
      </c>
      <c r="Z71" s="159">
        <f t="shared" ca="1" si="4"/>
        <v>-14.717576365048943</v>
      </c>
      <c r="AA71" s="161">
        <f t="shared" ca="1" si="5"/>
        <v>-1471.7576365048944</v>
      </c>
    </row>
    <row r="72" spans="5:27" x14ac:dyDescent="0.25">
      <c r="E72" s="142"/>
      <c r="F72" s="142"/>
      <c r="T72" s="165">
        <v>60</v>
      </c>
      <c r="U72" s="159">
        <f t="shared" si="1"/>
        <v>-70.108499999999992</v>
      </c>
      <c r="V72" s="159">
        <f t="shared" si="2"/>
        <v>-597.45850000000007</v>
      </c>
      <c r="W72" s="159">
        <f t="shared" si="3"/>
        <v>662.11</v>
      </c>
      <c r="X72" s="159">
        <f t="shared" si="6"/>
        <v>-5.4569999999999936</v>
      </c>
      <c r="Y72" s="159">
        <f t="shared" ca="1" si="0"/>
        <v>-9.327053436771962</v>
      </c>
      <c r="Z72" s="159">
        <f t="shared" ca="1" si="4"/>
        <v>-14.717576365048943</v>
      </c>
      <c r="AA72" s="161">
        <f t="shared" ca="1" si="5"/>
        <v>-1471.7576365048944</v>
      </c>
    </row>
    <row r="73" spans="5:27" x14ac:dyDescent="0.25">
      <c r="E73" s="142"/>
      <c r="F73" s="142"/>
      <c r="T73" s="165">
        <v>61</v>
      </c>
      <c r="U73" s="159">
        <f t="shared" si="1"/>
        <v>-70.108499999999992</v>
      </c>
      <c r="V73" s="159">
        <f t="shared" si="2"/>
        <v>-596.45850000000007</v>
      </c>
      <c r="W73" s="159">
        <f t="shared" si="3"/>
        <v>661.11</v>
      </c>
      <c r="X73" s="159">
        <f t="shared" si="6"/>
        <v>-5.4569999999999936</v>
      </c>
      <c r="Y73" s="159">
        <f t="shared" ca="1" si="0"/>
        <v>-9.327053436771962</v>
      </c>
      <c r="Z73" s="159">
        <f t="shared" ca="1" si="4"/>
        <v>-14.717576365048943</v>
      </c>
      <c r="AA73" s="161">
        <f t="shared" ca="1" si="5"/>
        <v>-1471.7576365048944</v>
      </c>
    </row>
    <row r="74" spans="5:27" x14ac:dyDescent="0.25">
      <c r="E74" s="142"/>
      <c r="F74" s="142"/>
      <c r="T74" s="165">
        <v>62</v>
      </c>
      <c r="U74" s="159">
        <f t="shared" si="1"/>
        <v>-70.108499999999992</v>
      </c>
      <c r="V74" s="159">
        <f t="shared" si="2"/>
        <v>-595.45850000000007</v>
      </c>
      <c r="W74" s="159">
        <f t="shared" si="3"/>
        <v>660.11</v>
      </c>
      <c r="X74" s="159">
        <f t="shared" si="6"/>
        <v>-5.4569999999999936</v>
      </c>
      <c r="Y74" s="159">
        <f t="shared" ca="1" si="0"/>
        <v>-9.327053436771962</v>
      </c>
      <c r="Z74" s="159">
        <f t="shared" ca="1" si="4"/>
        <v>-14.717576365048943</v>
      </c>
      <c r="AA74" s="161">
        <f t="shared" ca="1" si="5"/>
        <v>-1471.7576365048944</v>
      </c>
    </row>
    <row r="75" spans="5:27" x14ac:dyDescent="0.25">
      <c r="E75" s="142"/>
      <c r="F75" s="142"/>
      <c r="T75" s="165">
        <v>63</v>
      </c>
      <c r="U75" s="159">
        <f t="shared" si="1"/>
        <v>-70.108499999999992</v>
      </c>
      <c r="V75" s="159">
        <f t="shared" si="2"/>
        <v>-594.45850000000007</v>
      </c>
      <c r="W75" s="159">
        <f t="shared" si="3"/>
        <v>659.11</v>
      </c>
      <c r="X75" s="159">
        <f t="shared" si="6"/>
        <v>-5.4569999999999936</v>
      </c>
      <c r="Y75" s="159">
        <f t="shared" ca="1" si="0"/>
        <v>-9.327053436771962</v>
      </c>
      <c r="Z75" s="159">
        <f t="shared" ca="1" si="4"/>
        <v>-14.717576365048943</v>
      </c>
      <c r="AA75" s="161">
        <f t="shared" ca="1" si="5"/>
        <v>-1471.7576365048944</v>
      </c>
    </row>
    <row r="76" spans="5:27" x14ac:dyDescent="0.25">
      <c r="E76" s="142"/>
      <c r="F76" s="142"/>
      <c r="T76" s="165">
        <v>64</v>
      </c>
      <c r="U76" s="159">
        <f t="shared" si="1"/>
        <v>-70.108499999999992</v>
      </c>
      <c r="V76" s="159">
        <f t="shared" si="2"/>
        <v>-593.45850000000007</v>
      </c>
      <c r="W76" s="159">
        <f t="shared" si="3"/>
        <v>658.11</v>
      </c>
      <c r="X76" s="159">
        <f t="shared" si="6"/>
        <v>-5.4569999999999936</v>
      </c>
      <c r="Y76" s="159">
        <f t="shared" ref="Y76:Y139" ca="1" si="7">$Y$10*EXP($Y$7*$C$6)-$Y$10</f>
        <v>-9.327053436771962</v>
      </c>
      <c r="Z76" s="159">
        <f t="shared" ca="1" si="4"/>
        <v>-14.717576365048943</v>
      </c>
      <c r="AA76" s="161">
        <f t="shared" ca="1" si="5"/>
        <v>-1471.7576365048944</v>
      </c>
    </row>
    <row r="77" spans="5:27" x14ac:dyDescent="0.25">
      <c r="E77" s="142"/>
      <c r="F77" s="142"/>
      <c r="T77" s="165">
        <v>65</v>
      </c>
      <c r="U77" s="159">
        <f t="shared" ref="U77:U140" si="8">MAX(0,T77-$U$9)-$U$10-$U$11/100</f>
        <v>-70.108499999999992</v>
      </c>
      <c r="V77" s="159">
        <f t="shared" ref="V77:V140" si="9">$V$10-MAX(0,$V$9-T77)-$V$11/100</f>
        <v>-592.45850000000007</v>
      </c>
      <c r="W77" s="159">
        <f t="shared" ref="W77:W140" si="10">$W$10-T77</f>
        <v>657.11</v>
      </c>
      <c r="X77" s="159">
        <f t="shared" ref="X77:X140" si="11">SUM(U77:W77)</f>
        <v>-5.4569999999999936</v>
      </c>
      <c r="Y77" s="159">
        <f t="shared" ca="1" si="7"/>
        <v>-9.327053436771962</v>
      </c>
      <c r="Z77" s="159">
        <f t="shared" ref="Z77:Z140" ca="1" si="12">EXP(-$E$3*$C$6)*SUM(X77:Y77)</f>
        <v>-14.717576365048943</v>
      </c>
      <c r="AA77" s="161">
        <f t="shared" ref="AA77:AA140" ca="1" si="13">Z77*100</f>
        <v>-1471.7576365048944</v>
      </c>
    </row>
    <row r="78" spans="5:27" x14ac:dyDescent="0.25">
      <c r="E78" s="142"/>
      <c r="F78" s="142"/>
      <c r="T78" s="165">
        <v>66</v>
      </c>
      <c r="U78" s="159">
        <f t="shared" si="8"/>
        <v>-70.108499999999992</v>
      </c>
      <c r="V78" s="159">
        <f t="shared" si="9"/>
        <v>-591.45850000000007</v>
      </c>
      <c r="W78" s="159">
        <f t="shared" si="10"/>
        <v>656.11</v>
      </c>
      <c r="X78" s="159">
        <f t="shared" si="11"/>
        <v>-5.4569999999999936</v>
      </c>
      <c r="Y78" s="159">
        <f t="shared" ca="1" si="7"/>
        <v>-9.327053436771962</v>
      </c>
      <c r="Z78" s="159">
        <f t="shared" ca="1" si="12"/>
        <v>-14.717576365048943</v>
      </c>
      <c r="AA78" s="161">
        <f t="shared" ca="1" si="13"/>
        <v>-1471.7576365048944</v>
      </c>
    </row>
    <row r="79" spans="5:27" x14ac:dyDescent="0.25">
      <c r="E79" s="142"/>
      <c r="F79" s="142"/>
      <c r="T79" s="165">
        <v>67</v>
      </c>
      <c r="U79" s="159">
        <f t="shared" si="8"/>
        <v>-70.108499999999992</v>
      </c>
      <c r="V79" s="159">
        <f t="shared" si="9"/>
        <v>-590.45850000000007</v>
      </c>
      <c r="W79" s="159">
        <f t="shared" si="10"/>
        <v>655.11</v>
      </c>
      <c r="X79" s="159">
        <f t="shared" si="11"/>
        <v>-5.4569999999999936</v>
      </c>
      <c r="Y79" s="159">
        <f t="shared" ca="1" si="7"/>
        <v>-9.327053436771962</v>
      </c>
      <c r="Z79" s="159">
        <f t="shared" ca="1" si="12"/>
        <v>-14.717576365048943</v>
      </c>
      <c r="AA79" s="161">
        <f t="shared" ca="1" si="13"/>
        <v>-1471.7576365048944</v>
      </c>
    </row>
    <row r="80" spans="5:27" x14ac:dyDescent="0.25">
      <c r="E80" s="142"/>
      <c r="F80" s="142"/>
      <c r="T80" s="165">
        <v>68</v>
      </c>
      <c r="U80" s="159">
        <f t="shared" si="8"/>
        <v>-70.108499999999992</v>
      </c>
      <c r="V80" s="159">
        <f t="shared" si="9"/>
        <v>-589.45850000000007</v>
      </c>
      <c r="W80" s="159">
        <f t="shared" si="10"/>
        <v>654.11</v>
      </c>
      <c r="X80" s="159">
        <f t="shared" si="11"/>
        <v>-5.4569999999999936</v>
      </c>
      <c r="Y80" s="159">
        <f t="shared" ca="1" si="7"/>
        <v>-9.327053436771962</v>
      </c>
      <c r="Z80" s="159">
        <f t="shared" ca="1" si="12"/>
        <v>-14.717576365048943</v>
      </c>
      <c r="AA80" s="161">
        <f t="shared" ca="1" si="13"/>
        <v>-1471.7576365048944</v>
      </c>
    </row>
    <row r="81" spans="5:27" x14ac:dyDescent="0.25">
      <c r="E81" s="142"/>
      <c r="F81" s="142"/>
      <c r="T81" s="165">
        <v>69</v>
      </c>
      <c r="U81" s="159">
        <f t="shared" si="8"/>
        <v>-70.108499999999992</v>
      </c>
      <c r="V81" s="159">
        <f t="shared" si="9"/>
        <v>-588.45850000000007</v>
      </c>
      <c r="W81" s="159">
        <f t="shared" si="10"/>
        <v>653.11</v>
      </c>
      <c r="X81" s="159">
        <f t="shared" si="11"/>
        <v>-5.4569999999999936</v>
      </c>
      <c r="Y81" s="159">
        <f t="shared" ca="1" si="7"/>
        <v>-9.327053436771962</v>
      </c>
      <c r="Z81" s="159">
        <f t="shared" ca="1" si="12"/>
        <v>-14.717576365048943</v>
      </c>
      <c r="AA81" s="161">
        <f t="shared" ca="1" si="13"/>
        <v>-1471.7576365048944</v>
      </c>
    </row>
    <row r="82" spans="5:27" x14ac:dyDescent="0.25">
      <c r="E82" s="142"/>
      <c r="F82" s="142"/>
      <c r="T82" s="165">
        <v>70</v>
      </c>
      <c r="U82" s="159">
        <f t="shared" si="8"/>
        <v>-70.108499999999992</v>
      </c>
      <c r="V82" s="159">
        <f t="shared" si="9"/>
        <v>-587.45850000000007</v>
      </c>
      <c r="W82" s="159">
        <f t="shared" si="10"/>
        <v>652.11</v>
      </c>
      <c r="X82" s="159">
        <f t="shared" si="11"/>
        <v>-5.4569999999999936</v>
      </c>
      <c r="Y82" s="159">
        <f t="shared" ca="1" si="7"/>
        <v>-9.327053436771962</v>
      </c>
      <c r="Z82" s="159">
        <f t="shared" ca="1" si="12"/>
        <v>-14.717576365048943</v>
      </c>
      <c r="AA82" s="161">
        <f t="shared" ca="1" si="13"/>
        <v>-1471.7576365048944</v>
      </c>
    </row>
    <row r="83" spans="5:27" x14ac:dyDescent="0.25">
      <c r="E83" s="142"/>
      <c r="F83" s="142"/>
      <c r="T83" s="165">
        <v>71</v>
      </c>
      <c r="U83" s="159">
        <f t="shared" si="8"/>
        <v>-70.108499999999992</v>
      </c>
      <c r="V83" s="159">
        <f t="shared" si="9"/>
        <v>-586.45850000000007</v>
      </c>
      <c r="W83" s="159">
        <f t="shared" si="10"/>
        <v>651.11</v>
      </c>
      <c r="X83" s="159">
        <f t="shared" si="11"/>
        <v>-5.4569999999999936</v>
      </c>
      <c r="Y83" s="159">
        <f t="shared" ca="1" si="7"/>
        <v>-9.327053436771962</v>
      </c>
      <c r="Z83" s="159">
        <f t="shared" ca="1" si="12"/>
        <v>-14.717576365048943</v>
      </c>
      <c r="AA83" s="161">
        <f t="shared" ca="1" si="13"/>
        <v>-1471.7576365048944</v>
      </c>
    </row>
    <row r="84" spans="5:27" x14ac:dyDescent="0.25">
      <c r="E84" s="142"/>
      <c r="F84" s="142"/>
      <c r="T84" s="165">
        <v>72</v>
      </c>
      <c r="U84" s="159">
        <f t="shared" si="8"/>
        <v>-70.108499999999992</v>
      </c>
      <c r="V84" s="159">
        <f t="shared" si="9"/>
        <v>-585.45850000000007</v>
      </c>
      <c r="W84" s="159">
        <f t="shared" si="10"/>
        <v>650.11</v>
      </c>
      <c r="X84" s="159">
        <f t="shared" si="11"/>
        <v>-5.4569999999999936</v>
      </c>
      <c r="Y84" s="159">
        <f t="shared" ca="1" si="7"/>
        <v>-9.327053436771962</v>
      </c>
      <c r="Z84" s="159">
        <f t="shared" ca="1" si="12"/>
        <v>-14.717576365048943</v>
      </c>
      <c r="AA84" s="161">
        <f t="shared" ca="1" si="13"/>
        <v>-1471.7576365048944</v>
      </c>
    </row>
    <row r="85" spans="5:27" x14ac:dyDescent="0.25">
      <c r="E85" s="142"/>
      <c r="F85" s="142"/>
      <c r="T85" s="165">
        <v>73</v>
      </c>
      <c r="U85" s="159">
        <f t="shared" si="8"/>
        <v>-70.108499999999992</v>
      </c>
      <c r="V85" s="159">
        <f t="shared" si="9"/>
        <v>-584.45850000000007</v>
      </c>
      <c r="W85" s="159">
        <f t="shared" si="10"/>
        <v>649.11</v>
      </c>
      <c r="X85" s="159">
        <f t="shared" si="11"/>
        <v>-5.4569999999999936</v>
      </c>
      <c r="Y85" s="159">
        <f t="shared" ca="1" si="7"/>
        <v>-9.327053436771962</v>
      </c>
      <c r="Z85" s="159">
        <f t="shared" ca="1" si="12"/>
        <v>-14.717576365048943</v>
      </c>
      <c r="AA85" s="161">
        <f t="shared" ca="1" si="13"/>
        <v>-1471.7576365048944</v>
      </c>
    </row>
    <row r="86" spans="5:27" x14ac:dyDescent="0.25">
      <c r="E86" s="142"/>
      <c r="F86" s="142"/>
      <c r="T86" s="165">
        <v>74</v>
      </c>
      <c r="U86" s="159">
        <f t="shared" si="8"/>
        <v>-70.108499999999992</v>
      </c>
      <c r="V86" s="159">
        <f t="shared" si="9"/>
        <v>-583.45850000000007</v>
      </c>
      <c r="W86" s="159">
        <f t="shared" si="10"/>
        <v>648.11</v>
      </c>
      <c r="X86" s="159">
        <f t="shared" si="11"/>
        <v>-5.4569999999999936</v>
      </c>
      <c r="Y86" s="159">
        <f t="shared" ca="1" si="7"/>
        <v>-9.327053436771962</v>
      </c>
      <c r="Z86" s="159">
        <f t="shared" ca="1" si="12"/>
        <v>-14.717576365048943</v>
      </c>
      <c r="AA86" s="161">
        <f t="shared" ca="1" si="13"/>
        <v>-1471.7576365048944</v>
      </c>
    </row>
    <row r="87" spans="5:27" x14ac:dyDescent="0.25">
      <c r="E87" s="142"/>
      <c r="F87" s="142"/>
      <c r="T87" s="165">
        <v>75</v>
      </c>
      <c r="U87" s="159">
        <f t="shared" si="8"/>
        <v>-70.108499999999992</v>
      </c>
      <c r="V87" s="159">
        <f t="shared" si="9"/>
        <v>-582.45850000000007</v>
      </c>
      <c r="W87" s="159">
        <f t="shared" si="10"/>
        <v>647.11</v>
      </c>
      <c r="X87" s="159">
        <f t="shared" si="11"/>
        <v>-5.4569999999999936</v>
      </c>
      <c r="Y87" s="159">
        <f t="shared" ca="1" si="7"/>
        <v>-9.327053436771962</v>
      </c>
      <c r="Z87" s="159">
        <f t="shared" ca="1" si="12"/>
        <v>-14.717576365048943</v>
      </c>
      <c r="AA87" s="161">
        <f t="shared" ca="1" si="13"/>
        <v>-1471.7576365048944</v>
      </c>
    </row>
    <row r="88" spans="5:27" x14ac:dyDescent="0.25">
      <c r="E88" s="142"/>
      <c r="F88" s="142"/>
      <c r="T88" s="165">
        <v>76</v>
      </c>
      <c r="U88" s="159">
        <f t="shared" si="8"/>
        <v>-70.108499999999992</v>
      </c>
      <c r="V88" s="159">
        <f t="shared" si="9"/>
        <v>-581.45850000000007</v>
      </c>
      <c r="W88" s="159">
        <f t="shared" si="10"/>
        <v>646.11</v>
      </c>
      <c r="X88" s="159">
        <f t="shared" si="11"/>
        <v>-5.4569999999999936</v>
      </c>
      <c r="Y88" s="159">
        <f t="shared" ca="1" si="7"/>
        <v>-9.327053436771962</v>
      </c>
      <c r="Z88" s="159">
        <f t="shared" ca="1" si="12"/>
        <v>-14.717576365048943</v>
      </c>
      <c r="AA88" s="161">
        <f t="shared" ca="1" si="13"/>
        <v>-1471.7576365048944</v>
      </c>
    </row>
    <row r="89" spans="5:27" x14ac:dyDescent="0.25">
      <c r="E89" s="142"/>
      <c r="F89" s="142"/>
      <c r="T89" s="165">
        <v>77</v>
      </c>
      <c r="U89" s="159">
        <f t="shared" si="8"/>
        <v>-70.108499999999992</v>
      </c>
      <c r="V89" s="159">
        <f t="shared" si="9"/>
        <v>-580.45850000000007</v>
      </c>
      <c r="W89" s="159">
        <f t="shared" si="10"/>
        <v>645.11</v>
      </c>
      <c r="X89" s="159">
        <f t="shared" si="11"/>
        <v>-5.4569999999999936</v>
      </c>
      <c r="Y89" s="159">
        <f t="shared" ca="1" si="7"/>
        <v>-9.327053436771962</v>
      </c>
      <c r="Z89" s="159">
        <f t="shared" ca="1" si="12"/>
        <v>-14.717576365048943</v>
      </c>
      <c r="AA89" s="161">
        <f t="shared" ca="1" si="13"/>
        <v>-1471.7576365048944</v>
      </c>
    </row>
    <row r="90" spans="5:27" x14ac:dyDescent="0.25">
      <c r="E90" s="142"/>
      <c r="F90" s="142"/>
      <c r="T90" s="165">
        <v>78</v>
      </c>
      <c r="U90" s="159">
        <f t="shared" si="8"/>
        <v>-70.108499999999992</v>
      </c>
      <c r="V90" s="159">
        <f t="shared" si="9"/>
        <v>-579.45850000000007</v>
      </c>
      <c r="W90" s="159">
        <f t="shared" si="10"/>
        <v>644.11</v>
      </c>
      <c r="X90" s="159">
        <f t="shared" si="11"/>
        <v>-5.4569999999999936</v>
      </c>
      <c r="Y90" s="159">
        <f t="shared" ca="1" si="7"/>
        <v>-9.327053436771962</v>
      </c>
      <c r="Z90" s="159">
        <f t="shared" ca="1" si="12"/>
        <v>-14.717576365048943</v>
      </c>
      <c r="AA90" s="161">
        <f t="shared" ca="1" si="13"/>
        <v>-1471.7576365048944</v>
      </c>
    </row>
    <row r="91" spans="5:27" x14ac:dyDescent="0.25">
      <c r="E91" s="142"/>
      <c r="F91" s="142"/>
      <c r="T91" s="165">
        <v>79</v>
      </c>
      <c r="U91" s="159">
        <f t="shared" si="8"/>
        <v>-70.108499999999992</v>
      </c>
      <c r="V91" s="159">
        <f t="shared" si="9"/>
        <v>-578.45850000000007</v>
      </c>
      <c r="W91" s="159">
        <f t="shared" si="10"/>
        <v>643.11</v>
      </c>
      <c r="X91" s="159">
        <f t="shared" si="11"/>
        <v>-5.4569999999999936</v>
      </c>
      <c r="Y91" s="159">
        <f t="shared" ca="1" si="7"/>
        <v>-9.327053436771962</v>
      </c>
      <c r="Z91" s="159">
        <f t="shared" ca="1" si="12"/>
        <v>-14.717576365048943</v>
      </c>
      <c r="AA91" s="161">
        <f t="shared" ca="1" si="13"/>
        <v>-1471.7576365048944</v>
      </c>
    </row>
    <row r="92" spans="5:27" x14ac:dyDescent="0.25">
      <c r="E92" s="142"/>
      <c r="F92" s="142"/>
      <c r="T92" s="165">
        <v>80</v>
      </c>
      <c r="U92" s="159">
        <f t="shared" si="8"/>
        <v>-70.108499999999992</v>
      </c>
      <c r="V92" s="159">
        <f t="shared" si="9"/>
        <v>-577.45850000000007</v>
      </c>
      <c r="W92" s="159">
        <f t="shared" si="10"/>
        <v>642.11</v>
      </c>
      <c r="X92" s="159">
        <f t="shared" si="11"/>
        <v>-5.4569999999999936</v>
      </c>
      <c r="Y92" s="159">
        <f t="shared" ca="1" si="7"/>
        <v>-9.327053436771962</v>
      </c>
      <c r="Z92" s="159">
        <f t="shared" ca="1" si="12"/>
        <v>-14.717576365048943</v>
      </c>
      <c r="AA92" s="161">
        <f t="shared" ca="1" si="13"/>
        <v>-1471.7576365048944</v>
      </c>
    </row>
    <row r="93" spans="5:27" x14ac:dyDescent="0.25">
      <c r="E93" s="142"/>
      <c r="F93" s="142"/>
      <c r="T93" s="165">
        <v>81</v>
      </c>
      <c r="U93" s="159">
        <f t="shared" si="8"/>
        <v>-70.108499999999992</v>
      </c>
      <c r="V93" s="159">
        <f t="shared" si="9"/>
        <v>-576.45850000000007</v>
      </c>
      <c r="W93" s="159">
        <f t="shared" si="10"/>
        <v>641.11</v>
      </c>
      <c r="X93" s="159">
        <f t="shared" si="11"/>
        <v>-5.4569999999999936</v>
      </c>
      <c r="Y93" s="159">
        <f t="shared" ca="1" si="7"/>
        <v>-9.327053436771962</v>
      </c>
      <c r="Z93" s="159">
        <f t="shared" ca="1" si="12"/>
        <v>-14.717576365048943</v>
      </c>
      <c r="AA93" s="161">
        <f t="shared" ca="1" si="13"/>
        <v>-1471.7576365048944</v>
      </c>
    </row>
    <row r="94" spans="5:27" x14ac:dyDescent="0.25">
      <c r="E94" s="142"/>
      <c r="F94" s="142"/>
      <c r="T94" s="165">
        <v>82</v>
      </c>
      <c r="U94" s="159">
        <f t="shared" si="8"/>
        <v>-70.108499999999992</v>
      </c>
      <c r="V94" s="159">
        <f t="shared" si="9"/>
        <v>-575.45850000000007</v>
      </c>
      <c r="W94" s="159">
        <f t="shared" si="10"/>
        <v>640.11</v>
      </c>
      <c r="X94" s="159">
        <f t="shared" si="11"/>
        <v>-5.4569999999999936</v>
      </c>
      <c r="Y94" s="159">
        <f t="shared" ca="1" si="7"/>
        <v>-9.327053436771962</v>
      </c>
      <c r="Z94" s="159">
        <f t="shared" ca="1" si="12"/>
        <v>-14.717576365048943</v>
      </c>
      <c r="AA94" s="161">
        <f t="shared" ca="1" si="13"/>
        <v>-1471.7576365048944</v>
      </c>
    </row>
    <row r="95" spans="5:27" x14ac:dyDescent="0.25">
      <c r="E95" s="142"/>
      <c r="F95" s="142"/>
      <c r="T95" s="165">
        <v>83</v>
      </c>
      <c r="U95" s="159">
        <f t="shared" si="8"/>
        <v>-70.108499999999992</v>
      </c>
      <c r="V95" s="159">
        <f t="shared" si="9"/>
        <v>-574.45850000000007</v>
      </c>
      <c r="W95" s="159">
        <f t="shared" si="10"/>
        <v>639.11</v>
      </c>
      <c r="X95" s="159">
        <f t="shared" si="11"/>
        <v>-5.4569999999999936</v>
      </c>
      <c r="Y95" s="159">
        <f t="shared" ca="1" si="7"/>
        <v>-9.327053436771962</v>
      </c>
      <c r="Z95" s="159">
        <f t="shared" ca="1" si="12"/>
        <v>-14.717576365048943</v>
      </c>
      <c r="AA95" s="161">
        <f t="shared" ca="1" si="13"/>
        <v>-1471.7576365048944</v>
      </c>
    </row>
    <row r="96" spans="5:27" x14ac:dyDescent="0.25">
      <c r="E96" s="142"/>
      <c r="F96" s="142"/>
      <c r="T96" s="165">
        <v>84</v>
      </c>
      <c r="U96" s="159">
        <f t="shared" si="8"/>
        <v>-70.108499999999992</v>
      </c>
      <c r="V96" s="159">
        <f t="shared" si="9"/>
        <v>-573.45850000000007</v>
      </c>
      <c r="W96" s="159">
        <f t="shared" si="10"/>
        <v>638.11</v>
      </c>
      <c r="X96" s="159">
        <f t="shared" si="11"/>
        <v>-5.4569999999999936</v>
      </c>
      <c r="Y96" s="159">
        <f t="shared" ca="1" si="7"/>
        <v>-9.327053436771962</v>
      </c>
      <c r="Z96" s="159">
        <f t="shared" ca="1" si="12"/>
        <v>-14.717576365048943</v>
      </c>
      <c r="AA96" s="161">
        <f t="shared" ca="1" si="13"/>
        <v>-1471.7576365048944</v>
      </c>
    </row>
    <row r="97" spans="5:27" x14ac:dyDescent="0.25">
      <c r="E97" s="142"/>
      <c r="F97" s="142"/>
      <c r="T97" s="165">
        <v>85</v>
      </c>
      <c r="U97" s="159">
        <f t="shared" si="8"/>
        <v>-70.108499999999992</v>
      </c>
      <c r="V97" s="159">
        <f t="shared" si="9"/>
        <v>-572.45850000000007</v>
      </c>
      <c r="W97" s="159">
        <f t="shared" si="10"/>
        <v>637.11</v>
      </c>
      <c r="X97" s="159">
        <f t="shared" si="11"/>
        <v>-5.4569999999999936</v>
      </c>
      <c r="Y97" s="159">
        <f t="shared" ca="1" si="7"/>
        <v>-9.327053436771962</v>
      </c>
      <c r="Z97" s="159">
        <f t="shared" ca="1" si="12"/>
        <v>-14.717576365048943</v>
      </c>
      <c r="AA97" s="161">
        <f t="shared" ca="1" si="13"/>
        <v>-1471.7576365048944</v>
      </c>
    </row>
    <row r="98" spans="5:27" x14ac:dyDescent="0.25">
      <c r="E98" s="142"/>
      <c r="F98" s="142"/>
      <c r="T98" s="165">
        <v>86</v>
      </c>
      <c r="U98" s="159">
        <f t="shared" si="8"/>
        <v>-70.108499999999992</v>
      </c>
      <c r="V98" s="159">
        <f t="shared" si="9"/>
        <v>-571.45850000000007</v>
      </c>
      <c r="W98" s="159">
        <f t="shared" si="10"/>
        <v>636.11</v>
      </c>
      <c r="X98" s="159">
        <f t="shared" si="11"/>
        <v>-5.4569999999999936</v>
      </c>
      <c r="Y98" s="159">
        <f t="shared" ca="1" si="7"/>
        <v>-9.327053436771962</v>
      </c>
      <c r="Z98" s="159">
        <f t="shared" ca="1" si="12"/>
        <v>-14.717576365048943</v>
      </c>
      <c r="AA98" s="161">
        <f t="shared" ca="1" si="13"/>
        <v>-1471.7576365048944</v>
      </c>
    </row>
    <row r="99" spans="5:27" x14ac:dyDescent="0.25">
      <c r="E99" s="142"/>
      <c r="F99" s="142"/>
      <c r="T99" s="165">
        <v>87</v>
      </c>
      <c r="U99" s="159">
        <f t="shared" si="8"/>
        <v>-70.108499999999992</v>
      </c>
      <c r="V99" s="159">
        <f t="shared" si="9"/>
        <v>-570.45850000000007</v>
      </c>
      <c r="W99" s="159">
        <f t="shared" si="10"/>
        <v>635.11</v>
      </c>
      <c r="X99" s="159">
        <f t="shared" si="11"/>
        <v>-5.4569999999999936</v>
      </c>
      <c r="Y99" s="159">
        <f t="shared" ca="1" si="7"/>
        <v>-9.327053436771962</v>
      </c>
      <c r="Z99" s="159">
        <f t="shared" ca="1" si="12"/>
        <v>-14.717576365048943</v>
      </c>
      <c r="AA99" s="161">
        <f t="shared" ca="1" si="13"/>
        <v>-1471.7576365048944</v>
      </c>
    </row>
    <row r="100" spans="5:27" x14ac:dyDescent="0.25">
      <c r="E100" s="142"/>
      <c r="F100" s="142"/>
      <c r="T100" s="165">
        <v>88</v>
      </c>
      <c r="U100" s="159">
        <f t="shared" si="8"/>
        <v>-70.108499999999992</v>
      </c>
      <c r="V100" s="159">
        <f t="shared" si="9"/>
        <v>-569.45850000000007</v>
      </c>
      <c r="W100" s="159">
        <f t="shared" si="10"/>
        <v>634.11</v>
      </c>
      <c r="X100" s="159">
        <f t="shared" si="11"/>
        <v>-5.4569999999999936</v>
      </c>
      <c r="Y100" s="159">
        <f t="shared" ca="1" si="7"/>
        <v>-9.327053436771962</v>
      </c>
      <c r="Z100" s="159">
        <f t="shared" ca="1" si="12"/>
        <v>-14.717576365048943</v>
      </c>
      <c r="AA100" s="161">
        <f t="shared" ca="1" si="13"/>
        <v>-1471.7576365048944</v>
      </c>
    </row>
    <row r="101" spans="5:27" x14ac:dyDescent="0.25">
      <c r="E101" s="142"/>
      <c r="F101" s="142"/>
      <c r="T101" s="165">
        <v>89</v>
      </c>
      <c r="U101" s="159">
        <f t="shared" si="8"/>
        <v>-70.108499999999992</v>
      </c>
      <c r="V101" s="159">
        <f t="shared" si="9"/>
        <v>-568.45850000000007</v>
      </c>
      <c r="W101" s="159">
        <f t="shared" si="10"/>
        <v>633.11</v>
      </c>
      <c r="X101" s="159">
        <f t="shared" si="11"/>
        <v>-5.4569999999999936</v>
      </c>
      <c r="Y101" s="159">
        <f t="shared" ca="1" si="7"/>
        <v>-9.327053436771962</v>
      </c>
      <c r="Z101" s="159">
        <f t="shared" ca="1" si="12"/>
        <v>-14.717576365048943</v>
      </c>
      <c r="AA101" s="161">
        <f t="shared" ca="1" si="13"/>
        <v>-1471.7576365048944</v>
      </c>
    </row>
    <row r="102" spans="5:27" x14ac:dyDescent="0.25">
      <c r="E102" s="142"/>
      <c r="F102" s="142"/>
      <c r="T102" s="165">
        <v>90</v>
      </c>
      <c r="U102" s="159">
        <f t="shared" si="8"/>
        <v>-70.108499999999992</v>
      </c>
      <c r="V102" s="159">
        <f t="shared" si="9"/>
        <v>-567.45850000000007</v>
      </c>
      <c r="W102" s="159">
        <f t="shared" si="10"/>
        <v>632.11</v>
      </c>
      <c r="X102" s="159">
        <f t="shared" si="11"/>
        <v>-5.4569999999999936</v>
      </c>
      <c r="Y102" s="159">
        <f t="shared" ca="1" si="7"/>
        <v>-9.327053436771962</v>
      </c>
      <c r="Z102" s="159">
        <f t="shared" ca="1" si="12"/>
        <v>-14.717576365048943</v>
      </c>
      <c r="AA102" s="161">
        <f t="shared" ca="1" si="13"/>
        <v>-1471.7576365048944</v>
      </c>
    </row>
    <row r="103" spans="5:27" x14ac:dyDescent="0.25">
      <c r="E103" s="142"/>
      <c r="F103" s="142"/>
      <c r="T103" s="165">
        <v>91</v>
      </c>
      <c r="U103" s="159">
        <f t="shared" si="8"/>
        <v>-70.108499999999992</v>
      </c>
      <c r="V103" s="159">
        <f t="shared" si="9"/>
        <v>-566.45850000000007</v>
      </c>
      <c r="W103" s="159">
        <f t="shared" si="10"/>
        <v>631.11</v>
      </c>
      <c r="X103" s="159">
        <f t="shared" si="11"/>
        <v>-5.4569999999999936</v>
      </c>
      <c r="Y103" s="159">
        <f t="shared" ca="1" si="7"/>
        <v>-9.327053436771962</v>
      </c>
      <c r="Z103" s="159">
        <f t="shared" ca="1" si="12"/>
        <v>-14.717576365048943</v>
      </c>
      <c r="AA103" s="161">
        <f t="shared" ca="1" si="13"/>
        <v>-1471.7576365048944</v>
      </c>
    </row>
    <row r="104" spans="5:27" x14ac:dyDescent="0.25">
      <c r="E104" s="142"/>
      <c r="F104" s="142"/>
      <c r="T104" s="165">
        <v>92</v>
      </c>
      <c r="U104" s="159">
        <f t="shared" si="8"/>
        <v>-70.108499999999992</v>
      </c>
      <c r="V104" s="159">
        <f t="shared" si="9"/>
        <v>-565.45850000000007</v>
      </c>
      <c r="W104" s="159">
        <f t="shared" si="10"/>
        <v>630.11</v>
      </c>
      <c r="X104" s="159">
        <f t="shared" si="11"/>
        <v>-5.4569999999999936</v>
      </c>
      <c r="Y104" s="159">
        <f t="shared" ca="1" si="7"/>
        <v>-9.327053436771962</v>
      </c>
      <c r="Z104" s="159">
        <f t="shared" ca="1" si="12"/>
        <v>-14.717576365048943</v>
      </c>
      <c r="AA104" s="161">
        <f t="shared" ca="1" si="13"/>
        <v>-1471.7576365048944</v>
      </c>
    </row>
    <row r="105" spans="5:27" x14ac:dyDescent="0.25">
      <c r="E105" s="142"/>
      <c r="F105" s="142"/>
      <c r="T105" s="165">
        <v>93</v>
      </c>
      <c r="U105" s="159">
        <f t="shared" si="8"/>
        <v>-70.108499999999992</v>
      </c>
      <c r="V105" s="159">
        <f t="shared" si="9"/>
        <v>-564.45850000000007</v>
      </c>
      <c r="W105" s="159">
        <f t="shared" si="10"/>
        <v>629.11</v>
      </c>
      <c r="X105" s="159">
        <f t="shared" si="11"/>
        <v>-5.4569999999999936</v>
      </c>
      <c r="Y105" s="159">
        <f t="shared" ca="1" si="7"/>
        <v>-9.327053436771962</v>
      </c>
      <c r="Z105" s="159">
        <f t="shared" ca="1" si="12"/>
        <v>-14.717576365048943</v>
      </c>
      <c r="AA105" s="161">
        <f t="shared" ca="1" si="13"/>
        <v>-1471.7576365048944</v>
      </c>
    </row>
    <row r="106" spans="5:27" x14ac:dyDescent="0.25">
      <c r="E106" s="142"/>
      <c r="F106" s="142"/>
      <c r="T106" s="165">
        <v>94</v>
      </c>
      <c r="U106" s="159">
        <f t="shared" si="8"/>
        <v>-70.108499999999992</v>
      </c>
      <c r="V106" s="159">
        <f t="shared" si="9"/>
        <v>-563.45850000000007</v>
      </c>
      <c r="W106" s="159">
        <f t="shared" si="10"/>
        <v>628.11</v>
      </c>
      <c r="X106" s="159">
        <f t="shared" si="11"/>
        <v>-5.4569999999999936</v>
      </c>
      <c r="Y106" s="159">
        <f t="shared" ca="1" si="7"/>
        <v>-9.327053436771962</v>
      </c>
      <c r="Z106" s="159">
        <f t="shared" ca="1" si="12"/>
        <v>-14.717576365048943</v>
      </c>
      <c r="AA106" s="161">
        <f t="shared" ca="1" si="13"/>
        <v>-1471.7576365048944</v>
      </c>
    </row>
    <row r="107" spans="5:27" x14ac:dyDescent="0.25">
      <c r="E107" s="142"/>
      <c r="F107" s="142"/>
      <c r="T107" s="165">
        <v>95</v>
      </c>
      <c r="U107" s="159">
        <f t="shared" si="8"/>
        <v>-70.108499999999992</v>
      </c>
      <c r="V107" s="159">
        <f t="shared" si="9"/>
        <v>-562.45850000000007</v>
      </c>
      <c r="W107" s="159">
        <f t="shared" si="10"/>
        <v>627.11</v>
      </c>
      <c r="X107" s="159">
        <f t="shared" si="11"/>
        <v>-5.4569999999999936</v>
      </c>
      <c r="Y107" s="159">
        <f t="shared" ca="1" si="7"/>
        <v>-9.327053436771962</v>
      </c>
      <c r="Z107" s="159">
        <f t="shared" ca="1" si="12"/>
        <v>-14.717576365048943</v>
      </c>
      <c r="AA107" s="161">
        <f t="shared" ca="1" si="13"/>
        <v>-1471.7576365048944</v>
      </c>
    </row>
    <row r="108" spans="5:27" x14ac:dyDescent="0.25">
      <c r="E108" s="142"/>
      <c r="F108" s="142"/>
      <c r="T108" s="165">
        <v>96</v>
      </c>
      <c r="U108" s="159">
        <f t="shared" si="8"/>
        <v>-70.108499999999992</v>
      </c>
      <c r="V108" s="159">
        <f t="shared" si="9"/>
        <v>-561.45850000000007</v>
      </c>
      <c r="W108" s="159">
        <f t="shared" si="10"/>
        <v>626.11</v>
      </c>
      <c r="X108" s="159">
        <f t="shared" si="11"/>
        <v>-5.4569999999999936</v>
      </c>
      <c r="Y108" s="159">
        <f t="shared" ca="1" si="7"/>
        <v>-9.327053436771962</v>
      </c>
      <c r="Z108" s="159">
        <f t="shared" ca="1" si="12"/>
        <v>-14.717576365048943</v>
      </c>
      <c r="AA108" s="161">
        <f t="shared" ca="1" si="13"/>
        <v>-1471.7576365048944</v>
      </c>
    </row>
    <row r="109" spans="5:27" x14ac:dyDescent="0.25">
      <c r="E109" s="142"/>
      <c r="F109" s="142"/>
      <c r="T109" s="165">
        <v>97</v>
      </c>
      <c r="U109" s="159">
        <f t="shared" si="8"/>
        <v>-70.108499999999992</v>
      </c>
      <c r="V109" s="159">
        <f t="shared" si="9"/>
        <v>-560.45850000000007</v>
      </c>
      <c r="W109" s="159">
        <f t="shared" si="10"/>
        <v>625.11</v>
      </c>
      <c r="X109" s="159">
        <f t="shared" si="11"/>
        <v>-5.4569999999999936</v>
      </c>
      <c r="Y109" s="159">
        <f t="shared" ca="1" si="7"/>
        <v>-9.327053436771962</v>
      </c>
      <c r="Z109" s="159">
        <f t="shared" ca="1" si="12"/>
        <v>-14.717576365048943</v>
      </c>
      <c r="AA109" s="161">
        <f t="shared" ca="1" si="13"/>
        <v>-1471.7576365048944</v>
      </c>
    </row>
    <row r="110" spans="5:27" x14ac:dyDescent="0.25">
      <c r="E110" s="142"/>
      <c r="F110" s="142"/>
      <c r="T110" s="165">
        <v>98</v>
      </c>
      <c r="U110" s="159">
        <f t="shared" si="8"/>
        <v>-70.108499999999992</v>
      </c>
      <c r="V110" s="159">
        <f t="shared" si="9"/>
        <v>-559.45850000000007</v>
      </c>
      <c r="W110" s="159">
        <f t="shared" si="10"/>
        <v>624.11</v>
      </c>
      <c r="X110" s="159">
        <f t="shared" si="11"/>
        <v>-5.4569999999999936</v>
      </c>
      <c r="Y110" s="159">
        <f t="shared" ca="1" si="7"/>
        <v>-9.327053436771962</v>
      </c>
      <c r="Z110" s="159">
        <f t="shared" ca="1" si="12"/>
        <v>-14.717576365048943</v>
      </c>
      <c r="AA110" s="161">
        <f t="shared" ca="1" si="13"/>
        <v>-1471.7576365048944</v>
      </c>
    </row>
    <row r="111" spans="5:27" x14ac:dyDescent="0.25">
      <c r="E111" s="142"/>
      <c r="F111" s="142"/>
      <c r="T111" s="165">
        <v>99</v>
      </c>
      <c r="U111" s="159">
        <f t="shared" si="8"/>
        <v>-70.108499999999992</v>
      </c>
      <c r="V111" s="159">
        <f t="shared" si="9"/>
        <v>-558.45850000000007</v>
      </c>
      <c r="W111" s="159">
        <f t="shared" si="10"/>
        <v>623.11</v>
      </c>
      <c r="X111" s="159">
        <f t="shared" si="11"/>
        <v>-5.4569999999999936</v>
      </c>
      <c r="Y111" s="159">
        <f t="shared" ca="1" si="7"/>
        <v>-9.327053436771962</v>
      </c>
      <c r="Z111" s="159">
        <f t="shared" ca="1" si="12"/>
        <v>-14.717576365048943</v>
      </c>
      <c r="AA111" s="161">
        <f t="shared" ca="1" si="13"/>
        <v>-1471.7576365048944</v>
      </c>
    </row>
    <row r="112" spans="5:27" x14ac:dyDescent="0.25">
      <c r="E112" s="142"/>
      <c r="F112" s="142"/>
      <c r="T112" s="165">
        <v>100</v>
      </c>
      <c r="U112" s="159">
        <f t="shared" si="8"/>
        <v>-70.108499999999992</v>
      </c>
      <c r="V112" s="159">
        <f t="shared" si="9"/>
        <v>-557.45850000000007</v>
      </c>
      <c r="W112" s="159">
        <f t="shared" si="10"/>
        <v>622.11</v>
      </c>
      <c r="X112" s="159">
        <f t="shared" si="11"/>
        <v>-5.4569999999999936</v>
      </c>
      <c r="Y112" s="159">
        <f t="shared" ca="1" si="7"/>
        <v>-9.327053436771962</v>
      </c>
      <c r="Z112" s="159">
        <f t="shared" ca="1" si="12"/>
        <v>-14.717576365048943</v>
      </c>
      <c r="AA112" s="161">
        <f t="shared" ca="1" si="13"/>
        <v>-1471.7576365048944</v>
      </c>
    </row>
    <row r="113" spans="5:27" x14ac:dyDescent="0.25">
      <c r="E113" s="142"/>
      <c r="F113" s="142"/>
      <c r="T113" s="165">
        <v>101</v>
      </c>
      <c r="U113" s="159">
        <f t="shared" si="8"/>
        <v>-70.108499999999992</v>
      </c>
      <c r="V113" s="159">
        <f t="shared" si="9"/>
        <v>-556.45850000000007</v>
      </c>
      <c r="W113" s="159">
        <f t="shared" si="10"/>
        <v>621.11</v>
      </c>
      <c r="X113" s="159">
        <f t="shared" si="11"/>
        <v>-5.4569999999999936</v>
      </c>
      <c r="Y113" s="159">
        <f t="shared" ca="1" si="7"/>
        <v>-9.327053436771962</v>
      </c>
      <c r="Z113" s="159">
        <f t="shared" ca="1" si="12"/>
        <v>-14.717576365048943</v>
      </c>
      <c r="AA113" s="161">
        <f t="shared" ca="1" si="13"/>
        <v>-1471.7576365048944</v>
      </c>
    </row>
    <row r="114" spans="5:27" x14ac:dyDescent="0.25">
      <c r="E114" s="142"/>
      <c r="F114" s="142"/>
      <c r="T114" s="165">
        <v>102</v>
      </c>
      <c r="U114" s="159">
        <f t="shared" si="8"/>
        <v>-70.108499999999992</v>
      </c>
      <c r="V114" s="159">
        <f t="shared" si="9"/>
        <v>-555.45850000000007</v>
      </c>
      <c r="W114" s="159">
        <f t="shared" si="10"/>
        <v>620.11</v>
      </c>
      <c r="X114" s="159">
        <f t="shared" si="11"/>
        <v>-5.4569999999999936</v>
      </c>
      <c r="Y114" s="159">
        <f t="shared" ca="1" si="7"/>
        <v>-9.327053436771962</v>
      </c>
      <c r="Z114" s="159">
        <f t="shared" ca="1" si="12"/>
        <v>-14.717576365048943</v>
      </c>
      <c r="AA114" s="161">
        <f t="shared" ca="1" si="13"/>
        <v>-1471.7576365048944</v>
      </c>
    </row>
    <row r="115" spans="5:27" x14ac:dyDescent="0.25">
      <c r="E115" s="142"/>
      <c r="F115" s="142"/>
      <c r="T115" s="165">
        <v>103</v>
      </c>
      <c r="U115" s="159">
        <f t="shared" si="8"/>
        <v>-70.108499999999992</v>
      </c>
      <c r="V115" s="159">
        <f t="shared" si="9"/>
        <v>-554.45850000000007</v>
      </c>
      <c r="W115" s="159">
        <f t="shared" si="10"/>
        <v>619.11</v>
      </c>
      <c r="X115" s="159">
        <f t="shared" si="11"/>
        <v>-5.4569999999999936</v>
      </c>
      <c r="Y115" s="159">
        <f t="shared" ca="1" si="7"/>
        <v>-9.327053436771962</v>
      </c>
      <c r="Z115" s="159">
        <f t="shared" ca="1" si="12"/>
        <v>-14.717576365048943</v>
      </c>
      <c r="AA115" s="161">
        <f t="shared" ca="1" si="13"/>
        <v>-1471.7576365048944</v>
      </c>
    </row>
    <row r="116" spans="5:27" x14ac:dyDescent="0.25">
      <c r="E116" s="142"/>
      <c r="F116" s="142"/>
      <c r="T116" s="165">
        <v>104</v>
      </c>
      <c r="U116" s="159">
        <f t="shared" si="8"/>
        <v>-70.108499999999992</v>
      </c>
      <c r="V116" s="159">
        <f t="shared" si="9"/>
        <v>-553.45850000000007</v>
      </c>
      <c r="W116" s="159">
        <f t="shared" si="10"/>
        <v>618.11</v>
      </c>
      <c r="X116" s="159">
        <f t="shared" si="11"/>
        <v>-5.4569999999999936</v>
      </c>
      <c r="Y116" s="159">
        <f t="shared" ca="1" si="7"/>
        <v>-9.327053436771962</v>
      </c>
      <c r="Z116" s="159">
        <f t="shared" ca="1" si="12"/>
        <v>-14.717576365048943</v>
      </c>
      <c r="AA116" s="161">
        <f t="shared" ca="1" si="13"/>
        <v>-1471.7576365048944</v>
      </c>
    </row>
    <row r="117" spans="5:27" x14ac:dyDescent="0.25">
      <c r="E117" s="142"/>
      <c r="F117" s="142"/>
      <c r="T117" s="165">
        <v>105</v>
      </c>
      <c r="U117" s="159">
        <f t="shared" si="8"/>
        <v>-70.108499999999992</v>
      </c>
      <c r="V117" s="159">
        <f t="shared" si="9"/>
        <v>-552.45850000000007</v>
      </c>
      <c r="W117" s="159">
        <f t="shared" si="10"/>
        <v>617.11</v>
      </c>
      <c r="X117" s="159">
        <f t="shared" si="11"/>
        <v>-5.4569999999999936</v>
      </c>
      <c r="Y117" s="159">
        <f t="shared" ca="1" si="7"/>
        <v>-9.327053436771962</v>
      </c>
      <c r="Z117" s="159">
        <f t="shared" ca="1" si="12"/>
        <v>-14.717576365048943</v>
      </c>
      <c r="AA117" s="161">
        <f t="shared" ca="1" si="13"/>
        <v>-1471.7576365048944</v>
      </c>
    </row>
    <row r="118" spans="5:27" x14ac:dyDescent="0.25">
      <c r="E118" s="142"/>
      <c r="F118" s="142"/>
      <c r="T118" s="165">
        <v>106</v>
      </c>
      <c r="U118" s="159">
        <f t="shared" si="8"/>
        <v>-70.108499999999992</v>
      </c>
      <c r="V118" s="159">
        <f t="shared" si="9"/>
        <v>-551.45850000000007</v>
      </c>
      <c r="W118" s="159">
        <f t="shared" si="10"/>
        <v>616.11</v>
      </c>
      <c r="X118" s="159">
        <f t="shared" si="11"/>
        <v>-5.4569999999999936</v>
      </c>
      <c r="Y118" s="159">
        <f t="shared" ca="1" si="7"/>
        <v>-9.327053436771962</v>
      </c>
      <c r="Z118" s="159">
        <f t="shared" ca="1" si="12"/>
        <v>-14.717576365048943</v>
      </c>
      <c r="AA118" s="161">
        <f t="shared" ca="1" si="13"/>
        <v>-1471.7576365048944</v>
      </c>
    </row>
    <row r="119" spans="5:27" x14ac:dyDescent="0.25">
      <c r="E119" s="142"/>
      <c r="F119" s="142"/>
      <c r="T119" s="165">
        <v>107</v>
      </c>
      <c r="U119" s="159">
        <f t="shared" si="8"/>
        <v>-70.108499999999992</v>
      </c>
      <c r="V119" s="159">
        <f t="shared" si="9"/>
        <v>-550.45850000000007</v>
      </c>
      <c r="W119" s="159">
        <f t="shared" si="10"/>
        <v>615.11</v>
      </c>
      <c r="X119" s="159">
        <f t="shared" si="11"/>
        <v>-5.4569999999999936</v>
      </c>
      <c r="Y119" s="159">
        <f t="shared" ca="1" si="7"/>
        <v>-9.327053436771962</v>
      </c>
      <c r="Z119" s="159">
        <f t="shared" ca="1" si="12"/>
        <v>-14.717576365048943</v>
      </c>
      <c r="AA119" s="161">
        <f t="shared" ca="1" si="13"/>
        <v>-1471.7576365048944</v>
      </c>
    </row>
    <row r="120" spans="5:27" x14ac:dyDescent="0.25">
      <c r="E120" s="142"/>
      <c r="F120" s="142"/>
      <c r="T120" s="165">
        <v>108</v>
      </c>
      <c r="U120" s="159">
        <f t="shared" si="8"/>
        <v>-70.108499999999992</v>
      </c>
      <c r="V120" s="159">
        <f t="shared" si="9"/>
        <v>-549.45850000000007</v>
      </c>
      <c r="W120" s="159">
        <f t="shared" si="10"/>
        <v>614.11</v>
      </c>
      <c r="X120" s="159">
        <f t="shared" si="11"/>
        <v>-5.4569999999999936</v>
      </c>
      <c r="Y120" s="159">
        <f t="shared" ca="1" si="7"/>
        <v>-9.327053436771962</v>
      </c>
      <c r="Z120" s="159">
        <f t="shared" ca="1" si="12"/>
        <v>-14.717576365048943</v>
      </c>
      <c r="AA120" s="161">
        <f t="shared" ca="1" si="13"/>
        <v>-1471.7576365048944</v>
      </c>
    </row>
    <row r="121" spans="5:27" x14ac:dyDescent="0.25">
      <c r="E121" s="142"/>
      <c r="F121" s="142"/>
      <c r="T121" s="165">
        <v>109</v>
      </c>
      <c r="U121" s="159">
        <f t="shared" si="8"/>
        <v>-70.108499999999992</v>
      </c>
      <c r="V121" s="159">
        <f t="shared" si="9"/>
        <v>-548.45850000000007</v>
      </c>
      <c r="W121" s="159">
        <f t="shared" si="10"/>
        <v>613.11</v>
      </c>
      <c r="X121" s="159">
        <f t="shared" si="11"/>
        <v>-5.4569999999999936</v>
      </c>
      <c r="Y121" s="159">
        <f t="shared" ca="1" si="7"/>
        <v>-9.327053436771962</v>
      </c>
      <c r="Z121" s="159">
        <f t="shared" ca="1" si="12"/>
        <v>-14.717576365048943</v>
      </c>
      <c r="AA121" s="161">
        <f t="shared" ca="1" si="13"/>
        <v>-1471.7576365048944</v>
      </c>
    </row>
    <row r="122" spans="5:27" x14ac:dyDescent="0.25">
      <c r="E122" s="142"/>
      <c r="F122" s="142"/>
      <c r="T122" s="165">
        <v>110</v>
      </c>
      <c r="U122" s="159">
        <f t="shared" si="8"/>
        <v>-70.108499999999992</v>
      </c>
      <c r="V122" s="159">
        <f t="shared" si="9"/>
        <v>-547.45850000000007</v>
      </c>
      <c r="W122" s="159">
        <f t="shared" si="10"/>
        <v>612.11</v>
      </c>
      <c r="X122" s="159">
        <f t="shared" si="11"/>
        <v>-5.4569999999999936</v>
      </c>
      <c r="Y122" s="159">
        <f t="shared" ca="1" si="7"/>
        <v>-9.327053436771962</v>
      </c>
      <c r="Z122" s="159">
        <f t="shared" ca="1" si="12"/>
        <v>-14.717576365048943</v>
      </c>
      <c r="AA122" s="161">
        <f t="shared" ca="1" si="13"/>
        <v>-1471.7576365048944</v>
      </c>
    </row>
    <row r="123" spans="5:27" x14ac:dyDescent="0.25">
      <c r="E123" s="142"/>
      <c r="F123" s="142"/>
      <c r="T123" s="165">
        <v>111</v>
      </c>
      <c r="U123" s="159">
        <f t="shared" si="8"/>
        <v>-70.108499999999992</v>
      </c>
      <c r="V123" s="159">
        <f t="shared" si="9"/>
        <v>-546.45850000000007</v>
      </c>
      <c r="W123" s="159">
        <f t="shared" si="10"/>
        <v>611.11</v>
      </c>
      <c r="X123" s="159">
        <f t="shared" si="11"/>
        <v>-5.4569999999999936</v>
      </c>
      <c r="Y123" s="159">
        <f t="shared" ca="1" si="7"/>
        <v>-9.327053436771962</v>
      </c>
      <c r="Z123" s="159">
        <f t="shared" ca="1" si="12"/>
        <v>-14.717576365048943</v>
      </c>
      <c r="AA123" s="161">
        <f t="shared" ca="1" si="13"/>
        <v>-1471.7576365048944</v>
      </c>
    </row>
    <row r="124" spans="5:27" x14ac:dyDescent="0.25">
      <c r="E124" s="142"/>
      <c r="F124" s="142"/>
      <c r="T124" s="165">
        <v>112</v>
      </c>
      <c r="U124" s="159">
        <f t="shared" si="8"/>
        <v>-70.108499999999992</v>
      </c>
      <c r="V124" s="159">
        <f t="shared" si="9"/>
        <v>-545.45850000000007</v>
      </c>
      <c r="W124" s="159">
        <f t="shared" si="10"/>
        <v>610.11</v>
      </c>
      <c r="X124" s="159">
        <f t="shared" si="11"/>
        <v>-5.4569999999999936</v>
      </c>
      <c r="Y124" s="159">
        <f t="shared" ca="1" si="7"/>
        <v>-9.327053436771962</v>
      </c>
      <c r="Z124" s="159">
        <f t="shared" ca="1" si="12"/>
        <v>-14.717576365048943</v>
      </c>
      <c r="AA124" s="161">
        <f t="shared" ca="1" si="13"/>
        <v>-1471.7576365048944</v>
      </c>
    </row>
    <row r="125" spans="5:27" x14ac:dyDescent="0.25">
      <c r="E125" s="142"/>
      <c r="F125" s="142"/>
      <c r="T125" s="165">
        <v>113</v>
      </c>
      <c r="U125" s="159">
        <f t="shared" si="8"/>
        <v>-70.108499999999992</v>
      </c>
      <c r="V125" s="159">
        <f t="shared" si="9"/>
        <v>-544.45850000000007</v>
      </c>
      <c r="W125" s="159">
        <f t="shared" si="10"/>
        <v>609.11</v>
      </c>
      <c r="X125" s="159">
        <f t="shared" si="11"/>
        <v>-5.4569999999999936</v>
      </c>
      <c r="Y125" s="159">
        <f t="shared" ca="1" si="7"/>
        <v>-9.327053436771962</v>
      </c>
      <c r="Z125" s="159">
        <f t="shared" ca="1" si="12"/>
        <v>-14.717576365048943</v>
      </c>
      <c r="AA125" s="161">
        <f t="shared" ca="1" si="13"/>
        <v>-1471.7576365048944</v>
      </c>
    </row>
    <row r="126" spans="5:27" x14ac:dyDescent="0.25">
      <c r="E126" s="142"/>
      <c r="F126" s="142"/>
      <c r="T126" s="165">
        <v>114</v>
      </c>
      <c r="U126" s="159">
        <f t="shared" si="8"/>
        <v>-70.108499999999992</v>
      </c>
      <c r="V126" s="159">
        <f t="shared" si="9"/>
        <v>-543.45850000000007</v>
      </c>
      <c r="W126" s="159">
        <f t="shared" si="10"/>
        <v>608.11</v>
      </c>
      <c r="X126" s="159">
        <f t="shared" si="11"/>
        <v>-5.4569999999999936</v>
      </c>
      <c r="Y126" s="159">
        <f t="shared" ca="1" si="7"/>
        <v>-9.327053436771962</v>
      </c>
      <c r="Z126" s="159">
        <f t="shared" ca="1" si="12"/>
        <v>-14.717576365048943</v>
      </c>
      <c r="AA126" s="161">
        <f t="shared" ca="1" si="13"/>
        <v>-1471.7576365048944</v>
      </c>
    </row>
    <row r="127" spans="5:27" x14ac:dyDescent="0.25">
      <c r="E127" s="142"/>
      <c r="F127" s="142"/>
      <c r="T127" s="165">
        <v>115</v>
      </c>
      <c r="U127" s="159">
        <f t="shared" si="8"/>
        <v>-70.108499999999992</v>
      </c>
      <c r="V127" s="159">
        <f t="shared" si="9"/>
        <v>-542.45850000000007</v>
      </c>
      <c r="W127" s="159">
        <f t="shared" si="10"/>
        <v>607.11</v>
      </c>
      <c r="X127" s="159">
        <f t="shared" si="11"/>
        <v>-5.4569999999999936</v>
      </c>
      <c r="Y127" s="159">
        <f t="shared" ca="1" si="7"/>
        <v>-9.327053436771962</v>
      </c>
      <c r="Z127" s="159">
        <f t="shared" ca="1" si="12"/>
        <v>-14.717576365048943</v>
      </c>
      <c r="AA127" s="161">
        <f t="shared" ca="1" si="13"/>
        <v>-1471.7576365048944</v>
      </c>
    </row>
    <row r="128" spans="5:27" x14ac:dyDescent="0.25">
      <c r="E128" s="142"/>
      <c r="F128" s="142"/>
      <c r="T128" s="165">
        <v>116</v>
      </c>
      <c r="U128" s="159">
        <f t="shared" si="8"/>
        <v>-70.108499999999992</v>
      </c>
      <c r="V128" s="159">
        <f t="shared" si="9"/>
        <v>-541.45850000000007</v>
      </c>
      <c r="W128" s="159">
        <f t="shared" si="10"/>
        <v>606.11</v>
      </c>
      <c r="X128" s="159">
        <f t="shared" si="11"/>
        <v>-5.4569999999999936</v>
      </c>
      <c r="Y128" s="159">
        <f t="shared" ca="1" si="7"/>
        <v>-9.327053436771962</v>
      </c>
      <c r="Z128" s="159">
        <f t="shared" ca="1" si="12"/>
        <v>-14.717576365048943</v>
      </c>
      <c r="AA128" s="161">
        <f t="shared" ca="1" si="13"/>
        <v>-1471.7576365048944</v>
      </c>
    </row>
    <row r="129" spans="5:27" x14ac:dyDescent="0.25">
      <c r="E129" s="142"/>
      <c r="F129" s="142"/>
      <c r="T129" s="165">
        <v>117</v>
      </c>
      <c r="U129" s="159">
        <f t="shared" si="8"/>
        <v>-70.108499999999992</v>
      </c>
      <c r="V129" s="159">
        <f t="shared" si="9"/>
        <v>-540.45850000000007</v>
      </c>
      <c r="W129" s="159">
        <f t="shared" si="10"/>
        <v>605.11</v>
      </c>
      <c r="X129" s="159">
        <f t="shared" si="11"/>
        <v>-5.4569999999999936</v>
      </c>
      <c r="Y129" s="159">
        <f t="shared" ca="1" si="7"/>
        <v>-9.327053436771962</v>
      </c>
      <c r="Z129" s="159">
        <f t="shared" ca="1" si="12"/>
        <v>-14.717576365048943</v>
      </c>
      <c r="AA129" s="161">
        <f t="shared" ca="1" si="13"/>
        <v>-1471.7576365048944</v>
      </c>
    </row>
    <row r="130" spans="5:27" x14ac:dyDescent="0.25">
      <c r="E130" s="142"/>
      <c r="F130" s="142"/>
      <c r="T130" s="165">
        <v>118</v>
      </c>
      <c r="U130" s="159">
        <f t="shared" si="8"/>
        <v>-70.108499999999992</v>
      </c>
      <c r="V130" s="159">
        <f t="shared" si="9"/>
        <v>-539.45850000000007</v>
      </c>
      <c r="W130" s="159">
        <f t="shared" si="10"/>
        <v>604.11</v>
      </c>
      <c r="X130" s="159">
        <f t="shared" si="11"/>
        <v>-5.4569999999999936</v>
      </c>
      <c r="Y130" s="159">
        <f t="shared" ca="1" si="7"/>
        <v>-9.327053436771962</v>
      </c>
      <c r="Z130" s="159">
        <f t="shared" ca="1" si="12"/>
        <v>-14.717576365048943</v>
      </c>
      <c r="AA130" s="161">
        <f t="shared" ca="1" si="13"/>
        <v>-1471.7576365048944</v>
      </c>
    </row>
    <row r="131" spans="5:27" x14ac:dyDescent="0.25">
      <c r="E131" s="142"/>
      <c r="F131" s="142"/>
      <c r="T131" s="165">
        <v>119</v>
      </c>
      <c r="U131" s="159">
        <f t="shared" si="8"/>
        <v>-70.108499999999992</v>
      </c>
      <c r="V131" s="159">
        <f t="shared" si="9"/>
        <v>-538.45850000000007</v>
      </c>
      <c r="W131" s="159">
        <f t="shared" si="10"/>
        <v>603.11</v>
      </c>
      <c r="X131" s="159">
        <f t="shared" si="11"/>
        <v>-5.4569999999999936</v>
      </c>
      <c r="Y131" s="159">
        <f t="shared" ca="1" si="7"/>
        <v>-9.327053436771962</v>
      </c>
      <c r="Z131" s="159">
        <f t="shared" ca="1" si="12"/>
        <v>-14.717576365048943</v>
      </c>
      <c r="AA131" s="161">
        <f t="shared" ca="1" si="13"/>
        <v>-1471.7576365048944</v>
      </c>
    </row>
    <row r="132" spans="5:27" x14ac:dyDescent="0.25">
      <c r="E132" s="142"/>
      <c r="F132" s="142"/>
      <c r="T132" s="165">
        <v>120</v>
      </c>
      <c r="U132" s="159">
        <f t="shared" si="8"/>
        <v>-70.108499999999992</v>
      </c>
      <c r="V132" s="159">
        <f t="shared" si="9"/>
        <v>-537.45850000000007</v>
      </c>
      <c r="W132" s="159">
        <f t="shared" si="10"/>
        <v>602.11</v>
      </c>
      <c r="X132" s="159">
        <f t="shared" si="11"/>
        <v>-5.4569999999999936</v>
      </c>
      <c r="Y132" s="159">
        <f t="shared" ca="1" si="7"/>
        <v>-9.327053436771962</v>
      </c>
      <c r="Z132" s="159">
        <f t="shared" ca="1" si="12"/>
        <v>-14.717576365048943</v>
      </c>
      <c r="AA132" s="161">
        <f t="shared" ca="1" si="13"/>
        <v>-1471.7576365048944</v>
      </c>
    </row>
    <row r="133" spans="5:27" x14ac:dyDescent="0.25">
      <c r="E133" s="142"/>
      <c r="F133" s="142"/>
      <c r="T133" s="165">
        <v>121</v>
      </c>
      <c r="U133" s="159">
        <f t="shared" si="8"/>
        <v>-70.108499999999992</v>
      </c>
      <c r="V133" s="159">
        <f t="shared" si="9"/>
        <v>-536.45850000000007</v>
      </c>
      <c r="W133" s="159">
        <f t="shared" si="10"/>
        <v>601.11</v>
      </c>
      <c r="X133" s="159">
        <f t="shared" si="11"/>
        <v>-5.4569999999999936</v>
      </c>
      <c r="Y133" s="159">
        <f t="shared" ca="1" si="7"/>
        <v>-9.327053436771962</v>
      </c>
      <c r="Z133" s="159">
        <f t="shared" ca="1" si="12"/>
        <v>-14.717576365048943</v>
      </c>
      <c r="AA133" s="161">
        <f t="shared" ca="1" si="13"/>
        <v>-1471.7576365048944</v>
      </c>
    </row>
    <row r="134" spans="5:27" x14ac:dyDescent="0.25">
      <c r="E134" s="142"/>
      <c r="F134" s="142"/>
      <c r="T134" s="165">
        <v>122</v>
      </c>
      <c r="U134" s="159">
        <f t="shared" si="8"/>
        <v>-70.108499999999992</v>
      </c>
      <c r="V134" s="159">
        <f t="shared" si="9"/>
        <v>-535.45850000000007</v>
      </c>
      <c r="W134" s="159">
        <f t="shared" si="10"/>
        <v>600.11</v>
      </c>
      <c r="X134" s="159">
        <f t="shared" si="11"/>
        <v>-5.4569999999999936</v>
      </c>
      <c r="Y134" s="159">
        <f t="shared" ca="1" si="7"/>
        <v>-9.327053436771962</v>
      </c>
      <c r="Z134" s="159">
        <f t="shared" ca="1" si="12"/>
        <v>-14.717576365048943</v>
      </c>
      <c r="AA134" s="161">
        <f t="shared" ca="1" si="13"/>
        <v>-1471.7576365048944</v>
      </c>
    </row>
    <row r="135" spans="5:27" x14ac:dyDescent="0.25">
      <c r="E135" s="142"/>
      <c r="F135" s="142"/>
      <c r="T135" s="165">
        <v>123</v>
      </c>
      <c r="U135" s="159">
        <f t="shared" si="8"/>
        <v>-70.108499999999992</v>
      </c>
      <c r="V135" s="159">
        <f t="shared" si="9"/>
        <v>-534.45850000000007</v>
      </c>
      <c r="W135" s="159">
        <f t="shared" si="10"/>
        <v>599.11</v>
      </c>
      <c r="X135" s="159">
        <f t="shared" si="11"/>
        <v>-5.4569999999999936</v>
      </c>
      <c r="Y135" s="159">
        <f t="shared" ca="1" si="7"/>
        <v>-9.327053436771962</v>
      </c>
      <c r="Z135" s="159">
        <f t="shared" ca="1" si="12"/>
        <v>-14.717576365048943</v>
      </c>
      <c r="AA135" s="161">
        <f t="shared" ca="1" si="13"/>
        <v>-1471.7576365048944</v>
      </c>
    </row>
    <row r="136" spans="5:27" x14ac:dyDescent="0.25">
      <c r="E136" s="142"/>
      <c r="F136" s="142"/>
      <c r="T136" s="165">
        <v>124</v>
      </c>
      <c r="U136" s="159">
        <f t="shared" si="8"/>
        <v>-70.108499999999992</v>
      </c>
      <c r="V136" s="159">
        <f t="shared" si="9"/>
        <v>-533.45850000000007</v>
      </c>
      <c r="W136" s="159">
        <f t="shared" si="10"/>
        <v>598.11</v>
      </c>
      <c r="X136" s="159">
        <f t="shared" si="11"/>
        <v>-5.4569999999999936</v>
      </c>
      <c r="Y136" s="159">
        <f t="shared" ca="1" si="7"/>
        <v>-9.327053436771962</v>
      </c>
      <c r="Z136" s="159">
        <f t="shared" ca="1" si="12"/>
        <v>-14.717576365048943</v>
      </c>
      <c r="AA136" s="161">
        <f t="shared" ca="1" si="13"/>
        <v>-1471.7576365048944</v>
      </c>
    </row>
    <row r="137" spans="5:27" x14ac:dyDescent="0.25">
      <c r="E137" s="142"/>
      <c r="F137" s="142"/>
      <c r="T137" s="165">
        <v>125</v>
      </c>
      <c r="U137" s="159">
        <f t="shared" si="8"/>
        <v>-70.108499999999992</v>
      </c>
      <c r="V137" s="159">
        <f t="shared" si="9"/>
        <v>-532.45850000000007</v>
      </c>
      <c r="W137" s="159">
        <f t="shared" si="10"/>
        <v>597.11</v>
      </c>
      <c r="X137" s="159">
        <f t="shared" si="11"/>
        <v>-5.4569999999999936</v>
      </c>
      <c r="Y137" s="159">
        <f t="shared" ca="1" si="7"/>
        <v>-9.327053436771962</v>
      </c>
      <c r="Z137" s="159">
        <f t="shared" ca="1" si="12"/>
        <v>-14.717576365048943</v>
      </c>
      <c r="AA137" s="161">
        <f t="shared" ca="1" si="13"/>
        <v>-1471.7576365048944</v>
      </c>
    </row>
    <row r="138" spans="5:27" x14ac:dyDescent="0.25">
      <c r="E138" s="142"/>
      <c r="F138" s="142"/>
      <c r="T138" s="165">
        <v>126</v>
      </c>
      <c r="U138" s="159">
        <f t="shared" si="8"/>
        <v>-70.108499999999992</v>
      </c>
      <c r="V138" s="159">
        <f t="shared" si="9"/>
        <v>-531.45850000000007</v>
      </c>
      <c r="W138" s="159">
        <f t="shared" si="10"/>
        <v>596.11</v>
      </c>
      <c r="X138" s="159">
        <f t="shared" si="11"/>
        <v>-5.4569999999999936</v>
      </c>
      <c r="Y138" s="159">
        <f t="shared" ca="1" si="7"/>
        <v>-9.327053436771962</v>
      </c>
      <c r="Z138" s="159">
        <f t="shared" ca="1" si="12"/>
        <v>-14.717576365048943</v>
      </c>
      <c r="AA138" s="161">
        <f t="shared" ca="1" si="13"/>
        <v>-1471.7576365048944</v>
      </c>
    </row>
    <row r="139" spans="5:27" x14ac:dyDescent="0.25">
      <c r="E139" s="142"/>
      <c r="F139" s="142"/>
      <c r="T139" s="165">
        <v>127</v>
      </c>
      <c r="U139" s="159">
        <f t="shared" si="8"/>
        <v>-70.108499999999992</v>
      </c>
      <c r="V139" s="159">
        <f t="shared" si="9"/>
        <v>-530.45850000000007</v>
      </c>
      <c r="W139" s="159">
        <f t="shared" si="10"/>
        <v>595.11</v>
      </c>
      <c r="X139" s="159">
        <f t="shared" si="11"/>
        <v>-5.4569999999999936</v>
      </c>
      <c r="Y139" s="159">
        <f t="shared" ca="1" si="7"/>
        <v>-9.327053436771962</v>
      </c>
      <c r="Z139" s="159">
        <f t="shared" ca="1" si="12"/>
        <v>-14.717576365048943</v>
      </c>
      <c r="AA139" s="161">
        <f t="shared" ca="1" si="13"/>
        <v>-1471.7576365048944</v>
      </c>
    </row>
    <row r="140" spans="5:27" x14ac:dyDescent="0.25">
      <c r="E140" s="142"/>
      <c r="F140" s="142"/>
      <c r="T140" s="165">
        <v>128</v>
      </c>
      <c r="U140" s="159">
        <f t="shared" si="8"/>
        <v>-70.108499999999992</v>
      </c>
      <c r="V140" s="159">
        <f t="shared" si="9"/>
        <v>-529.45850000000007</v>
      </c>
      <c r="W140" s="159">
        <f t="shared" si="10"/>
        <v>594.11</v>
      </c>
      <c r="X140" s="159">
        <f t="shared" si="11"/>
        <v>-5.4569999999999936</v>
      </c>
      <c r="Y140" s="159">
        <f t="shared" ref="Y140:Y203" ca="1" si="14">$Y$10*EXP($Y$7*$C$6)-$Y$10</f>
        <v>-9.327053436771962</v>
      </c>
      <c r="Z140" s="159">
        <f t="shared" ca="1" si="12"/>
        <v>-14.717576365048943</v>
      </c>
      <c r="AA140" s="161">
        <f t="shared" ca="1" si="13"/>
        <v>-1471.7576365048944</v>
      </c>
    </row>
    <row r="141" spans="5:27" x14ac:dyDescent="0.25">
      <c r="E141" s="142"/>
      <c r="F141" s="142"/>
      <c r="T141" s="165">
        <v>129</v>
      </c>
      <c r="U141" s="159">
        <f t="shared" ref="U141:U204" si="15">MAX(0,T141-$U$9)-$U$10-$U$11/100</f>
        <v>-70.108499999999992</v>
      </c>
      <c r="V141" s="159">
        <f t="shared" ref="V141:V204" si="16">$V$10-MAX(0,$V$9-T141)-$V$11/100</f>
        <v>-528.45850000000007</v>
      </c>
      <c r="W141" s="159">
        <f t="shared" ref="W141:W204" si="17">$W$10-T141</f>
        <v>593.11</v>
      </c>
      <c r="X141" s="159">
        <f t="shared" ref="X141:X204" si="18">SUM(U141:W141)</f>
        <v>-5.4569999999999936</v>
      </c>
      <c r="Y141" s="159">
        <f t="shared" ca="1" si="14"/>
        <v>-9.327053436771962</v>
      </c>
      <c r="Z141" s="159">
        <f t="shared" ref="Z141:Z204" ca="1" si="19">EXP(-$E$3*$C$6)*SUM(X141:Y141)</f>
        <v>-14.717576365048943</v>
      </c>
      <c r="AA141" s="161">
        <f t="shared" ref="AA141:AA204" ca="1" si="20">Z141*100</f>
        <v>-1471.7576365048944</v>
      </c>
    </row>
    <row r="142" spans="5:27" x14ac:dyDescent="0.25">
      <c r="E142" s="142"/>
      <c r="F142" s="142"/>
      <c r="T142" s="165">
        <v>130</v>
      </c>
      <c r="U142" s="159">
        <f t="shared" si="15"/>
        <v>-70.108499999999992</v>
      </c>
      <c r="V142" s="159">
        <f t="shared" si="16"/>
        <v>-527.45850000000007</v>
      </c>
      <c r="W142" s="159">
        <f t="shared" si="17"/>
        <v>592.11</v>
      </c>
      <c r="X142" s="159">
        <f t="shared" si="18"/>
        <v>-5.4569999999999936</v>
      </c>
      <c r="Y142" s="159">
        <f t="shared" ca="1" si="14"/>
        <v>-9.327053436771962</v>
      </c>
      <c r="Z142" s="159">
        <f t="shared" ca="1" si="19"/>
        <v>-14.717576365048943</v>
      </c>
      <c r="AA142" s="161">
        <f t="shared" ca="1" si="20"/>
        <v>-1471.7576365048944</v>
      </c>
    </row>
    <row r="143" spans="5:27" x14ac:dyDescent="0.25">
      <c r="E143" s="142"/>
      <c r="F143" s="142"/>
      <c r="T143" s="165">
        <v>131</v>
      </c>
      <c r="U143" s="159">
        <f t="shared" si="15"/>
        <v>-70.108499999999992</v>
      </c>
      <c r="V143" s="159">
        <f t="shared" si="16"/>
        <v>-526.45850000000007</v>
      </c>
      <c r="W143" s="159">
        <f t="shared" si="17"/>
        <v>591.11</v>
      </c>
      <c r="X143" s="159">
        <f t="shared" si="18"/>
        <v>-5.4569999999999936</v>
      </c>
      <c r="Y143" s="159">
        <f t="shared" ca="1" si="14"/>
        <v>-9.327053436771962</v>
      </c>
      <c r="Z143" s="159">
        <f t="shared" ca="1" si="19"/>
        <v>-14.717576365048943</v>
      </c>
      <c r="AA143" s="161">
        <f t="shared" ca="1" si="20"/>
        <v>-1471.7576365048944</v>
      </c>
    </row>
    <row r="144" spans="5:27" x14ac:dyDescent="0.25">
      <c r="E144" s="142"/>
      <c r="F144" s="142"/>
      <c r="T144" s="165">
        <v>132</v>
      </c>
      <c r="U144" s="159">
        <f t="shared" si="15"/>
        <v>-70.108499999999992</v>
      </c>
      <c r="V144" s="159">
        <f t="shared" si="16"/>
        <v>-525.45850000000007</v>
      </c>
      <c r="W144" s="159">
        <f t="shared" si="17"/>
        <v>590.11</v>
      </c>
      <c r="X144" s="159">
        <f t="shared" si="18"/>
        <v>-5.4569999999999936</v>
      </c>
      <c r="Y144" s="159">
        <f t="shared" ca="1" si="14"/>
        <v>-9.327053436771962</v>
      </c>
      <c r="Z144" s="159">
        <f t="shared" ca="1" si="19"/>
        <v>-14.717576365048943</v>
      </c>
      <c r="AA144" s="161">
        <f t="shared" ca="1" si="20"/>
        <v>-1471.7576365048944</v>
      </c>
    </row>
    <row r="145" spans="5:27" x14ac:dyDescent="0.25">
      <c r="E145" s="142"/>
      <c r="F145" s="142"/>
      <c r="T145" s="165">
        <v>133</v>
      </c>
      <c r="U145" s="159">
        <f t="shared" si="15"/>
        <v>-70.108499999999992</v>
      </c>
      <c r="V145" s="159">
        <f t="shared" si="16"/>
        <v>-524.45850000000007</v>
      </c>
      <c r="W145" s="159">
        <f t="shared" si="17"/>
        <v>589.11</v>
      </c>
      <c r="X145" s="159">
        <f t="shared" si="18"/>
        <v>-5.4569999999999936</v>
      </c>
      <c r="Y145" s="159">
        <f t="shared" ca="1" si="14"/>
        <v>-9.327053436771962</v>
      </c>
      <c r="Z145" s="159">
        <f t="shared" ca="1" si="19"/>
        <v>-14.717576365048943</v>
      </c>
      <c r="AA145" s="161">
        <f t="shared" ca="1" si="20"/>
        <v>-1471.7576365048944</v>
      </c>
    </row>
    <row r="146" spans="5:27" x14ac:dyDescent="0.25">
      <c r="E146" s="142"/>
      <c r="F146" s="142"/>
      <c r="T146" s="165">
        <v>134</v>
      </c>
      <c r="U146" s="159">
        <f t="shared" si="15"/>
        <v>-70.108499999999992</v>
      </c>
      <c r="V146" s="159">
        <f t="shared" si="16"/>
        <v>-523.45850000000007</v>
      </c>
      <c r="W146" s="159">
        <f t="shared" si="17"/>
        <v>588.11</v>
      </c>
      <c r="X146" s="159">
        <f t="shared" si="18"/>
        <v>-5.4569999999999936</v>
      </c>
      <c r="Y146" s="159">
        <f t="shared" ca="1" si="14"/>
        <v>-9.327053436771962</v>
      </c>
      <c r="Z146" s="159">
        <f t="shared" ca="1" si="19"/>
        <v>-14.717576365048943</v>
      </c>
      <c r="AA146" s="161">
        <f t="shared" ca="1" si="20"/>
        <v>-1471.7576365048944</v>
      </c>
    </row>
    <row r="147" spans="5:27" x14ac:dyDescent="0.25">
      <c r="E147" s="142"/>
      <c r="F147" s="142"/>
      <c r="T147" s="165">
        <v>135</v>
      </c>
      <c r="U147" s="159">
        <f t="shared" si="15"/>
        <v>-70.108499999999992</v>
      </c>
      <c r="V147" s="159">
        <f t="shared" si="16"/>
        <v>-522.45850000000007</v>
      </c>
      <c r="W147" s="159">
        <f t="shared" si="17"/>
        <v>587.11</v>
      </c>
      <c r="X147" s="159">
        <f t="shared" si="18"/>
        <v>-5.4569999999999936</v>
      </c>
      <c r="Y147" s="159">
        <f t="shared" ca="1" si="14"/>
        <v>-9.327053436771962</v>
      </c>
      <c r="Z147" s="159">
        <f t="shared" ca="1" si="19"/>
        <v>-14.717576365048943</v>
      </c>
      <c r="AA147" s="161">
        <f t="shared" ca="1" si="20"/>
        <v>-1471.7576365048944</v>
      </c>
    </row>
    <row r="148" spans="5:27" x14ac:dyDescent="0.25">
      <c r="E148" s="142"/>
      <c r="F148" s="142"/>
      <c r="T148" s="165">
        <v>136</v>
      </c>
      <c r="U148" s="159">
        <f t="shared" si="15"/>
        <v>-70.108499999999992</v>
      </c>
      <c r="V148" s="159">
        <f t="shared" si="16"/>
        <v>-521.45850000000007</v>
      </c>
      <c r="W148" s="159">
        <f t="shared" si="17"/>
        <v>586.11</v>
      </c>
      <c r="X148" s="159">
        <f t="shared" si="18"/>
        <v>-5.4569999999999936</v>
      </c>
      <c r="Y148" s="159">
        <f t="shared" ca="1" si="14"/>
        <v>-9.327053436771962</v>
      </c>
      <c r="Z148" s="159">
        <f t="shared" ca="1" si="19"/>
        <v>-14.717576365048943</v>
      </c>
      <c r="AA148" s="161">
        <f t="shared" ca="1" si="20"/>
        <v>-1471.7576365048944</v>
      </c>
    </row>
    <row r="149" spans="5:27" x14ac:dyDescent="0.25">
      <c r="E149" s="142"/>
      <c r="F149" s="142"/>
      <c r="T149" s="165">
        <v>137</v>
      </c>
      <c r="U149" s="159">
        <f t="shared" si="15"/>
        <v>-70.108499999999992</v>
      </c>
      <c r="V149" s="159">
        <f t="shared" si="16"/>
        <v>-520.45850000000007</v>
      </c>
      <c r="W149" s="159">
        <f t="shared" si="17"/>
        <v>585.11</v>
      </c>
      <c r="X149" s="159">
        <f t="shared" si="18"/>
        <v>-5.4569999999999936</v>
      </c>
      <c r="Y149" s="159">
        <f t="shared" ca="1" si="14"/>
        <v>-9.327053436771962</v>
      </c>
      <c r="Z149" s="159">
        <f t="shared" ca="1" si="19"/>
        <v>-14.717576365048943</v>
      </c>
      <c r="AA149" s="161">
        <f t="shared" ca="1" si="20"/>
        <v>-1471.7576365048944</v>
      </c>
    </row>
    <row r="150" spans="5:27" x14ac:dyDescent="0.25">
      <c r="E150" s="142"/>
      <c r="F150" s="142"/>
      <c r="T150" s="165">
        <v>138</v>
      </c>
      <c r="U150" s="159">
        <f t="shared" si="15"/>
        <v>-70.108499999999992</v>
      </c>
      <c r="V150" s="159">
        <f t="shared" si="16"/>
        <v>-519.45850000000007</v>
      </c>
      <c r="W150" s="159">
        <f t="shared" si="17"/>
        <v>584.11</v>
      </c>
      <c r="X150" s="159">
        <f t="shared" si="18"/>
        <v>-5.4569999999999936</v>
      </c>
      <c r="Y150" s="159">
        <f t="shared" ca="1" si="14"/>
        <v>-9.327053436771962</v>
      </c>
      <c r="Z150" s="159">
        <f t="shared" ca="1" si="19"/>
        <v>-14.717576365048943</v>
      </c>
      <c r="AA150" s="161">
        <f t="shared" ca="1" si="20"/>
        <v>-1471.7576365048944</v>
      </c>
    </row>
    <row r="151" spans="5:27" x14ac:dyDescent="0.25">
      <c r="E151" s="142"/>
      <c r="F151" s="142"/>
      <c r="T151" s="165">
        <v>139</v>
      </c>
      <c r="U151" s="159">
        <f t="shared" si="15"/>
        <v>-70.108499999999992</v>
      </c>
      <c r="V151" s="159">
        <f t="shared" si="16"/>
        <v>-518.45850000000007</v>
      </c>
      <c r="W151" s="159">
        <f t="shared" si="17"/>
        <v>583.11</v>
      </c>
      <c r="X151" s="159">
        <f t="shared" si="18"/>
        <v>-5.4569999999999936</v>
      </c>
      <c r="Y151" s="159">
        <f t="shared" ca="1" si="14"/>
        <v>-9.327053436771962</v>
      </c>
      <c r="Z151" s="159">
        <f t="shared" ca="1" si="19"/>
        <v>-14.717576365048943</v>
      </c>
      <c r="AA151" s="161">
        <f t="shared" ca="1" si="20"/>
        <v>-1471.7576365048944</v>
      </c>
    </row>
    <row r="152" spans="5:27" x14ac:dyDescent="0.25">
      <c r="E152" s="142"/>
      <c r="F152" s="142"/>
      <c r="T152" s="165">
        <v>140</v>
      </c>
      <c r="U152" s="159">
        <f t="shared" si="15"/>
        <v>-70.108499999999992</v>
      </c>
      <c r="V152" s="159">
        <f t="shared" si="16"/>
        <v>-517.45850000000007</v>
      </c>
      <c r="W152" s="159">
        <f t="shared" si="17"/>
        <v>582.11</v>
      </c>
      <c r="X152" s="159">
        <f t="shared" si="18"/>
        <v>-5.4569999999999936</v>
      </c>
      <c r="Y152" s="159">
        <f t="shared" ca="1" si="14"/>
        <v>-9.327053436771962</v>
      </c>
      <c r="Z152" s="159">
        <f t="shared" ca="1" si="19"/>
        <v>-14.717576365048943</v>
      </c>
      <c r="AA152" s="161">
        <f t="shared" ca="1" si="20"/>
        <v>-1471.7576365048944</v>
      </c>
    </row>
    <row r="153" spans="5:27" x14ac:dyDescent="0.25">
      <c r="E153" s="142"/>
      <c r="F153" s="142"/>
      <c r="T153" s="165">
        <v>141</v>
      </c>
      <c r="U153" s="159">
        <f t="shared" si="15"/>
        <v>-70.108499999999992</v>
      </c>
      <c r="V153" s="159">
        <f t="shared" si="16"/>
        <v>-516.45850000000007</v>
      </c>
      <c r="W153" s="159">
        <f t="shared" si="17"/>
        <v>581.11</v>
      </c>
      <c r="X153" s="159">
        <f t="shared" si="18"/>
        <v>-5.4569999999999936</v>
      </c>
      <c r="Y153" s="159">
        <f t="shared" ca="1" si="14"/>
        <v>-9.327053436771962</v>
      </c>
      <c r="Z153" s="159">
        <f t="shared" ca="1" si="19"/>
        <v>-14.717576365048943</v>
      </c>
      <c r="AA153" s="161">
        <f t="shared" ca="1" si="20"/>
        <v>-1471.7576365048944</v>
      </c>
    </row>
    <row r="154" spans="5:27" x14ac:dyDescent="0.25">
      <c r="E154" s="142"/>
      <c r="F154" s="142"/>
      <c r="T154" s="165">
        <v>142</v>
      </c>
      <c r="U154" s="159">
        <f t="shared" si="15"/>
        <v>-70.108499999999992</v>
      </c>
      <c r="V154" s="159">
        <f t="shared" si="16"/>
        <v>-515.45850000000007</v>
      </c>
      <c r="W154" s="159">
        <f t="shared" si="17"/>
        <v>580.11</v>
      </c>
      <c r="X154" s="159">
        <f t="shared" si="18"/>
        <v>-5.4569999999999936</v>
      </c>
      <c r="Y154" s="159">
        <f t="shared" ca="1" si="14"/>
        <v>-9.327053436771962</v>
      </c>
      <c r="Z154" s="159">
        <f t="shared" ca="1" si="19"/>
        <v>-14.717576365048943</v>
      </c>
      <c r="AA154" s="161">
        <f t="shared" ca="1" si="20"/>
        <v>-1471.7576365048944</v>
      </c>
    </row>
    <row r="155" spans="5:27" x14ac:dyDescent="0.25">
      <c r="E155" s="142"/>
      <c r="F155" s="142"/>
      <c r="T155" s="165">
        <v>143</v>
      </c>
      <c r="U155" s="159">
        <f t="shared" si="15"/>
        <v>-70.108499999999992</v>
      </c>
      <c r="V155" s="159">
        <f t="shared" si="16"/>
        <v>-514.45850000000007</v>
      </c>
      <c r="W155" s="159">
        <f t="shared" si="17"/>
        <v>579.11</v>
      </c>
      <c r="X155" s="159">
        <f t="shared" si="18"/>
        <v>-5.4569999999999936</v>
      </c>
      <c r="Y155" s="159">
        <f t="shared" ca="1" si="14"/>
        <v>-9.327053436771962</v>
      </c>
      <c r="Z155" s="159">
        <f t="shared" ca="1" si="19"/>
        <v>-14.717576365048943</v>
      </c>
      <c r="AA155" s="161">
        <f t="shared" ca="1" si="20"/>
        <v>-1471.7576365048944</v>
      </c>
    </row>
    <row r="156" spans="5:27" x14ac:dyDescent="0.25">
      <c r="E156" s="142"/>
      <c r="F156" s="142"/>
      <c r="T156" s="165">
        <v>144</v>
      </c>
      <c r="U156" s="159">
        <f t="shared" si="15"/>
        <v>-70.108499999999992</v>
      </c>
      <c r="V156" s="159">
        <f t="shared" si="16"/>
        <v>-513.45850000000007</v>
      </c>
      <c r="W156" s="159">
        <f t="shared" si="17"/>
        <v>578.11</v>
      </c>
      <c r="X156" s="159">
        <f t="shared" si="18"/>
        <v>-5.4569999999999936</v>
      </c>
      <c r="Y156" s="159">
        <f t="shared" ca="1" si="14"/>
        <v>-9.327053436771962</v>
      </c>
      <c r="Z156" s="159">
        <f t="shared" ca="1" si="19"/>
        <v>-14.717576365048943</v>
      </c>
      <c r="AA156" s="161">
        <f t="shared" ca="1" si="20"/>
        <v>-1471.7576365048944</v>
      </c>
    </row>
    <row r="157" spans="5:27" x14ac:dyDescent="0.25">
      <c r="E157" s="142"/>
      <c r="F157" s="142"/>
      <c r="T157" s="165">
        <v>145</v>
      </c>
      <c r="U157" s="159">
        <f t="shared" si="15"/>
        <v>-70.108499999999992</v>
      </c>
      <c r="V157" s="159">
        <f t="shared" si="16"/>
        <v>-512.45850000000007</v>
      </c>
      <c r="W157" s="159">
        <f t="shared" si="17"/>
        <v>577.11</v>
      </c>
      <c r="X157" s="159">
        <f t="shared" si="18"/>
        <v>-5.4569999999999936</v>
      </c>
      <c r="Y157" s="159">
        <f t="shared" ca="1" si="14"/>
        <v>-9.327053436771962</v>
      </c>
      <c r="Z157" s="159">
        <f t="shared" ca="1" si="19"/>
        <v>-14.717576365048943</v>
      </c>
      <c r="AA157" s="161">
        <f t="shared" ca="1" si="20"/>
        <v>-1471.7576365048944</v>
      </c>
    </row>
    <row r="158" spans="5:27" x14ac:dyDescent="0.25">
      <c r="E158" s="142"/>
      <c r="F158" s="142"/>
      <c r="T158" s="165">
        <v>146</v>
      </c>
      <c r="U158" s="159">
        <f t="shared" si="15"/>
        <v>-70.108499999999992</v>
      </c>
      <c r="V158" s="159">
        <f t="shared" si="16"/>
        <v>-511.45850000000002</v>
      </c>
      <c r="W158" s="159">
        <f t="shared" si="17"/>
        <v>576.11</v>
      </c>
      <c r="X158" s="159">
        <f t="shared" si="18"/>
        <v>-5.4569999999999936</v>
      </c>
      <c r="Y158" s="159">
        <f t="shared" ca="1" si="14"/>
        <v>-9.327053436771962</v>
      </c>
      <c r="Z158" s="159">
        <f t="shared" ca="1" si="19"/>
        <v>-14.717576365048943</v>
      </c>
      <c r="AA158" s="161">
        <f t="shared" ca="1" si="20"/>
        <v>-1471.7576365048944</v>
      </c>
    </row>
    <row r="159" spans="5:27" x14ac:dyDescent="0.25">
      <c r="E159" s="142"/>
      <c r="F159" s="142"/>
      <c r="T159" s="165">
        <v>147</v>
      </c>
      <c r="U159" s="159">
        <f t="shared" si="15"/>
        <v>-70.108499999999992</v>
      </c>
      <c r="V159" s="159">
        <f t="shared" si="16"/>
        <v>-510.45850000000002</v>
      </c>
      <c r="W159" s="159">
        <f t="shared" si="17"/>
        <v>575.11</v>
      </c>
      <c r="X159" s="159">
        <f t="shared" si="18"/>
        <v>-5.4569999999999936</v>
      </c>
      <c r="Y159" s="159">
        <f t="shared" ca="1" si="14"/>
        <v>-9.327053436771962</v>
      </c>
      <c r="Z159" s="159">
        <f t="shared" ca="1" si="19"/>
        <v>-14.717576365048943</v>
      </c>
      <c r="AA159" s="161">
        <f t="shared" ca="1" si="20"/>
        <v>-1471.7576365048944</v>
      </c>
    </row>
    <row r="160" spans="5:27" x14ac:dyDescent="0.25">
      <c r="E160" s="142"/>
      <c r="F160" s="142"/>
      <c r="T160" s="165">
        <v>148</v>
      </c>
      <c r="U160" s="159">
        <f t="shared" si="15"/>
        <v>-70.108499999999992</v>
      </c>
      <c r="V160" s="159">
        <f t="shared" si="16"/>
        <v>-509.45850000000002</v>
      </c>
      <c r="W160" s="159">
        <f t="shared" si="17"/>
        <v>574.11</v>
      </c>
      <c r="X160" s="159">
        <f t="shared" si="18"/>
        <v>-5.4569999999999936</v>
      </c>
      <c r="Y160" s="159">
        <f t="shared" ca="1" si="14"/>
        <v>-9.327053436771962</v>
      </c>
      <c r="Z160" s="159">
        <f t="shared" ca="1" si="19"/>
        <v>-14.717576365048943</v>
      </c>
      <c r="AA160" s="161">
        <f t="shared" ca="1" si="20"/>
        <v>-1471.7576365048944</v>
      </c>
    </row>
    <row r="161" spans="5:27" x14ac:dyDescent="0.25">
      <c r="E161" s="142"/>
      <c r="F161" s="142"/>
      <c r="T161" s="165">
        <v>149</v>
      </c>
      <c r="U161" s="159">
        <f t="shared" si="15"/>
        <v>-70.108499999999992</v>
      </c>
      <c r="V161" s="159">
        <f t="shared" si="16"/>
        <v>-508.45850000000002</v>
      </c>
      <c r="W161" s="159">
        <f t="shared" si="17"/>
        <v>573.11</v>
      </c>
      <c r="X161" s="159">
        <f t="shared" si="18"/>
        <v>-5.4569999999999936</v>
      </c>
      <c r="Y161" s="159">
        <f t="shared" ca="1" si="14"/>
        <v>-9.327053436771962</v>
      </c>
      <c r="Z161" s="159">
        <f t="shared" ca="1" si="19"/>
        <v>-14.717576365048943</v>
      </c>
      <c r="AA161" s="161">
        <f t="shared" ca="1" si="20"/>
        <v>-1471.7576365048944</v>
      </c>
    </row>
    <row r="162" spans="5:27" x14ac:dyDescent="0.25">
      <c r="E162" s="142"/>
      <c r="F162" s="142"/>
      <c r="T162" s="165">
        <v>150</v>
      </c>
      <c r="U162" s="159">
        <f t="shared" si="15"/>
        <v>-70.108499999999992</v>
      </c>
      <c r="V162" s="159">
        <f t="shared" si="16"/>
        <v>-507.45850000000002</v>
      </c>
      <c r="W162" s="159">
        <f t="shared" si="17"/>
        <v>572.11</v>
      </c>
      <c r="X162" s="159">
        <f t="shared" si="18"/>
        <v>-5.4569999999999936</v>
      </c>
      <c r="Y162" s="159">
        <f t="shared" ca="1" si="14"/>
        <v>-9.327053436771962</v>
      </c>
      <c r="Z162" s="159">
        <f t="shared" ca="1" si="19"/>
        <v>-14.717576365048943</v>
      </c>
      <c r="AA162" s="161">
        <f t="shared" ca="1" si="20"/>
        <v>-1471.7576365048944</v>
      </c>
    </row>
    <row r="163" spans="5:27" x14ac:dyDescent="0.25">
      <c r="E163" s="142"/>
      <c r="F163" s="142"/>
      <c r="T163" s="165">
        <v>151</v>
      </c>
      <c r="U163" s="159">
        <f t="shared" si="15"/>
        <v>-70.108499999999992</v>
      </c>
      <c r="V163" s="159">
        <f t="shared" si="16"/>
        <v>-506.45850000000002</v>
      </c>
      <c r="W163" s="159">
        <f t="shared" si="17"/>
        <v>571.11</v>
      </c>
      <c r="X163" s="159">
        <f t="shared" si="18"/>
        <v>-5.4569999999999936</v>
      </c>
      <c r="Y163" s="159">
        <f t="shared" ca="1" si="14"/>
        <v>-9.327053436771962</v>
      </c>
      <c r="Z163" s="159">
        <f t="shared" ca="1" si="19"/>
        <v>-14.717576365048943</v>
      </c>
      <c r="AA163" s="161">
        <f t="shared" ca="1" si="20"/>
        <v>-1471.7576365048944</v>
      </c>
    </row>
    <row r="164" spans="5:27" x14ac:dyDescent="0.25">
      <c r="E164" s="142"/>
      <c r="F164" s="142"/>
      <c r="T164" s="165">
        <v>152</v>
      </c>
      <c r="U164" s="159">
        <f t="shared" si="15"/>
        <v>-70.108499999999992</v>
      </c>
      <c r="V164" s="159">
        <f t="shared" si="16"/>
        <v>-505.45850000000002</v>
      </c>
      <c r="W164" s="159">
        <f t="shared" si="17"/>
        <v>570.11</v>
      </c>
      <c r="X164" s="159">
        <f t="shared" si="18"/>
        <v>-5.4569999999999936</v>
      </c>
      <c r="Y164" s="159">
        <f t="shared" ca="1" si="14"/>
        <v>-9.327053436771962</v>
      </c>
      <c r="Z164" s="159">
        <f t="shared" ca="1" si="19"/>
        <v>-14.717576365048943</v>
      </c>
      <c r="AA164" s="161">
        <f t="shared" ca="1" si="20"/>
        <v>-1471.7576365048944</v>
      </c>
    </row>
    <row r="165" spans="5:27" x14ac:dyDescent="0.25">
      <c r="E165" s="142"/>
      <c r="F165" s="142"/>
      <c r="T165" s="165">
        <v>153</v>
      </c>
      <c r="U165" s="159">
        <f t="shared" si="15"/>
        <v>-70.108499999999992</v>
      </c>
      <c r="V165" s="159">
        <f t="shared" si="16"/>
        <v>-504.45850000000002</v>
      </c>
      <c r="W165" s="159">
        <f t="shared" si="17"/>
        <v>569.11</v>
      </c>
      <c r="X165" s="159">
        <f t="shared" si="18"/>
        <v>-5.4569999999999936</v>
      </c>
      <c r="Y165" s="159">
        <f t="shared" ca="1" si="14"/>
        <v>-9.327053436771962</v>
      </c>
      <c r="Z165" s="159">
        <f t="shared" ca="1" si="19"/>
        <v>-14.717576365048943</v>
      </c>
      <c r="AA165" s="161">
        <f t="shared" ca="1" si="20"/>
        <v>-1471.7576365048944</v>
      </c>
    </row>
    <row r="166" spans="5:27" x14ac:dyDescent="0.25">
      <c r="E166" s="142"/>
      <c r="F166" s="142"/>
      <c r="T166" s="165">
        <v>154</v>
      </c>
      <c r="U166" s="159">
        <f t="shared" si="15"/>
        <v>-70.108499999999992</v>
      </c>
      <c r="V166" s="159">
        <f t="shared" si="16"/>
        <v>-503.45850000000002</v>
      </c>
      <c r="W166" s="159">
        <f t="shared" si="17"/>
        <v>568.11</v>
      </c>
      <c r="X166" s="159">
        <f t="shared" si="18"/>
        <v>-5.4569999999999936</v>
      </c>
      <c r="Y166" s="159">
        <f t="shared" ca="1" si="14"/>
        <v>-9.327053436771962</v>
      </c>
      <c r="Z166" s="159">
        <f t="shared" ca="1" si="19"/>
        <v>-14.717576365048943</v>
      </c>
      <c r="AA166" s="161">
        <f t="shared" ca="1" si="20"/>
        <v>-1471.7576365048944</v>
      </c>
    </row>
    <row r="167" spans="5:27" x14ac:dyDescent="0.25">
      <c r="E167" s="142"/>
      <c r="F167" s="142"/>
      <c r="T167" s="165">
        <v>155</v>
      </c>
      <c r="U167" s="159">
        <f t="shared" si="15"/>
        <v>-70.108499999999992</v>
      </c>
      <c r="V167" s="159">
        <f t="shared" si="16"/>
        <v>-502.45850000000002</v>
      </c>
      <c r="W167" s="159">
        <f t="shared" si="17"/>
        <v>567.11</v>
      </c>
      <c r="X167" s="159">
        <f t="shared" si="18"/>
        <v>-5.4569999999999936</v>
      </c>
      <c r="Y167" s="159">
        <f t="shared" ca="1" si="14"/>
        <v>-9.327053436771962</v>
      </c>
      <c r="Z167" s="159">
        <f t="shared" ca="1" si="19"/>
        <v>-14.717576365048943</v>
      </c>
      <c r="AA167" s="161">
        <f t="shared" ca="1" si="20"/>
        <v>-1471.7576365048944</v>
      </c>
    </row>
    <row r="168" spans="5:27" x14ac:dyDescent="0.25">
      <c r="E168" s="142"/>
      <c r="F168" s="142"/>
      <c r="T168" s="165">
        <v>156</v>
      </c>
      <c r="U168" s="159">
        <f t="shared" si="15"/>
        <v>-70.108499999999992</v>
      </c>
      <c r="V168" s="159">
        <f t="shared" si="16"/>
        <v>-501.45850000000002</v>
      </c>
      <c r="W168" s="159">
        <f t="shared" si="17"/>
        <v>566.11</v>
      </c>
      <c r="X168" s="159">
        <f t="shared" si="18"/>
        <v>-5.4569999999999936</v>
      </c>
      <c r="Y168" s="159">
        <f t="shared" ca="1" si="14"/>
        <v>-9.327053436771962</v>
      </c>
      <c r="Z168" s="159">
        <f t="shared" ca="1" si="19"/>
        <v>-14.717576365048943</v>
      </c>
      <c r="AA168" s="161">
        <f t="shared" ca="1" si="20"/>
        <v>-1471.7576365048944</v>
      </c>
    </row>
    <row r="169" spans="5:27" x14ac:dyDescent="0.25">
      <c r="E169" s="142"/>
      <c r="F169" s="142"/>
      <c r="T169" s="165">
        <v>157</v>
      </c>
      <c r="U169" s="159">
        <f t="shared" si="15"/>
        <v>-70.108499999999992</v>
      </c>
      <c r="V169" s="159">
        <f t="shared" si="16"/>
        <v>-500.45850000000002</v>
      </c>
      <c r="W169" s="159">
        <f t="shared" si="17"/>
        <v>565.11</v>
      </c>
      <c r="X169" s="159">
        <f t="shared" si="18"/>
        <v>-5.4569999999999936</v>
      </c>
      <c r="Y169" s="159">
        <f t="shared" ca="1" si="14"/>
        <v>-9.327053436771962</v>
      </c>
      <c r="Z169" s="159">
        <f t="shared" ca="1" si="19"/>
        <v>-14.717576365048943</v>
      </c>
      <c r="AA169" s="161">
        <f t="shared" ca="1" si="20"/>
        <v>-1471.7576365048944</v>
      </c>
    </row>
    <row r="170" spans="5:27" x14ac:dyDescent="0.25">
      <c r="E170" s="142"/>
      <c r="F170" s="142"/>
      <c r="T170" s="165">
        <v>158</v>
      </c>
      <c r="U170" s="159">
        <f t="shared" si="15"/>
        <v>-70.108499999999992</v>
      </c>
      <c r="V170" s="159">
        <f t="shared" si="16"/>
        <v>-499.45850000000002</v>
      </c>
      <c r="W170" s="159">
        <f t="shared" si="17"/>
        <v>564.11</v>
      </c>
      <c r="X170" s="159">
        <f t="shared" si="18"/>
        <v>-5.4569999999999936</v>
      </c>
      <c r="Y170" s="159">
        <f t="shared" ca="1" si="14"/>
        <v>-9.327053436771962</v>
      </c>
      <c r="Z170" s="159">
        <f t="shared" ca="1" si="19"/>
        <v>-14.717576365048943</v>
      </c>
      <c r="AA170" s="161">
        <f t="shared" ca="1" si="20"/>
        <v>-1471.7576365048944</v>
      </c>
    </row>
    <row r="171" spans="5:27" x14ac:dyDescent="0.25">
      <c r="E171" s="142"/>
      <c r="F171" s="142"/>
      <c r="T171" s="165">
        <v>159</v>
      </c>
      <c r="U171" s="159">
        <f t="shared" si="15"/>
        <v>-70.108499999999992</v>
      </c>
      <c r="V171" s="159">
        <f t="shared" si="16"/>
        <v>-498.45850000000002</v>
      </c>
      <c r="W171" s="159">
        <f t="shared" si="17"/>
        <v>563.11</v>
      </c>
      <c r="X171" s="159">
        <f t="shared" si="18"/>
        <v>-5.4569999999999936</v>
      </c>
      <c r="Y171" s="159">
        <f t="shared" ca="1" si="14"/>
        <v>-9.327053436771962</v>
      </c>
      <c r="Z171" s="159">
        <f t="shared" ca="1" si="19"/>
        <v>-14.717576365048943</v>
      </c>
      <c r="AA171" s="161">
        <f t="shared" ca="1" si="20"/>
        <v>-1471.7576365048944</v>
      </c>
    </row>
    <row r="172" spans="5:27" x14ac:dyDescent="0.25">
      <c r="E172" s="142"/>
      <c r="F172" s="142"/>
      <c r="T172" s="165">
        <v>160</v>
      </c>
      <c r="U172" s="159">
        <f t="shared" si="15"/>
        <v>-70.108499999999992</v>
      </c>
      <c r="V172" s="159">
        <f t="shared" si="16"/>
        <v>-497.45850000000002</v>
      </c>
      <c r="W172" s="159">
        <f t="shared" si="17"/>
        <v>562.11</v>
      </c>
      <c r="X172" s="159">
        <f t="shared" si="18"/>
        <v>-5.4569999999999936</v>
      </c>
      <c r="Y172" s="159">
        <f t="shared" ca="1" si="14"/>
        <v>-9.327053436771962</v>
      </c>
      <c r="Z172" s="159">
        <f t="shared" ca="1" si="19"/>
        <v>-14.717576365048943</v>
      </c>
      <c r="AA172" s="161">
        <f t="shared" ca="1" si="20"/>
        <v>-1471.7576365048944</v>
      </c>
    </row>
    <row r="173" spans="5:27" x14ac:dyDescent="0.25">
      <c r="E173" s="142"/>
      <c r="F173" s="142"/>
      <c r="T173" s="165">
        <v>161</v>
      </c>
      <c r="U173" s="159">
        <f t="shared" si="15"/>
        <v>-70.108499999999992</v>
      </c>
      <c r="V173" s="159">
        <f t="shared" si="16"/>
        <v>-496.45850000000002</v>
      </c>
      <c r="W173" s="159">
        <f t="shared" si="17"/>
        <v>561.11</v>
      </c>
      <c r="X173" s="159">
        <f t="shared" si="18"/>
        <v>-5.4569999999999936</v>
      </c>
      <c r="Y173" s="159">
        <f t="shared" ca="1" si="14"/>
        <v>-9.327053436771962</v>
      </c>
      <c r="Z173" s="159">
        <f t="shared" ca="1" si="19"/>
        <v>-14.717576365048943</v>
      </c>
      <c r="AA173" s="161">
        <f t="shared" ca="1" si="20"/>
        <v>-1471.7576365048944</v>
      </c>
    </row>
    <row r="174" spans="5:27" x14ac:dyDescent="0.25">
      <c r="E174" s="142"/>
      <c r="F174" s="142"/>
      <c r="T174" s="165">
        <v>162</v>
      </c>
      <c r="U174" s="159">
        <f t="shared" si="15"/>
        <v>-70.108499999999992</v>
      </c>
      <c r="V174" s="159">
        <f t="shared" si="16"/>
        <v>-495.45850000000002</v>
      </c>
      <c r="W174" s="159">
        <f t="shared" si="17"/>
        <v>560.11</v>
      </c>
      <c r="X174" s="159">
        <f t="shared" si="18"/>
        <v>-5.4569999999999936</v>
      </c>
      <c r="Y174" s="159">
        <f t="shared" ca="1" si="14"/>
        <v>-9.327053436771962</v>
      </c>
      <c r="Z174" s="159">
        <f t="shared" ca="1" si="19"/>
        <v>-14.717576365048943</v>
      </c>
      <c r="AA174" s="161">
        <f t="shared" ca="1" si="20"/>
        <v>-1471.7576365048944</v>
      </c>
    </row>
    <row r="175" spans="5:27" x14ac:dyDescent="0.25">
      <c r="E175" s="142"/>
      <c r="F175" s="142"/>
      <c r="T175" s="165">
        <v>163</v>
      </c>
      <c r="U175" s="159">
        <f t="shared" si="15"/>
        <v>-70.108499999999992</v>
      </c>
      <c r="V175" s="159">
        <f t="shared" si="16"/>
        <v>-494.45850000000002</v>
      </c>
      <c r="W175" s="159">
        <f t="shared" si="17"/>
        <v>559.11</v>
      </c>
      <c r="X175" s="159">
        <f t="shared" si="18"/>
        <v>-5.4569999999999936</v>
      </c>
      <c r="Y175" s="159">
        <f t="shared" ca="1" si="14"/>
        <v>-9.327053436771962</v>
      </c>
      <c r="Z175" s="159">
        <f t="shared" ca="1" si="19"/>
        <v>-14.717576365048943</v>
      </c>
      <c r="AA175" s="161">
        <f t="shared" ca="1" si="20"/>
        <v>-1471.7576365048944</v>
      </c>
    </row>
    <row r="176" spans="5:27" x14ac:dyDescent="0.25">
      <c r="E176" s="142"/>
      <c r="F176" s="142"/>
      <c r="T176" s="165">
        <v>164</v>
      </c>
      <c r="U176" s="159">
        <f t="shared" si="15"/>
        <v>-70.108499999999992</v>
      </c>
      <c r="V176" s="159">
        <f t="shared" si="16"/>
        <v>-493.45850000000002</v>
      </c>
      <c r="W176" s="159">
        <f t="shared" si="17"/>
        <v>558.11</v>
      </c>
      <c r="X176" s="159">
        <f t="shared" si="18"/>
        <v>-5.4569999999999936</v>
      </c>
      <c r="Y176" s="159">
        <f t="shared" ca="1" si="14"/>
        <v>-9.327053436771962</v>
      </c>
      <c r="Z176" s="159">
        <f t="shared" ca="1" si="19"/>
        <v>-14.717576365048943</v>
      </c>
      <c r="AA176" s="161">
        <f t="shared" ca="1" si="20"/>
        <v>-1471.7576365048944</v>
      </c>
    </row>
    <row r="177" spans="5:27" x14ac:dyDescent="0.25">
      <c r="E177" s="142"/>
      <c r="F177" s="142"/>
      <c r="T177" s="165">
        <v>165</v>
      </c>
      <c r="U177" s="159">
        <f t="shared" si="15"/>
        <v>-70.108499999999992</v>
      </c>
      <c r="V177" s="159">
        <f t="shared" si="16"/>
        <v>-492.45850000000002</v>
      </c>
      <c r="W177" s="159">
        <f t="shared" si="17"/>
        <v>557.11</v>
      </c>
      <c r="X177" s="159">
        <f t="shared" si="18"/>
        <v>-5.4569999999999936</v>
      </c>
      <c r="Y177" s="159">
        <f t="shared" ca="1" si="14"/>
        <v>-9.327053436771962</v>
      </c>
      <c r="Z177" s="159">
        <f t="shared" ca="1" si="19"/>
        <v>-14.717576365048943</v>
      </c>
      <c r="AA177" s="161">
        <f t="shared" ca="1" si="20"/>
        <v>-1471.7576365048944</v>
      </c>
    </row>
    <row r="178" spans="5:27" x14ac:dyDescent="0.25">
      <c r="E178" s="142"/>
      <c r="F178" s="142"/>
      <c r="T178" s="165">
        <v>166</v>
      </c>
      <c r="U178" s="159">
        <f t="shared" si="15"/>
        <v>-70.108499999999992</v>
      </c>
      <c r="V178" s="159">
        <f t="shared" si="16"/>
        <v>-491.45850000000002</v>
      </c>
      <c r="W178" s="159">
        <f t="shared" si="17"/>
        <v>556.11</v>
      </c>
      <c r="X178" s="159">
        <f t="shared" si="18"/>
        <v>-5.4569999999999936</v>
      </c>
      <c r="Y178" s="159">
        <f t="shared" ca="1" si="14"/>
        <v>-9.327053436771962</v>
      </c>
      <c r="Z178" s="159">
        <f t="shared" ca="1" si="19"/>
        <v>-14.717576365048943</v>
      </c>
      <c r="AA178" s="161">
        <f t="shared" ca="1" si="20"/>
        <v>-1471.7576365048944</v>
      </c>
    </row>
    <row r="179" spans="5:27" x14ac:dyDescent="0.25">
      <c r="E179" s="142"/>
      <c r="F179" s="142"/>
      <c r="T179" s="165">
        <v>167</v>
      </c>
      <c r="U179" s="159">
        <f t="shared" si="15"/>
        <v>-70.108499999999992</v>
      </c>
      <c r="V179" s="159">
        <f t="shared" si="16"/>
        <v>-490.45850000000002</v>
      </c>
      <c r="W179" s="159">
        <f t="shared" si="17"/>
        <v>555.11</v>
      </c>
      <c r="X179" s="159">
        <f t="shared" si="18"/>
        <v>-5.4569999999999936</v>
      </c>
      <c r="Y179" s="159">
        <f t="shared" ca="1" si="14"/>
        <v>-9.327053436771962</v>
      </c>
      <c r="Z179" s="159">
        <f t="shared" ca="1" si="19"/>
        <v>-14.717576365048943</v>
      </c>
      <c r="AA179" s="161">
        <f t="shared" ca="1" si="20"/>
        <v>-1471.7576365048944</v>
      </c>
    </row>
    <row r="180" spans="5:27" x14ac:dyDescent="0.25">
      <c r="E180" s="142"/>
      <c r="F180" s="142"/>
      <c r="T180" s="165">
        <v>168</v>
      </c>
      <c r="U180" s="159">
        <f t="shared" si="15"/>
        <v>-70.108499999999992</v>
      </c>
      <c r="V180" s="159">
        <f t="shared" si="16"/>
        <v>-489.45850000000002</v>
      </c>
      <c r="W180" s="159">
        <f t="shared" si="17"/>
        <v>554.11</v>
      </c>
      <c r="X180" s="159">
        <f t="shared" si="18"/>
        <v>-5.4569999999999936</v>
      </c>
      <c r="Y180" s="159">
        <f t="shared" ca="1" si="14"/>
        <v>-9.327053436771962</v>
      </c>
      <c r="Z180" s="159">
        <f t="shared" ca="1" si="19"/>
        <v>-14.717576365048943</v>
      </c>
      <c r="AA180" s="161">
        <f t="shared" ca="1" si="20"/>
        <v>-1471.7576365048944</v>
      </c>
    </row>
    <row r="181" spans="5:27" x14ac:dyDescent="0.25">
      <c r="E181" s="142"/>
      <c r="F181" s="142"/>
      <c r="T181" s="165">
        <v>169</v>
      </c>
      <c r="U181" s="159">
        <f t="shared" si="15"/>
        <v>-70.108499999999992</v>
      </c>
      <c r="V181" s="159">
        <f t="shared" si="16"/>
        <v>-488.45850000000002</v>
      </c>
      <c r="W181" s="159">
        <f t="shared" si="17"/>
        <v>553.11</v>
      </c>
      <c r="X181" s="159">
        <f t="shared" si="18"/>
        <v>-5.4569999999999936</v>
      </c>
      <c r="Y181" s="159">
        <f t="shared" ca="1" si="14"/>
        <v>-9.327053436771962</v>
      </c>
      <c r="Z181" s="159">
        <f t="shared" ca="1" si="19"/>
        <v>-14.717576365048943</v>
      </c>
      <c r="AA181" s="161">
        <f t="shared" ca="1" si="20"/>
        <v>-1471.7576365048944</v>
      </c>
    </row>
    <row r="182" spans="5:27" x14ac:dyDescent="0.25">
      <c r="E182" s="142"/>
      <c r="F182" s="142"/>
      <c r="T182" s="165">
        <v>170</v>
      </c>
      <c r="U182" s="159">
        <f t="shared" si="15"/>
        <v>-70.108499999999992</v>
      </c>
      <c r="V182" s="159">
        <f t="shared" si="16"/>
        <v>-487.45850000000002</v>
      </c>
      <c r="W182" s="159">
        <f t="shared" si="17"/>
        <v>552.11</v>
      </c>
      <c r="X182" s="159">
        <f t="shared" si="18"/>
        <v>-5.4569999999999936</v>
      </c>
      <c r="Y182" s="159">
        <f t="shared" ca="1" si="14"/>
        <v>-9.327053436771962</v>
      </c>
      <c r="Z182" s="159">
        <f t="shared" ca="1" si="19"/>
        <v>-14.717576365048943</v>
      </c>
      <c r="AA182" s="161">
        <f t="shared" ca="1" si="20"/>
        <v>-1471.7576365048944</v>
      </c>
    </row>
    <row r="183" spans="5:27" x14ac:dyDescent="0.25">
      <c r="E183" s="142"/>
      <c r="F183" s="142"/>
      <c r="T183" s="165">
        <v>171</v>
      </c>
      <c r="U183" s="159">
        <f t="shared" si="15"/>
        <v>-70.108499999999992</v>
      </c>
      <c r="V183" s="159">
        <f t="shared" si="16"/>
        <v>-486.45850000000002</v>
      </c>
      <c r="W183" s="159">
        <f t="shared" si="17"/>
        <v>551.11</v>
      </c>
      <c r="X183" s="159">
        <f t="shared" si="18"/>
        <v>-5.4569999999999936</v>
      </c>
      <c r="Y183" s="159">
        <f t="shared" ca="1" si="14"/>
        <v>-9.327053436771962</v>
      </c>
      <c r="Z183" s="159">
        <f t="shared" ca="1" si="19"/>
        <v>-14.717576365048943</v>
      </c>
      <c r="AA183" s="161">
        <f t="shared" ca="1" si="20"/>
        <v>-1471.7576365048944</v>
      </c>
    </row>
    <row r="184" spans="5:27" x14ac:dyDescent="0.25">
      <c r="E184" s="142"/>
      <c r="F184" s="142"/>
      <c r="T184" s="165">
        <v>172</v>
      </c>
      <c r="U184" s="159">
        <f t="shared" si="15"/>
        <v>-70.108499999999992</v>
      </c>
      <c r="V184" s="159">
        <f t="shared" si="16"/>
        <v>-485.45850000000002</v>
      </c>
      <c r="W184" s="159">
        <f t="shared" si="17"/>
        <v>550.11</v>
      </c>
      <c r="X184" s="159">
        <f t="shared" si="18"/>
        <v>-5.4569999999999936</v>
      </c>
      <c r="Y184" s="159">
        <f t="shared" ca="1" si="14"/>
        <v>-9.327053436771962</v>
      </c>
      <c r="Z184" s="159">
        <f t="shared" ca="1" si="19"/>
        <v>-14.717576365048943</v>
      </c>
      <c r="AA184" s="161">
        <f t="shared" ca="1" si="20"/>
        <v>-1471.7576365048944</v>
      </c>
    </row>
    <row r="185" spans="5:27" x14ac:dyDescent="0.25">
      <c r="E185" s="142"/>
      <c r="F185" s="142"/>
      <c r="T185" s="165">
        <v>173</v>
      </c>
      <c r="U185" s="159">
        <f t="shared" si="15"/>
        <v>-70.108499999999992</v>
      </c>
      <c r="V185" s="159">
        <f t="shared" si="16"/>
        <v>-484.45850000000002</v>
      </c>
      <c r="W185" s="159">
        <f t="shared" si="17"/>
        <v>549.11</v>
      </c>
      <c r="X185" s="159">
        <f t="shared" si="18"/>
        <v>-5.4569999999999936</v>
      </c>
      <c r="Y185" s="159">
        <f t="shared" ca="1" si="14"/>
        <v>-9.327053436771962</v>
      </c>
      <c r="Z185" s="159">
        <f t="shared" ca="1" si="19"/>
        <v>-14.717576365048943</v>
      </c>
      <c r="AA185" s="161">
        <f t="shared" ca="1" si="20"/>
        <v>-1471.7576365048944</v>
      </c>
    </row>
    <row r="186" spans="5:27" x14ac:dyDescent="0.25">
      <c r="E186" s="142"/>
      <c r="F186" s="142"/>
      <c r="T186" s="165">
        <v>174</v>
      </c>
      <c r="U186" s="159">
        <f t="shared" si="15"/>
        <v>-70.108499999999992</v>
      </c>
      <c r="V186" s="159">
        <f t="shared" si="16"/>
        <v>-483.45850000000002</v>
      </c>
      <c r="W186" s="159">
        <f t="shared" si="17"/>
        <v>548.11</v>
      </c>
      <c r="X186" s="159">
        <f t="shared" si="18"/>
        <v>-5.4569999999999936</v>
      </c>
      <c r="Y186" s="159">
        <f t="shared" ca="1" si="14"/>
        <v>-9.327053436771962</v>
      </c>
      <c r="Z186" s="159">
        <f t="shared" ca="1" si="19"/>
        <v>-14.717576365048943</v>
      </c>
      <c r="AA186" s="161">
        <f t="shared" ca="1" si="20"/>
        <v>-1471.7576365048944</v>
      </c>
    </row>
    <row r="187" spans="5:27" x14ac:dyDescent="0.25">
      <c r="E187" s="142"/>
      <c r="F187" s="142"/>
      <c r="T187" s="165">
        <v>175</v>
      </c>
      <c r="U187" s="159">
        <f t="shared" si="15"/>
        <v>-70.108499999999992</v>
      </c>
      <c r="V187" s="159">
        <f t="shared" si="16"/>
        <v>-482.45850000000002</v>
      </c>
      <c r="W187" s="159">
        <f t="shared" si="17"/>
        <v>547.11</v>
      </c>
      <c r="X187" s="159">
        <f t="shared" si="18"/>
        <v>-5.4569999999999936</v>
      </c>
      <c r="Y187" s="159">
        <f t="shared" ca="1" si="14"/>
        <v>-9.327053436771962</v>
      </c>
      <c r="Z187" s="159">
        <f t="shared" ca="1" si="19"/>
        <v>-14.717576365048943</v>
      </c>
      <c r="AA187" s="161">
        <f t="shared" ca="1" si="20"/>
        <v>-1471.7576365048944</v>
      </c>
    </row>
    <row r="188" spans="5:27" x14ac:dyDescent="0.25">
      <c r="E188" s="142"/>
      <c r="F188" s="142"/>
      <c r="T188" s="165">
        <v>176</v>
      </c>
      <c r="U188" s="159">
        <f t="shared" si="15"/>
        <v>-70.108499999999992</v>
      </c>
      <c r="V188" s="159">
        <f t="shared" si="16"/>
        <v>-481.45850000000002</v>
      </c>
      <c r="W188" s="159">
        <f t="shared" si="17"/>
        <v>546.11</v>
      </c>
      <c r="X188" s="159">
        <f t="shared" si="18"/>
        <v>-5.4569999999999936</v>
      </c>
      <c r="Y188" s="159">
        <f t="shared" ca="1" si="14"/>
        <v>-9.327053436771962</v>
      </c>
      <c r="Z188" s="159">
        <f t="shared" ca="1" si="19"/>
        <v>-14.717576365048943</v>
      </c>
      <c r="AA188" s="161">
        <f t="shared" ca="1" si="20"/>
        <v>-1471.7576365048944</v>
      </c>
    </row>
    <row r="189" spans="5:27" x14ac:dyDescent="0.25">
      <c r="E189" s="142"/>
      <c r="F189" s="142"/>
      <c r="T189" s="165">
        <v>177</v>
      </c>
      <c r="U189" s="159">
        <f t="shared" si="15"/>
        <v>-70.108499999999992</v>
      </c>
      <c r="V189" s="159">
        <f t="shared" si="16"/>
        <v>-480.45850000000002</v>
      </c>
      <c r="W189" s="159">
        <f t="shared" si="17"/>
        <v>545.11</v>
      </c>
      <c r="X189" s="159">
        <f t="shared" si="18"/>
        <v>-5.4569999999999936</v>
      </c>
      <c r="Y189" s="159">
        <f t="shared" ca="1" si="14"/>
        <v>-9.327053436771962</v>
      </c>
      <c r="Z189" s="159">
        <f t="shared" ca="1" si="19"/>
        <v>-14.717576365048943</v>
      </c>
      <c r="AA189" s="161">
        <f t="shared" ca="1" si="20"/>
        <v>-1471.7576365048944</v>
      </c>
    </row>
    <row r="190" spans="5:27" x14ac:dyDescent="0.25">
      <c r="E190" s="142"/>
      <c r="F190" s="142"/>
      <c r="T190" s="165">
        <v>178</v>
      </c>
      <c r="U190" s="159">
        <f t="shared" si="15"/>
        <v>-70.108499999999992</v>
      </c>
      <c r="V190" s="159">
        <f t="shared" si="16"/>
        <v>-479.45850000000002</v>
      </c>
      <c r="W190" s="159">
        <f t="shared" si="17"/>
        <v>544.11</v>
      </c>
      <c r="X190" s="159">
        <f t="shared" si="18"/>
        <v>-5.4569999999999936</v>
      </c>
      <c r="Y190" s="159">
        <f t="shared" ca="1" si="14"/>
        <v>-9.327053436771962</v>
      </c>
      <c r="Z190" s="159">
        <f t="shared" ca="1" si="19"/>
        <v>-14.717576365048943</v>
      </c>
      <c r="AA190" s="161">
        <f t="shared" ca="1" si="20"/>
        <v>-1471.7576365048944</v>
      </c>
    </row>
    <row r="191" spans="5:27" x14ac:dyDescent="0.25">
      <c r="E191" s="142"/>
      <c r="F191" s="142"/>
      <c r="T191" s="165">
        <v>179</v>
      </c>
      <c r="U191" s="159">
        <f t="shared" si="15"/>
        <v>-70.108499999999992</v>
      </c>
      <c r="V191" s="159">
        <f t="shared" si="16"/>
        <v>-478.45850000000002</v>
      </c>
      <c r="W191" s="159">
        <f t="shared" si="17"/>
        <v>543.11</v>
      </c>
      <c r="X191" s="159">
        <f t="shared" si="18"/>
        <v>-5.4569999999999936</v>
      </c>
      <c r="Y191" s="159">
        <f t="shared" ca="1" si="14"/>
        <v>-9.327053436771962</v>
      </c>
      <c r="Z191" s="159">
        <f t="shared" ca="1" si="19"/>
        <v>-14.717576365048943</v>
      </c>
      <c r="AA191" s="161">
        <f t="shared" ca="1" si="20"/>
        <v>-1471.7576365048944</v>
      </c>
    </row>
    <row r="192" spans="5:27" x14ac:dyDescent="0.25">
      <c r="E192" s="142"/>
      <c r="F192" s="142"/>
      <c r="T192" s="165">
        <v>180</v>
      </c>
      <c r="U192" s="159">
        <f t="shared" si="15"/>
        <v>-70.108499999999992</v>
      </c>
      <c r="V192" s="159">
        <f t="shared" si="16"/>
        <v>-477.45850000000002</v>
      </c>
      <c r="W192" s="159">
        <f t="shared" si="17"/>
        <v>542.11</v>
      </c>
      <c r="X192" s="159">
        <f t="shared" si="18"/>
        <v>-5.4569999999999936</v>
      </c>
      <c r="Y192" s="159">
        <f t="shared" ca="1" si="14"/>
        <v>-9.327053436771962</v>
      </c>
      <c r="Z192" s="159">
        <f t="shared" ca="1" si="19"/>
        <v>-14.717576365048943</v>
      </c>
      <c r="AA192" s="161">
        <f t="shared" ca="1" si="20"/>
        <v>-1471.7576365048944</v>
      </c>
    </row>
    <row r="193" spans="5:27" x14ac:dyDescent="0.25">
      <c r="E193" s="142"/>
      <c r="F193" s="142"/>
      <c r="T193" s="165">
        <v>181</v>
      </c>
      <c r="U193" s="159">
        <f t="shared" si="15"/>
        <v>-70.108499999999992</v>
      </c>
      <c r="V193" s="159">
        <f t="shared" si="16"/>
        <v>-476.45850000000002</v>
      </c>
      <c r="W193" s="159">
        <f t="shared" si="17"/>
        <v>541.11</v>
      </c>
      <c r="X193" s="159">
        <f t="shared" si="18"/>
        <v>-5.4569999999999936</v>
      </c>
      <c r="Y193" s="159">
        <f t="shared" ca="1" si="14"/>
        <v>-9.327053436771962</v>
      </c>
      <c r="Z193" s="159">
        <f t="shared" ca="1" si="19"/>
        <v>-14.717576365048943</v>
      </c>
      <c r="AA193" s="161">
        <f t="shared" ca="1" si="20"/>
        <v>-1471.7576365048944</v>
      </c>
    </row>
    <row r="194" spans="5:27" x14ac:dyDescent="0.25">
      <c r="E194" s="142"/>
      <c r="F194" s="142"/>
      <c r="T194" s="165">
        <v>182</v>
      </c>
      <c r="U194" s="159">
        <f t="shared" si="15"/>
        <v>-70.108499999999992</v>
      </c>
      <c r="V194" s="159">
        <f t="shared" si="16"/>
        <v>-475.45850000000002</v>
      </c>
      <c r="W194" s="159">
        <f t="shared" si="17"/>
        <v>540.11</v>
      </c>
      <c r="X194" s="159">
        <f t="shared" si="18"/>
        <v>-5.4569999999999936</v>
      </c>
      <c r="Y194" s="159">
        <f t="shared" ca="1" si="14"/>
        <v>-9.327053436771962</v>
      </c>
      <c r="Z194" s="159">
        <f t="shared" ca="1" si="19"/>
        <v>-14.717576365048943</v>
      </c>
      <c r="AA194" s="161">
        <f t="shared" ca="1" si="20"/>
        <v>-1471.7576365048944</v>
      </c>
    </row>
    <row r="195" spans="5:27" x14ac:dyDescent="0.25">
      <c r="E195" s="142"/>
      <c r="F195" s="142"/>
      <c r="T195" s="165">
        <v>183</v>
      </c>
      <c r="U195" s="159">
        <f t="shared" si="15"/>
        <v>-70.108499999999992</v>
      </c>
      <c r="V195" s="159">
        <f t="shared" si="16"/>
        <v>-474.45850000000002</v>
      </c>
      <c r="W195" s="159">
        <f t="shared" si="17"/>
        <v>539.11</v>
      </c>
      <c r="X195" s="159">
        <f t="shared" si="18"/>
        <v>-5.4569999999999936</v>
      </c>
      <c r="Y195" s="159">
        <f t="shared" ca="1" si="14"/>
        <v>-9.327053436771962</v>
      </c>
      <c r="Z195" s="159">
        <f t="shared" ca="1" si="19"/>
        <v>-14.717576365048943</v>
      </c>
      <c r="AA195" s="161">
        <f t="shared" ca="1" si="20"/>
        <v>-1471.7576365048944</v>
      </c>
    </row>
    <row r="196" spans="5:27" x14ac:dyDescent="0.25">
      <c r="E196" s="142"/>
      <c r="F196" s="142"/>
      <c r="T196" s="165">
        <v>184</v>
      </c>
      <c r="U196" s="159">
        <f t="shared" si="15"/>
        <v>-70.108499999999992</v>
      </c>
      <c r="V196" s="159">
        <f t="shared" si="16"/>
        <v>-473.45850000000002</v>
      </c>
      <c r="W196" s="159">
        <f t="shared" si="17"/>
        <v>538.11</v>
      </c>
      <c r="X196" s="159">
        <f t="shared" si="18"/>
        <v>-5.4569999999999936</v>
      </c>
      <c r="Y196" s="159">
        <f t="shared" ca="1" si="14"/>
        <v>-9.327053436771962</v>
      </c>
      <c r="Z196" s="159">
        <f t="shared" ca="1" si="19"/>
        <v>-14.717576365048943</v>
      </c>
      <c r="AA196" s="161">
        <f t="shared" ca="1" si="20"/>
        <v>-1471.7576365048944</v>
      </c>
    </row>
    <row r="197" spans="5:27" x14ac:dyDescent="0.25">
      <c r="E197" s="142"/>
      <c r="F197" s="142"/>
      <c r="T197" s="165">
        <v>185</v>
      </c>
      <c r="U197" s="159">
        <f t="shared" si="15"/>
        <v>-70.108499999999992</v>
      </c>
      <c r="V197" s="159">
        <f t="shared" si="16"/>
        <v>-472.45850000000002</v>
      </c>
      <c r="W197" s="159">
        <f t="shared" si="17"/>
        <v>537.11</v>
      </c>
      <c r="X197" s="159">
        <f t="shared" si="18"/>
        <v>-5.4569999999999936</v>
      </c>
      <c r="Y197" s="159">
        <f t="shared" ca="1" si="14"/>
        <v>-9.327053436771962</v>
      </c>
      <c r="Z197" s="159">
        <f t="shared" ca="1" si="19"/>
        <v>-14.717576365048943</v>
      </c>
      <c r="AA197" s="161">
        <f t="shared" ca="1" si="20"/>
        <v>-1471.7576365048944</v>
      </c>
    </row>
    <row r="198" spans="5:27" x14ac:dyDescent="0.25">
      <c r="E198" s="142"/>
      <c r="F198" s="142"/>
      <c r="T198" s="165">
        <v>186</v>
      </c>
      <c r="U198" s="159">
        <f t="shared" si="15"/>
        <v>-70.108499999999992</v>
      </c>
      <c r="V198" s="159">
        <f t="shared" si="16"/>
        <v>-471.45850000000002</v>
      </c>
      <c r="W198" s="159">
        <f t="shared" si="17"/>
        <v>536.11</v>
      </c>
      <c r="X198" s="159">
        <f t="shared" si="18"/>
        <v>-5.4569999999999936</v>
      </c>
      <c r="Y198" s="159">
        <f t="shared" ca="1" si="14"/>
        <v>-9.327053436771962</v>
      </c>
      <c r="Z198" s="159">
        <f t="shared" ca="1" si="19"/>
        <v>-14.717576365048943</v>
      </c>
      <c r="AA198" s="161">
        <f t="shared" ca="1" si="20"/>
        <v>-1471.7576365048944</v>
      </c>
    </row>
    <row r="199" spans="5:27" x14ac:dyDescent="0.25">
      <c r="E199" s="142"/>
      <c r="F199" s="142"/>
      <c r="T199" s="165">
        <v>187</v>
      </c>
      <c r="U199" s="159">
        <f t="shared" si="15"/>
        <v>-70.108499999999992</v>
      </c>
      <c r="V199" s="159">
        <f t="shared" si="16"/>
        <v>-470.45850000000002</v>
      </c>
      <c r="W199" s="159">
        <f t="shared" si="17"/>
        <v>535.11</v>
      </c>
      <c r="X199" s="159">
        <f t="shared" si="18"/>
        <v>-5.4569999999999936</v>
      </c>
      <c r="Y199" s="159">
        <f t="shared" ca="1" si="14"/>
        <v>-9.327053436771962</v>
      </c>
      <c r="Z199" s="159">
        <f t="shared" ca="1" si="19"/>
        <v>-14.717576365048943</v>
      </c>
      <c r="AA199" s="161">
        <f t="shared" ca="1" si="20"/>
        <v>-1471.7576365048944</v>
      </c>
    </row>
    <row r="200" spans="5:27" x14ac:dyDescent="0.25">
      <c r="E200" s="142"/>
      <c r="F200" s="142"/>
      <c r="T200" s="165">
        <v>188</v>
      </c>
      <c r="U200" s="159">
        <f t="shared" si="15"/>
        <v>-70.108499999999992</v>
      </c>
      <c r="V200" s="159">
        <f t="shared" si="16"/>
        <v>-469.45850000000002</v>
      </c>
      <c r="W200" s="159">
        <f t="shared" si="17"/>
        <v>534.11</v>
      </c>
      <c r="X200" s="159">
        <f t="shared" si="18"/>
        <v>-5.4569999999999936</v>
      </c>
      <c r="Y200" s="159">
        <f t="shared" ca="1" si="14"/>
        <v>-9.327053436771962</v>
      </c>
      <c r="Z200" s="159">
        <f t="shared" ca="1" si="19"/>
        <v>-14.717576365048943</v>
      </c>
      <c r="AA200" s="161">
        <f t="shared" ca="1" si="20"/>
        <v>-1471.7576365048944</v>
      </c>
    </row>
    <row r="201" spans="5:27" x14ac:dyDescent="0.25">
      <c r="E201" s="142"/>
      <c r="F201" s="142"/>
      <c r="T201" s="165">
        <v>189</v>
      </c>
      <c r="U201" s="159">
        <f t="shared" si="15"/>
        <v>-70.108499999999992</v>
      </c>
      <c r="V201" s="159">
        <f t="shared" si="16"/>
        <v>-468.45850000000002</v>
      </c>
      <c r="W201" s="159">
        <f t="shared" si="17"/>
        <v>533.11</v>
      </c>
      <c r="X201" s="159">
        <f t="shared" si="18"/>
        <v>-5.4569999999999936</v>
      </c>
      <c r="Y201" s="159">
        <f t="shared" ca="1" si="14"/>
        <v>-9.327053436771962</v>
      </c>
      <c r="Z201" s="159">
        <f t="shared" ca="1" si="19"/>
        <v>-14.717576365048943</v>
      </c>
      <c r="AA201" s="161">
        <f t="shared" ca="1" si="20"/>
        <v>-1471.7576365048944</v>
      </c>
    </row>
    <row r="202" spans="5:27" x14ac:dyDescent="0.25">
      <c r="E202" s="142"/>
      <c r="F202" s="142"/>
      <c r="T202" s="165">
        <v>190</v>
      </c>
      <c r="U202" s="159">
        <f t="shared" si="15"/>
        <v>-70.108499999999992</v>
      </c>
      <c r="V202" s="159">
        <f t="shared" si="16"/>
        <v>-467.45850000000002</v>
      </c>
      <c r="W202" s="159">
        <f t="shared" si="17"/>
        <v>532.11</v>
      </c>
      <c r="X202" s="159">
        <f t="shared" si="18"/>
        <v>-5.4569999999999936</v>
      </c>
      <c r="Y202" s="159">
        <f t="shared" ca="1" si="14"/>
        <v>-9.327053436771962</v>
      </c>
      <c r="Z202" s="159">
        <f t="shared" ca="1" si="19"/>
        <v>-14.717576365048943</v>
      </c>
      <c r="AA202" s="161">
        <f t="shared" ca="1" si="20"/>
        <v>-1471.7576365048944</v>
      </c>
    </row>
    <row r="203" spans="5:27" x14ac:dyDescent="0.25">
      <c r="E203" s="142"/>
      <c r="F203" s="142"/>
      <c r="T203" s="165">
        <v>191</v>
      </c>
      <c r="U203" s="159">
        <f t="shared" si="15"/>
        <v>-70.108499999999992</v>
      </c>
      <c r="V203" s="159">
        <f t="shared" si="16"/>
        <v>-466.45850000000002</v>
      </c>
      <c r="W203" s="159">
        <f t="shared" si="17"/>
        <v>531.11</v>
      </c>
      <c r="X203" s="159">
        <f t="shared" si="18"/>
        <v>-5.4569999999999936</v>
      </c>
      <c r="Y203" s="159">
        <f t="shared" ca="1" si="14"/>
        <v>-9.327053436771962</v>
      </c>
      <c r="Z203" s="159">
        <f t="shared" ca="1" si="19"/>
        <v>-14.717576365048943</v>
      </c>
      <c r="AA203" s="161">
        <f t="shared" ca="1" si="20"/>
        <v>-1471.7576365048944</v>
      </c>
    </row>
    <row r="204" spans="5:27" x14ac:dyDescent="0.25">
      <c r="E204" s="142"/>
      <c r="F204" s="142"/>
      <c r="T204" s="165">
        <v>192</v>
      </c>
      <c r="U204" s="159">
        <f t="shared" si="15"/>
        <v>-70.108499999999992</v>
      </c>
      <c r="V204" s="159">
        <f t="shared" si="16"/>
        <v>-465.45850000000002</v>
      </c>
      <c r="W204" s="159">
        <f t="shared" si="17"/>
        <v>530.11</v>
      </c>
      <c r="X204" s="159">
        <f t="shared" si="18"/>
        <v>-5.4569999999999936</v>
      </c>
      <c r="Y204" s="159">
        <f t="shared" ref="Y204:Y267" ca="1" si="21">$Y$10*EXP($Y$7*$C$6)-$Y$10</f>
        <v>-9.327053436771962</v>
      </c>
      <c r="Z204" s="159">
        <f t="shared" ca="1" si="19"/>
        <v>-14.717576365048943</v>
      </c>
      <c r="AA204" s="161">
        <f t="shared" ca="1" si="20"/>
        <v>-1471.7576365048944</v>
      </c>
    </row>
    <row r="205" spans="5:27" x14ac:dyDescent="0.25">
      <c r="E205" s="142"/>
      <c r="F205" s="142"/>
      <c r="T205" s="165">
        <v>193</v>
      </c>
      <c r="U205" s="159">
        <f t="shared" ref="U205:U268" si="22">MAX(0,T205-$U$9)-$U$10-$U$11/100</f>
        <v>-70.108499999999992</v>
      </c>
      <c r="V205" s="159">
        <f t="shared" ref="V205:V268" si="23">$V$10-MAX(0,$V$9-T205)-$V$11/100</f>
        <v>-464.45850000000002</v>
      </c>
      <c r="W205" s="159">
        <f t="shared" ref="W205:W268" si="24">$W$10-T205</f>
        <v>529.11</v>
      </c>
      <c r="X205" s="159">
        <f t="shared" ref="X205:X268" si="25">SUM(U205:W205)</f>
        <v>-5.4569999999999936</v>
      </c>
      <c r="Y205" s="159">
        <f t="shared" ca="1" si="21"/>
        <v>-9.327053436771962</v>
      </c>
      <c r="Z205" s="159">
        <f t="shared" ref="Z205:Z268" ca="1" si="26">EXP(-$E$3*$C$6)*SUM(X205:Y205)</f>
        <v>-14.717576365048943</v>
      </c>
      <c r="AA205" s="161">
        <f t="shared" ref="AA205:AA268" ca="1" si="27">Z205*100</f>
        <v>-1471.7576365048944</v>
      </c>
    </row>
    <row r="206" spans="5:27" x14ac:dyDescent="0.25">
      <c r="E206" s="142"/>
      <c r="F206" s="142"/>
      <c r="T206" s="165">
        <v>194</v>
      </c>
      <c r="U206" s="159">
        <f t="shared" si="22"/>
        <v>-70.108499999999992</v>
      </c>
      <c r="V206" s="159">
        <f t="shared" si="23"/>
        <v>-463.45850000000002</v>
      </c>
      <c r="W206" s="159">
        <f t="shared" si="24"/>
        <v>528.11</v>
      </c>
      <c r="X206" s="159">
        <f t="shared" si="25"/>
        <v>-5.4569999999999936</v>
      </c>
      <c r="Y206" s="159">
        <f t="shared" ca="1" si="21"/>
        <v>-9.327053436771962</v>
      </c>
      <c r="Z206" s="159">
        <f t="shared" ca="1" si="26"/>
        <v>-14.717576365048943</v>
      </c>
      <c r="AA206" s="161">
        <f t="shared" ca="1" si="27"/>
        <v>-1471.7576365048944</v>
      </c>
    </row>
    <row r="207" spans="5:27" x14ac:dyDescent="0.25">
      <c r="E207" s="142"/>
      <c r="F207" s="142"/>
      <c r="T207" s="165">
        <v>195</v>
      </c>
      <c r="U207" s="159">
        <f t="shared" si="22"/>
        <v>-70.108499999999992</v>
      </c>
      <c r="V207" s="159">
        <f t="shared" si="23"/>
        <v>-462.45850000000002</v>
      </c>
      <c r="W207" s="159">
        <f t="shared" si="24"/>
        <v>527.11</v>
      </c>
      <c r="X207" s="159">
        <f t="shared" si="25"/>
        <v>-5.4569999999999936</v>
      </c>
      <c r="Y207" s="159">
        <f t="shared" ca="1" si="21"/>
        <v>-9.327053436771962</v>
      </c>
      <c r="Z207" s="159">
        <f t="shared" ca="1" si="26"/>
        <v>-14.717576365048943</v>
      </c>
      <c r="AA207" s="161">
        <f t="shared" ca="1" si="27"/>
        <v>-1471.7576365048944</v>
      </c>
    </row>
    <row r="208" spans="5:27" x14ac:dyDescent="0.25">
      <c r="E208" s="142"/>
      <c r="F208" s="142"/>
      <c r="T208" s="165">
        <v>196</v>
      </c>
      <c r="U208" s="159">
        <f t="shared" si="22"/>
        <v>-70.108499999999992</v>
      </c>
      <c r="V208" s="159">
        <f t="shared" si="23"/>
        <v>-461.45850000000002</v>
      </c>
      <c r="W208" s="159">
        <f t="shared" si="24"/>
        <v>526.11</v>
      </c>
      <c r="X208" s="159">
        <f t="shared" si="25"/>
        <v>-5.4569999999999936</v>
      </c>
      <c r="Y208" s="159">
        <f t="shared" ca="1" si="21"/>
        <v>-9.327053436771962</v>
      </c>
      <c r="Z208" s="159">
        <f t="shared" ca="1" si="26"/>
        <v>-14.717576365048943</v>
      </c>
      <c r="AA208" s="161">
        <f t="shared" ca="1" si="27"/>
        <v>-1471.7576365048944</v>
      </c>
    </row>
    <row r="209" spans="5:27" x14ac:dyDescent="0.25">
      <c r="E209" s="142"/>
      <c r="F209" s="142"/>
      <c r="T209" s="165">
        <v>197</v>
      </c>
      <c r="U209" s="159">
        <f t="shared" si="22"/>
        <v>-70.108499999999992</v>
      </c>
      <c r="V209" s="159">
        <f t="shared" si="23"/>
        <v>-460.45850000000002</v>
      </c>
      <c r="W209" s="159">
        <f t="shared" si="24"/>
        <v>525.11</v>
      </c>
      <c r="X209" s="159">
        <f t="shared" si="25"/>
        <v>-5.4569999999999936</v>
      </c>
      <c r="Y209" s="159">
        <f t="shared" ca="1" si="21"/>
        <v>-9.327053436771962</v>
      </c>
      <c r="Z209" s="159">
        <f t="shared" ca="1" si="26"/>
        <v>-14.717576365048943</v>
      </c>
      <c r="AA209" s="161">
        <f t="shared" ca="1" si="27"/>
        <v>-1471.7576365048944</v>
      </c>
    </row>
    <row r="210" spans="5:27" x14ac:dyDescent="0.25">
      <c r="E210" s="142"/>
      <c r="F210" s="142"/>
      <c r="T210" s="165">
        <v>198</v>
      </c>
      <c r="U210" s="159">
        <f t="shared" si="22"/>
        <v>-70.108499999999992</v>
      </c>
      <c r="V210" s="159">
        <f t="shared" si="23"/>
        <v>-459.45850000000002</v>
      </c>
      <c r="W210" s="159">
        <f t="shared" si="24"/>
        <v>524.11</v>
      </c>
      <c r="X210" s="159">
        <f t="shared" si="25"/>
        <v>-5.4569999999999936</v>
      </c>
      <c r="Y210" s="159">
        <f t="shared" ca="1" si="21"/>
        <v>-9.327053436771962</v>
      </c>
      <c r="Z210" s="159">
        <f t="shared" ca="1" si="26"/>
        <v>-14.717576365048943</v>
      </c>
      <c r="AA210" s="161">
        <f t="shared" ca="1" si="27"/>
        <v>-1471.7576365048944</v>
      </c>
    </row>
    <row r="211" spans="5:27" x14ac:dyDescent="0.25">
      <c r="E211" s="142"/>
      <c r="F211" s="142"/>
      <c r="T211" s="165">
        <v>199</v>
      </c>
      <c r="U211" s="159">
        <f t="shared" si="22"/>
        <v>-70.108499999999992</v>
      </c>
      <c r="V211" s="159">
        <f t="shared" si="23"/>
        <v>-458.45850000000002</v>
      </c>
      <c r="W211" s="159">
        <f t="shared" si="24"/>
        <v>523.11</v>
      </c>
      <c r="X211" s="159">
        <f t="shared" si="25"/>
        <v>-5.4569999999999936</v>
      </c>
      <c r="Y211" s="159">
        <f t="shared" ca="1" si="21"/>
        <v>-9.327053436771962</v>
      </c>
      <c r="Z211" s="159">
        <f t="shared" ca="1" si="26"/>
        <v>-14.717576365048943</v>
      </c>
      <c r="AA211" s="161">
        <f t="shared" ca="1" si="27"/>
        <v>-1471.7576365048944</v>
      </c>
    </row>
    <row r="212" spans="5:27" x14ac:dyDescent="0.25">
      <c r="E212" s="142"/>
      <c r="F212" s="142"/>
      <c r="T212" s="165">
        <v>200</v>
      </c>
      <c r="U212" s="159">
        <f t="shared" si="22"/>
        <v>-70.108499999999992</v>
      </c>
      <c r="V212" s="159">
        <f t="shared" si="23"/>
        <v>-457.45850000000002</v>
      </c>
      <c r="W212" s="159">
        <f t="shared" si="24"/>
        <v>522.11</v>
      </c>
      <c r="X212" s="159">
        <f t="shared" si="25"/>
        <v>-5.4569999999999936</v>
      </c>
      <c r="Y212" s="159">
        <f t="shared" ca="1" si="21"/>
        <v>-9.327053436771962</v>
      </c>
      <c r="Z212" s="159">
        <f t="shared" ca="1" si="26"/>
        <v>-14.717576365048943</v>
      </c>
      <c r="AA212" s="161">
        <f t="shared" ca="1" si="27"/>
        <v>-1471.7576365048944</v>
      </c>
    </row>
    <row r="213" spans="5:27" x14ac:dyDescent="0.25">
      <c r="E213" s="142"/>
      <c r="F213" s="142"/>
      <c r="T213" s="165">
        <v>201</v>
      </c>
      <c r="U213" s="159">
        <f t="shared" si="22"/>
        <v>-70.108499999999992</v>
      </c>
      <c r="V213" s="159">
        <f t="shared" si="23"/>
        <v>-456.45850000000002</v>
      </c>
      <c r="W213" s="159">
        <f t="shared" si="24"/>
        <v>521.11</v>
      </c>
      <c r="X213" s="159">
        <f t="shared" si="25"/>
        <v>-5.4569999999999936</v>
      </c>
      <c r="Y213" s="159">
        <f t="shared" ca="1" si="21"/>
        <v>-9.327053436771962</v>
      </c>
      <c r="Z213" s="159">
        <f t="shared" ca="1" si="26"/>
        <v>-14.717576365048943</v>
      </c>
      <c r="AA213" s="161">
        <f t="shared" ca="1" si="27"/>
        <v>-1471.7576365048944</v>
      </c>
    </row>
    <row r="214" spans="5:27" x14ac:dyDescent="0.25">
      <c r="E214" s="142"/>
      <c r="F214" s="142"/>
      <c r="T214" s="165">
        <v>202</v>
      </c>
      <c r="U214" s="159">
        <f t="shared" si="22"/>
        <v>-70.108499999999992</v>
      </c>
      <c r="V214" s="159">
        <f t="shared" si="23"/>
        <v>-455.45850000000002</v>
      </c>
      <c r="W214" s="159">
        <f t="shared" si="24"/>
        <v>520.11</v>
      </c>
      <c r="X214" s="159">
        <f t="shared" si="25"/>
        <v>-5.4569999999999936</v>
      </c>
      <c r="Y214" s="159">
        <f t="shared" ca="1" si="21"/>
        <v>-9.327053436771962</v>
      </c>
      <c r="Z214" s="159">
        <f t="shared" ca="1" si="26"/>
        <v>-14.717576365048943</v>
      </c>
      <c r="AA214" s="161">
        <f t="shared" ca="1" si="27"/>
        <v>-1471.7576365048944</v>
      </c>
    </row>
    <row r="215" spans="5:27" x14ac:dyDescent="0.25">
      <c r="E215" s="142"/>
      <c r="F215" s="142"/>
      <c r="T215" s="165">
        <v>203</v>
      </c>
      <c r="U215" s="159">
        <f t="shared" si="22"/>
        <v>-70.108499999999992</v>
      </c>
      <c r="V215" s="159">
        <f t="shared" si="23"/>
        <v>-454.45850000000002</v>
      </c>
      <c r="W215" s="159">
        <f t="shared" si="24"/>
        <v>519.11</v>
      </c>
      <c r="X215" s="159">
        <f t="shared" si="25"/>
        <v>-5.4569999999999936</v>
      </c>
      <c r="Y215" s="159">
        <f t="shared" ca="1" si="21"/>
        <v>-9.327053436771962</v>
      </c>
      <c r="Z215" s="159">
        <f t="shared" ca="1" si="26"/>
        <v>-14.717576365048943</v>
      </c>
      <c r="AA215" s="161">
        <f t="shared" ca="1" si="27"/>
        <v>-1471.7576365048944</v>
      </c>
    </row>
    <row r="216" spans="5:27" x14ac:dyDescent="0.25">
      <c r="E216" s="142"/>
      <c r="F216" s="142"/>
      <c r="T216" s="165">
        <v>204</v>
      </c>
      <c r="U216" s="159">
        <f t="shared" si="22"/>
        <v>-70.108499999999992</v>
      </c>
      <c r="V216" s="159">
        <f t="shared" si="23"/>
        <v>-453.45850000000002</v>
      </c>
      <c r="W216" s="159">
        <f t="shared" si="24"/>
        <v>518.11</v>
      </c>
      <c r="X216" s="159">
        <f t="shared" si="25"/>
        <v>-5.4569999999999936</v>
      </c>
      <c r="Y216" s="159">
        <f t="shared" ca="1" si="21"/>
        <v>-9.327053436771962</v>
      </c>
      <c r="Z216" s="159">
        <f t="shared" ca="1" si="26"/>
        <v>-14.717576365048943</v>
      </c>
      <c r="AA216" s="161">
        <f t="shared" ca="1" si="27"/>
        <v>-1471.7576365048944</v>
      </c>
    </row>
    <row r="217" spans="5:27" x14ac:dyDescent="0.25">
      <c r="E217" s="142"/>
      <c r="F217" s="142"/>
      <c r="T217" s="165">
        <v>205</v>
      </c>
      <c r="U217" s="159">
        <f t="shared" si="22"/>
        <v>-70.108499999999992</v>
      </c>
      <c r="V217" s="159">
        <f t="shared" si="23"/>
        <v>-452.45850000000002</v>
      </c>
      <c r="W217" s="159">
        <f t="shared" si="24"/>
        <v>517.11</v>
      </c>
      <c r="X217" s="159">
        <f t="shared" si="25"/>
        <v>-5.4569999999999936</v>
      </c>
      <c r="Y217" s="159">
        <f t="shared" ca="1" si="21"/>
        <v>-9.327053436771962</v>
      </c>
      <c r="Z217" s="159">
        <f t="shared" ca="1" si="26"/>
        <v>-14.717576365048943</v>
      </c>
      <c r="AA217" s="161">
        <f t="shared" ca="1" si="27"/>
        <v>-1471.7576365048944</v>
      </c>
    </row>
    <row r="218" spans="5:27" x14ac:dyDescent="0.25">
      <c r="E218" s="142"/>
      <c r="F218" s="142"/>
      <c r="T218" s="165">
        <v>206</v>
      </c>
      <c r="U218" s="159">
        <f t="shared" si="22"/>
        <v>-70.108499999999992</v>
      </c>
      <c r="V218" s="159">
        <f t="shared" si="23"/>
        <v>-451.45850000000002</v>
      </c>
      <c r="W218" s="159">
        <f t="shared" si="24"/>
        <v>516.11</v>
      </c>
      <c r="X218" s="159">
        <f t="shared" si="25"/>
        <v>-5.4569999999999936</v>
      </c>
      <c r="Y218" s="159">
        <f t="shared" ca="1" si="21"/>
        <v>-9.327053436771962</v>
      </c>
      <c r="Z218" s="159">
        <f t="shared" ca="1" si="26"/>
        <v>-14.717576365048943</v>
      </c>
      <c r="AA218" s="161">
        <f t="shared" ca="1" si="27"/>
        <v>-1471.7576365048944</v>
      </c>
    </row>
    <row r="219" spans="5:27" x14ac:dyDescent="0.25">
      <c r="E219" s="142"/>
      <c r="F219" s="142"/>
      <c r="T219" s="165">
        <v>207</v>
      </c>
      <c r="U219" s="159">
        <f t="shared" si="22"/>
        <v>-70.108499999999992</v>
      </c>
      <c r="V219" s="159">
        <f t="shared" si="23"/>
        <v>-450.45850000000002</v>
      </c>
      <c r="W219" s="159">
        <f t="shared" si="24"/>
        <v>515.11</v>
      </c>
      <c r="X219" s="159">
        <f t="shared" si="25"/>
        <v>-5.4569999999999936</v>
      </c>
      <c r="Y219" s="159">
        <f t="shared" ca="1" si="21"/>
        <v>-9.327053436771962</v>
      </c>
      <c r="Z219" s="159">
        <f t="shared" ca="1" si="26"/>
        <v>-14.717576365048943</v>
      </c>
      <c r="AA219" s="161">
        <f t="shared" ca="1" si="27"/>
        <v>-1471.7576365048944</v>
      </c>
    </row>
    <row r="220" spans="5:27" x14ac:dyDescent="0.25">
      <c r="E220" s="142"/>
      <c r="F220" s="142"/>
      <c r="T220" s="165">
        <v>208</v>
      </c>
      <c r="U220" s="159">
        <f t="shared" si="22"/>
        <v>-70.108499999999992</v>
      </c>
      <c r="V220" s="159">
        <f t="shared" si="23"/>
        <v>-449.45850000000002</v>
      </c>
      <c r="W220" s="159">
        <f t="shared" si="24"/>
        <v>514.11</v>
      </c>
      <c r="X220" s="159">
        <f t="shared" si="25"/>
        <v>-5.4569999999999936</v>
      </c>
      <c r="Y220" s="159">
        <f t="shared" ca="1" si="21"/>
        <v>-9.327053436771962</v>
      </c>
      <c r="Z220" s="159">
        <f t="shared" ca="1" si="26"/>
        <v>-14.717576365048943</v>
      </c>
      <c r="AA220" s="161">
        <f t="shared" ca="1" si="27"/>
        <v>-1471.7576365048944</v>
      </c>
    </row>
    <row r="221" spans="5:27" x14ac:dyDescent="0.25">
      <c r="E221" s="142"/>
      <c r="F221" s="142"/>
      <c r="T221" s="165">
        <v>209</v>
      </c>
      <c r="U221" s="159">
        <f t="shared" si="22"/>
        <v>-70.108499999999992</v>
      </c>
      <c r="V221" s="159">
        <f t="shared" si="23"/>
        <v>-448.45850000000002</v>
      </c>
      <c r="W221" s="159">
        <f t="shared" si="24"/>
        <v>513.11</v>
      </c>
      <c r="X221" s="159">
        <f t="shared" si="25"/>
        <v>-5.4569999999999936</v>
      </c>
      <c r="Y221" s="159">
        <f t="shared" ca="1" si="21"/>
        <v>-9.327053436771962</v>
      </c>
      <c r="Z221" s="159">
        <f t="shared" ca="1" si="26"/>
        <v>-14.717576365048943</v>
      </c>
      <c r="AA221" s="161">
        <f t="shared" ca="1" si="27"/>
        <v>-1471.7576365048944</v>
      </c>
    </row>
    <row r="222" spans="5:27" x14ac:dyDescent="0.25">
      <c r="E222" s="142"/>
      <c r="F222" s="142"/>
      <c r="T222" s="165">
        <v>210</v>
      </c>
      <c r="U222" s="159">
        <f t="shared" si="22"/>
        <v>-70.108499999999992</v>
      </c>
      <c r="V222" s="159">
        <f t="shared" si="23"/>
        <v>-447.45850000000002</v>
      </c>
      <c r="W222" s="159">
        <f t="shared" si="24"/>
        <v>512.11</v>
      </c>
      <c r="X222" s="159">
        <f t="shared" si="25"/>
        <v>-5.4569999999999936</v>
      </c>
      <c r="Y222" s="159">
        <f t="shared" ca="1" si="21"/>
        <v>-9.327053436771962</v>
      </c>
      <c r="Z222" s="159">
        <f t="shared" ca="1" si="26"/>
        <v>-14.717576365048943</v>
      </c>
      <c r="AA222" s="161">
        <f t="shared" ca="1" si="27"/>
        <v>-1471.7576365048944</v>
      </c>
    </row>
    <row r="223" spans="5:27" x14ac:dyDescent="0.25">
      <c r="E223" s="142"/>
      <c r="F223" s="142"/>
      <c r="T223" s="165">
        <v>211</v>
      </c>
      <c r="U223" s="159">
        <f t="shared" si="22"/>
        <v>-70.108499999999992</v>
      </c>
      <c r="V223" s="159">
        <f t="shared" si="23"/>
        <v>-446.45850000000002</v>
      </c>
      <c r="W223" s="159">
        <f t="shared" si="24"/>
        <v>511.11</v>
      </c>
      <c r="X223" s="159">
        <f t="shared" si="25"/>
        <v>-5.4569999999999936</v>
      </c>
      <c r="Y223" s="159">
        <f t="shared" ca="1" si="21"/>
        <v>-9.327053436771962</v>
      </c>
      <c r="Z223" s="159">
        <f t="shared" ca="1" si="26"/>
        <v>-14.717576365048943</v>
      </c>
      <c r="AA223" s="161">
        <f t="shared" ca="1" si="27"/>
        <v>-1471.7576365048944</v>
      </c>
    </row>
    <row r="224" spans="5:27" x14ac:dyDescent="0.25">
      <c r="E224" s="142"/>
      <c r="F224" s="142"/>
      <c r="T224" s="165">
        <v>212</v>
      </c>
      <c r="U224" s="159">
        <f t="shared" si="22"/>
        <v>-70.108499999999992</v>
      </c>
      <c r="V224" s="159">
        <f t="shared" si="23"/>
        <v>-445.45850000000002</v>
      </c>
      <c r="W224" s="159">
        <f t="shared" si="24"/>
        <v>510.11</v>
      </c>
      <c r="X224" s="159">
        <f t="shared" si="25"/>
        <v>-5.4569999999999936</v>
      </c>
      <c r="Y224" s="159">
        <f t="shared" ca="1" si="21"/>
        <v>-9.327053436771962</v>
      </c>
      <c r="Z224" s="159">
        <f t="shared" ca="1" si="26"/>
        <v>-14.717576365048943</v>
      </c>
      <c r="AA224" s="161">
        <f t="shared" ca="1" si="27"/>
        <v>-1471.7576365048944</v>
      </c>
    </row>
    <row r="225" spans="5:27" x14ac:dyDescent="0.25">
      <c r="E225" s="142"/>
      <c r="F225" s="142"/>
      <c r="T225" s="165">
        <v>213</v>
      </c>
      <c r="U225" s="159">
        <f t="shared" si="22"/>
        <v>-70.108499999999992</v>
      </c>
      <c r="V225" s="159">
        <f t="shared" si="23"/>
        <v>-444.45850000000002</v>
      </c>
      <c r="W225" s="159">
        <f t="shared" si="24"/>
        <v>509.11</v>
      </c>
      <c r="X225" s="159">
        <f t="shared" si="25"/>
        <v>-5.4569999999999936</v>
      </c>
      <c r="Y225" s="159">
        <f t="shared" ca="1" si="21"/>
        <v>-9.327053436771962</v>
      </c>
      <c r="Z225" s="159">
        <f t="shared" ca="1" si="26"/>
        <v>-14.717576365048943</v>
      </c>
      <c r="AA225" s="161">
        <f t="shared" ca="1" si="27"/>
        <v>-1471.7576365048944</v>
      </c>
    </row>
    <row r="226" spans="5:27" x14ac:dyDescent="0.25">
      <c r="E226" s="142"/>
      <c r="F226" s="142"/>
      <c r="T226" s="165">
        <v>214</v>
      </c>
      <c r="U226" s="159">
        <f t="shared" si="22"/>
        <v>-70.108499999999992</v>
      </c>
      <c r="V226" s="159">
        <f t="shared" si="23"/>
        <v>-443.45850000000002</v>
      </c>
      <c r="W226" s="159">
        <f t="shared" si="24"/>
        <v>508.11</v>
      </c>
      <c r="X226" s="159">
        <f t="shared" si="25"/>
        <v>-5.4569999999999936</v>
      </c>
      <c r="Y226" s="159">
        <f t="shared" ca="1" si="21"/>
        <v>-9.327053436771962</v>
      </c>
      <c r="Z226" s="159">
        <f t="shared" ca="1" si="26"/>
        <v>-14.717576365048943</v>
      </c>
      <c r="AA226" s="161">
        <f t="shared" ca="1" si="27"/>
        <v>-1471.7576365048944</v>
      </c>
    </row>
    <row r="227" spans="5:27" x14ac:dyDescent="0.25">
      <c r="E227" s="142"/>
      <c r="F227" s="142"/>
      <c r="T227" s="165">
        <v>215</v>
      </c>
      <c r="U227" s="159">
        <f t="shared" si="22"/>
        <v>-70.108499999999992</v>
      </c>
      <c r="V227" s="159">
        <f t="shared" si="23"/>
        <v>-442.45850000000002</v>
      </c>
      <c r="W227" s="159">
        <f t="shared" si="24"/>
        <v>507.11</v>
      </c>
      <c r="X227" s="159">
        <f t="shared" si="25"/>
        <v>-5.4569999999999936</v>
      </c>
      <c r="Y227" s="159">
        <f t="shared" ca="1" si="21"/>
        <v>-9.327053436771962</v>
      </c>
      <c r="Z227" s="159">
        <f t="shared" ca="1" si="26"/>
        <v>-14.717576365048943</v>
      </c>
      <c r="AA227" s="161">
        <f t="shared" ca="1" si="27"/>
        <v>-1471.7576365048944</v>
      </c>
    </row>
    <row r="228" spans="5:27" x14ac:dyDescent="0.25">
      <c r="E228" s="142"/>
      <c r="F228" s="142"/>
      <c r="T228" s="165">
        <v>216</v>
      </c>
      <c r="U228" s="159">
        <f t="shared" si="22"/>
        <v>-70.108499999999992</v>
      </c>
      <c r="V228" s="159">
        <f t="shared" si="23"/>
        <v>-441.45850000000002</v>
      </c>
      <c r="W228" s="159">
        <f t="shared" si="24"/>
        <v>506.11</v>
      </c>
      <c r="X228" s="159">
        <f t="shared" si="25"/>
        <v>-5.4569999999999936</v>
      </c>
      <c r="Y228" s="159">
        <f t="shared" ca="1" si="21"/>
        <v>-9.327053436771962</v>
      </c>
      <c r="Z228" s="159">
        <f t="shared" ca="1" si="26"/>
        <v>-14.717576365048943</v>
      </c>
      <c r="AA228" s="161">
        <f t="shared" ca="1" si="27"/>
        <v>-1471.7576365048944</v>
      </c>
    </row>
    <row r="229" spans="5:27" x14ac:dyDescent="0.25">
      <c r="E229" s="142"/>
      <c r="F229" s="142"/>
      <c r="T229" s="165">
        <v>217</v>
      </c>
      <c r="U229" s="159">
        <f t="shared" si="22"/>
        <v>-70.108499999999992</v>
      </c>
      <c r="V229" s="159">
        <f t="shared" si="23"/>
        <v>-440.45850000000002</v>
      </c>
      <c r="W229" s="159">
        <f t="shared" si="24"/>
        <v>505.11</v>
      </c>
      <c r="X229" s="159">
        <f t="shared" si="25"/>
        <v>-5.4569999999999936</v>
      </c>
      <c r="Y229" s="159">
        <f t="shared" ca="1" si="21"/>
        <v>-9.327053436771962</v>
      </c>
      <c r="Z229" s="159">
        <f t="shared" ca="1" si="26"/>
        <v>-14.717576365048943</v>
      </c>
      <c r="AA229" s="161">
        <f t="shared" ca="1" si="27"/>
        <v>-1471.7576365048944</v>
      </c>
    </row>
    <row r="230" spans="5:27" x14ac:dyDescent="0.25">
      <c r="E230" s="142"/>
      <c r="F230" s="142"/>
      <c r="T230" s="165">
        <v>218</v>
      </c>
      <c r="U230" s="159">
        <f t="shared" si="22"/>
        <v>-70.108499999999992</v>
      </c>
      <c r="V230" s="159">
        <f t="shared" si="23"/>
        <v>-439.45850000000002</v>
      </c>
      <c r="W230" s="159">
        <f t="shared" si="24"/>
        <v>504.11</v>
      </c>
      <c r="X230" s="159">
        <f t="shared" si="25"/>
        <v>-5.4569999999999936</v>
      </c>
      <c r="Y230" s="159">
        <f t="shared" ca="1" si="21"/>
        <v>-9.327053436771962</v>
      </c>
      <c r="Z230" s="159">
        <f t="shared" ca="1" si="26"/>
        <v>-14.717576365048943</v>
      </c>
      <c r="AA230" s="161">
        <f t="shared" ca="1" si="27"/>
        <v>-1471.7576365048944</v>
      </c>
    </row>
    <row r="231" spans="5:27" x14ac:dyDescent="0.25">
      <c r="E231" s="142"/>
      <c r="F231" s="142"/>
      <c r="T231" s="165">
        <v>219</v>
      </c>
      <c r="U231" s="159">
        <f t="shared" si="22"/>
        <v>-70.108499999999992</v>
      </c>
      <c r="V231" s="159">
        <f t="shared" si="23"/>
        <v>-438.45850000000002</v>
      </c>
      <c r="W231" s="159">
        <f t="shared" si="24"/>
        <v>503.11</v>
      </c>
      <c r="X231" s="159">
        <f t="shared" si="25"/>
        <v>-5.4569999999999936</v>
      </c>
      <c r="Y231" s="159">
        <f t="shared" ca="1" si="21"/>
        <v>-9.327053436771962</v>
      </c>
      <c r="Z231" s="159">
        <f t="shared" ca="1" si="26"/>
        <v>-14.717576365048943</v>
      </c>
      <c r="AA231" s="161">
        <f t="shared" ca="1" si="27"/>
        <v>-1471.7576365048944</v>
      </c>
    </row>
    <row r="232" spans="5:27" x14ac:dyDescent="0.25">
      <c r="E232" s="142"/>
      <c r="F232" s="142"/>
      <c r="T232" s="165">
        <v>220</v>
      </c>
      <c r="U232" s="159">
        <f t="shared" si="22"/>
        <v>-70.108499999999992</v>
      </c>
      <c r="V232" s="159">
        <f t="shared" si="23"/>
        <v>-437.45850000000002</v>
      </c>
      <c r="W232" s="159">
        <f t="shared" si="24"/>
        <v>502.11</v>
      </c>
      <c r="X232" s="159">
        <f t="shared" si="25"/>
        <v>-5.4569999999999936</v>
      </c>
      <c r="Y232" s="159">
        <f t="shared" ca="1" si="21"/>
        <v>-9.327053436771962</v>
      </c>
      <c r="Z232" s="159">
        <f t="shared" ca="1" si="26"/>
        <v>-14.717576365048943</v>
      </c>
      <c r="AA232" s="161">
        <f t="shared" ca="1" si="27"/>
        <v>-1471.7576365048944</v>
      </c>
    </row>
    <row r="233" spans="5:27" x14ac:dyDescent="0.25">
      <c r="E233" s="142"/>
      <c r="F233" s="142"/>
      <c r="T233" s="165">
        <v>221</v>
      </c>
      <c r="U233" s="159">
        <f t="shared" si="22"/>
        <v>-70.108499999999992</v>
      </c>
      <c r="V233" s="159">
        <f t="shared" si="23"/>
        <v>-436.45850000000002</v>
      </c>
      <c r="W233" s="159">
        <f t="shared" si="24"/>
        <v>501.11</v>
      </c>
      <c r="X233" s="159">
        <f t="shared" si="25"/>
        <v>-5.4569999999999936</v>
      </c>
      <c r="Y233" s="159">
        <f t="shared" ca="1" si="21"/>
        <v>-9.327053436771962</v>
      </c>
      <c r="Z233" s="159">
        <f t="shared" ca="1" si="26"/>
        <v>-14.717576365048943</v>
      </c>
      <c r="AA233" s="161">
        <f t="shared" ca="1" si="27"/>
        <v>-1471.7576365048944</v>
      </c>
    </row>
    <row r="234" spans="5:27" x14ac:dyDescent="0.25">
      <c r="E234" s="142"/>
      <c r="F234" s="142"/>
      <c r="T234" s="165">
        <v>222</v>
      </c>
      <c r="U234" s="159">
        <f t="shared" si="22"/>
        <v>-70.108499999999992</v>
      </c>
      <c r="V234" s="159">
        <f t="shared" si="23"/>
        <v>-435.45850000000002</v>
      </c>
      <c r="W234" s="159">
        <f t="shared" si="24"/>
        <v>500.11</v>
      </c>
      <c r="X234" s="159">
        <f t="shared" si="25"/>
        <v>-5.4569999999999936</v>
      </c>
      <c r="Y234" s="159">
        <f t="shared" ca="1" si="21"/>
        <v>-9.327053436771962</v>
      </c>
      <c r="Z234" s="159">
        <f t="shared" ca="1" si="26"/>
        <v>-14.717576365048943</v>
      </c>
      <c r="AA234" s="161">
        <f t="shared" ca="1" si="27"/>
        <v>-1471.7576365048944</v>
      </c>
    </row>
    <row r="235" spans="5:27" x14ac:dyDescent="0.25">
      <c r="E235" s="142"/>
      <c r="F235" s="142"/>
      <c r="T235" s="165">
        <v>223</v>
      </c>
      <c r="U235" s="159">
        <f t="shared" si="22"/>
        <v>-70.108499999999992</v>
      </c>
      <c r="V235" s="159">
        <f t="shared" si="23"/>
        <v>-434.45850000000002</v>
      </c>
      <c r="W235" s="159">
        <f t="shared" si="24"/>
        <v>499.11</v>
      </c>
      <c r="X235" s="159">
        <f t="shared" si="25"/>
        <v>-5.4569999999999936</v>
      </c>
      <c r="Y235" s="159">
        <f t="shared" ca="1" si="21"/>
        <v>-9.327053436771962</v>
      </c>
      <c r="Z235" s="159">
        <f t="shared" ca="1" si="26"/>
        <v>-14.717576365048943</v>
      </c>
      <c r="AA235" s="161">
        <f t="shared" ca="1" si="27"/>
        <v>-1471.7576365048944</v>
      </c>
    </row>
    <row r="236" spans="5:27" x14ac:dyDescent="0.25">
      <c r="E236" s="142"/>
      <c r="F236" s="142"/>
      <c r="T236" s="165">
        <v>224</v>
      </c>
      <c r="U236" s="159">
        <f t="shared" si="22"/>
        <v>-70.108499999999992</v>
      </c>
      <c r="V236" s="159">
        <f t="shared" si="23"/>
        <v>-433.45850000000002</v>
      </c>
      <c r="W236" s="159">
        <f t="shared" si="24"/>
        <v>498.11</v>
      </c>
      <c r="X236" s="159">
        <f t="shared" si="25"/>
        <v>-5.4569999999999936</v>
      </c>
      <c r="Y236" s="159">
        <f t="shared" ca="1" si="21"/>
        <v>-9.327053436771962</v>
      </c>
      <c r="Z236" s="159">
        <f t="shared" ca="1" si="26"/>
        <v>-14.717576365048943</v>
      </c>
      <c r="AA236" s="161">
        <f t="shared" ca="1" si="27"/>
        <v>-1471.7576365048944</v>
      </c>
    </row>
    <row r="237" spans="5:27" x14ac:dyDescent="0.25">
      <c r="E237" s="142"/>
      <c r="F237" s="142"/>
      <c r="T237" s="165">
        <v>225</v>
      </c>
      <c r="U237" s="159">
        <f t="shared" si="22"/>
        <v>-70.108499999999992</v>
      </c>
      <c r="V237" s="159">
        <f t="shared" si="23"/>
        <v>-432.45850000000002</v>
      </c>
      <c r="W237" s="159">
        <f t="shared" si="24"/>
        <v>497.11</v>
      </c>
      <c r="X237" s="159">
        <f t="shared" si="25"/>
        <v>-5.4569999999999936</v>
      </c>
      <c r="Y237" s="159">
        <f t="shared" ca="1" si="21"/>
        <v>-9.327053436771962</v>
      </c>
      <c r="Z237" s="159">
        <f t="shared" ca="1" si="26"/>
        <v>-14.717576365048943</v>
      </c>
      <c r="AA237" s="161">
        <f t="shared" ca="1" si="27"/>
        <v>-1471.7576365048944</v>
      </c>
    </row>
    <row r="238" spans="5:27" x14ac:dyDescent="0.25">
      <c r="E238" s="142"/>
      <c r="F238" s="142"/>
      <c r="T238" s="165">
        <v>226</v>
      </c>
      <c r="U238" s="159">
        <f t="shared" si="22"/>
        <v>-70.108499999999992</v>
      </c>
      <c r="V238" s="159">
        <f t="shared" si="23"/>
        <v>-431.45850000000002</v>
      </c>
      <c r="W238" s="159">
        <f t="shared" si="24"/>
        <v>496.11</v>
      </c>
      <c r="X238" s="159">
        <f t="shared" si="25"/>
        <v>-5.4569999999999936</v>
      </c>
      <c r="Y238" s="159">
        <f t="shared" ca="1" si="21"/>
        <v>-9.327053436771962</v>
      </c>
      <c r="Z238" s="159">
        <f t="shared" ca="1" si="26"/>
        <v>-14.717576365048943</v>
      </c>
      <c r="AA238" s="161">
        <f t="shared" ca="1" si="27"/>
        <v>-1471.7576365048944</v>
      </c>
    </row>
    <row r="239" spans="5:27" x14ac:dyDescent="0.25">
      <c r="E239" s="142"/>
      <c r="F239" s="142"/>
      <c r="T239" s="165">
        <v>227</v>
      </c>
      <c r="U239" s="159">
        <f t="shared" si="22"/>
        <v>-70.108499999999992</v>
      </c>
      <c r="V239" s="159">
        <f t="shared" si="23"/>
        <v>-430.45850000000002</v>
      </c>
      <c r="W239" s="159">
        <f t="shared" si="24"/>
        <v>495.11</v>
      </c>
      <c r="X239" s="159">
        <f t="shared" si="25"/>
        <v>-5.4569999999999936</v>
      </c>
      <c r="Y239" s="159">
        <f t="shared" ca="1" si="21"/>
        <v>-9.327053436771962</v>
      </c>
      <c r="Z239" s="159">
        <f t="shared" ca="1" si="26"/>
        <v>-14.717576365048943</v>
      </c>
      <c r="AA239" s="161">
        <f t="shared" ca="1" si="27"/>
        <v>-1471.7576365048944</v>
      </c>
    </row>
    <row r="240" spans="5:27" x14ac:dyDescent="0.25">
      <c r="E240" s="142"/>
      <c r="F240" s="142"/>
      <c r="T240" s="165">
        <v>228</v>
      </c>
      <c r="U240" s="159">
        <f t="shared" si="22"/>
        <v>-70.108499999999992</v>
      </c>
      <c r="V240" s="159">
        <f t="shared" si="23"/>
        <v>-429.45850000000002</v>
      </c>
      <c r="W240" s="159">
        <f t="shared" si="24"/>
        <v>494.11</v>
      </c>
      <c r="X240" s="159">
        <f t="shared" si="25"/>
        <v>-5.4569999999999936</v>
      </c>
      <c r="Y240" s="159">
        <f t="shared" ca="1" si="21"/>
        <v>-9.327053436771962</v>
      </c>
      <c r="Z240" s="159">
        <f t="shared" ca="1" si="26"/>
        <v>-14.717576365048943</v>
      </c>
      <c r="AA240" s="161">
        <f t="shared" ca="1" si="27"/>
        <v>-1471.7576365048944</v>
      </c>
    </row>
    <row r="241" spans="5:27" x14ac:dyDescent="0.25">
      <c r="E241" s="142"/>
      <c r="F241" s="142"/>
      <c r="T241" s="165">
        <v>229</v>
      </c>
      <c r="U241" s="159">
        <f t="shared" si="22"/>
        <v>-70.108499999999992</v>
      </c>
      <c r="V241" s="159">
        <f t="shared" si="23"/>
        <v>-428.45850000000002</v>
      </c>
      <c r="W241" s="159">
        <f t="shared" si="24"/>
        <v>493.11</v>
      </c>
      <c r="X241" s="159">
        <f t="shared" si="25"/>
        <v>-5.4569999999999936</v>
      </c>
      <c r="Y241" s="159">
        <f t="shared" ca="1" si="21"/>
        <v>-9.327053436771962</v>
      </c>
      <c r="Z241" s="159">
        <f t="shared" ca="1" si="26"/>
        <v>-14.717576365048943</v>
      </c>
      <c r="AA241" s="161">
        <f t="shared" ca="1" si="27"/>
        <v>-1471.7576365048944</v>
      </c>
    </row>
    <row r="242" spans="5:27" x14ac:dyDescent="0.25">
      <c r="E242" s="142"/>
      <c r="F242" s="142"/>
      <c r="T242" s="165">
        <v>230</v>
      </c>
      <c r="U242" s="159">
        <f t="shared" si="22"/>
        <v>-70.108499999999992</v>
      </c>
      <c r="V242" s="159">
        <f t="shared" si="23"/>
        <v>-427.45850000000002</v>
      </c>
      <c r="W242" s="159">
        <f t="shared" si="24"/>
        <v>492.11</v>
      </c>
      <c r="X242" s="159">
        <f t="shared" si="25"/>
        <v>-5.4569999999999936</v>
      </c>
      <c r="Y242" s="159">
        <f t="shared" ca="1" si="21"/>
        <v>-9.327053436771962</v>
      </c>
      <c r="Z242" s="159">
        <f t="shared" ca="1" si="26"/>
        <v>-14.717576365048943</v>
      </c>
      <c r="AA242" s="161">
        <f t="shared" ca="1" si="27"/>
        <v>-1471.7576365048944</v>
      </c>
    </row>
    <row r="243" spans="5:27" x14ac:dyDescent="0.25">
      <c r="E243" s="142"/>
      <c r="F243" s="142"/>
      <c r="T243" s="165">
        <v>231</v>
      </c>
      <c r="U243" s="159">
        <f t="shared" si="22"/>
        <v>-70.108499999999992</v>
      </c>
      <c r="V243" s="159">
        <f t="shared" si="23"/>
        <v>-426.45850000000002</v>
      </c>
      <c r="W243" s="159">
        <f t="shared" si="24"/>
        <v>491.11</v>
      </c>
      <c r="X243" s="159">
        <f t="shared" si="25"/>
        <v>-5.4569999999999936</v>
      </c>
      <c r="Y243" s="159">
        <f t="shared" ca="1" si="21"/>
        <v>-9.327053436771962</v>
      </c>
      <c r="Z243" s="159">
        <f t="shared" ca="1" si="26"/>
        <v>-14.717576365048943</v>
      </c>
      <c r="AA243" s="161">
        <f t="shared" ca="1" si="27"/>
        <v>-1471.7576365048944</v>
      </c>
    </row>
    <row r="244" spans="5:27" x14ac:dyDescent="0.25">
      <c r="E244" s="142"/>
      <c r="F244" s="142"/>
      <c r="T244" s="165">
        <v>232</v>
      </c>
      <c r="U244" s="159">
        <f t="shared" si="22"/>
        <v>-70.108499999999992</v>
      </c>
      <c r="V244" s="159">
        <f t="shared" si="23"/>
        <v>-425.45850000000002</v>
      </c>
      <c r="W244" s="159">
        <f t="shared" si="24"/>
        <v>490.11</v>
      </c>
      <c r="X244" s="159">
        <f t="shared" si="25"/>
        <v>-5.4569999999999936</v>
      </c>
      <c r="Y244" s="159">
        <f t="shared" ca="1" si="21"/>
        <v>-9.327053436771962</v>
      </c>
      <c r="Z244" s="159">
        <f t="shared" ca="1" si="26"/>
        <v>-14.717576365048943</v>
      </c>
      <c r="AA244" s="161">
        <f t="shared" ca="1" si="27"/>
        <v>-1471.7576365048944</v>
      </c>
    </row>
    <row r="245" spans="5:27" x14ac:dyDescent="0.25">
      <c r="E245" s="142"/>
      <c r="F245" s="142"/>
      <c r="T245" s="165">
        <v>233</v>
      </c>
      <c r="U245" s="159">
        <f t="shared" si="22"/>
        <v>-70.108499999999992</v>
      </c>
      <c r="V245" s="159">
        <f t="shared" si="23"/>
        <v>-424.45850000000002</v>
      </c>
      <c r="W245" s="159">
        <f t="shared" si="24"/>
        <v>489.11</v>
      </c>
      <c r="X245" s="159">
        <f t="shared" si="25"/>
        <v>-5.4569999999999936</v>
      </c>
      <c r="Y245" s="159">
        <f t="shared" ca="1" si="21"/>
        <v>-9.327053436771962</v>
      </c>
      <c r="Z245" s="159">
        <f t="shared" ca="1" si="26"/>
        <v>-14.717576365048943</v>
      </c>
      <c r="AA245" s="161">
        <f t="shared" ca="1" si="27"/>
        <v>-1471.7576365048944</v>
      </c>
    </row>
    <row r="246" spans="5:27" x14ac:dyDescent="0.25">
      <c r="E246" s="142"/>
      <c r="F246" s="142"/>
      <c r="T246" s="165">
        <v>234</v>
      </c>
      <c r="U246" s="159">
        <f t="shared" si="22"/>
        <v>-70.108499999999992</v>
      </c>
      <c r="V246" s="159">
        <f t="shared" si="23"/>
        <v>-423.45850000000002</v>
      </c>
      <c r="W246" s="159">
        <f t="shared" si="24"/>
        <v>488.11</v>
      </c>
      <c r="X246" s="159">
        <f t="shared" si="25"/>
        <v>-5.4569999999999936</v>
      </c>
      <c r="Y246" s="159">
        <f t="shared" ca="1" si="21"/>
        <v>-9.327053436771962</v>
      </c>
      <c r="Z246" s="159">
        <f t="shared" ca="1" si="26"/>
        <v>-14.717576365048943</v>
      </c>
      <c r="AA246" s="161">
        <f t="shared" ca="1" si="27"/>
        <v>-1471.7576365048944</v>
      </c>
    </row>
    <row r="247" spans="5:27" x14ac:dyDescent="0.25">
      <c r="E247" s="142"/>
      <c r="F247" s="142"/>
      <c r="T247" s="165">
        <v>235</v>
      </c>
      <c r="U247" s="159">
        <f t="shared" si="22"/>
        <v>-70.108499999999992</v>
      </c>
      <c r="V247" s="159">
        <f t="shared" si="23"/>
        <v>-422.45850000000002</v>
      </c>
      <c r="W247" s="159">
        <f t="shared" si="24"/>
        <v>487.11</v>
      </c>
      <c r="X247" s="159">
        <f t="shared" si="25"/>
        <v>-5.4569999999999936</v>
      </c>
      <c r="Y247" s="159">
        <f t="shared" ca="1" si="21"/>
        <v>-9.327053436771962</v>
      </c>
      <c r="Z247" s="159">
        <f t="shared" ca="1" si="26"/>
        <v>-14.717576365048943</v>
      </c>
      <c r="AA247" s="161">
        <f t="shared" ca="1" si="27"/>
        <v>-1471.7576365048944</v>
      </c>
    </row>
    <row r="248" spans="5:27" x14ac:dyDescent="0.25">
      <c r="E248" s="142"/>
      <c r="F248" s="142"/>
      <c r="T248" s="165">
        <v>236</v>
      </c>
      <c r="U248" s="159">
        <f t="shared" si="22"/>
        <v>-70.108499999999992</v>
      </c>
      <c r="V248" s="159">
        <f t="shared" si="23"/>
        <v>-421.45850000000002</v>
      </c>
      <c r="W248" s="159">
        <f t="shared" si="24"/>
        <v>486.11</v>
      </c>
      <c r="X248" s="159">
        <f t="shared" si="25"/>
        <v>-5.4569999999999936</v>
      </c>
      <c r="Y248" s="159">
        <f t="shared" ca="1" si="21"/>
        <v>-9.327053436771962</v>
      </c>
      <c r="Z248" s="159">
        <f t="shared" ca="1" si="26"/>
        <v>-14.717576365048943</v>
      </c>
      <c r="AA248" s="161">
        <f t="shared" ca="1" si="27"/>
        <v>-1471.7576365048944</v>
      </c>
    </row>
    <row r="249" spans="5:27" x14ac:dyDescent="0.25">
      <c r="E249" s="142"/>
      <c r="F249" s="142"/>
      <c r="T249" s="165">
        <v>237</v>
      </c>
      <c r="U249" s="159">
        <f t="shared" si="22"/>
        <v>-70.108499999999992</v>
      </c>
      <c r="V249" s="159">
        <f t="shared" si="23"/>
        <v>-420.45850000000002</v>
      </c>
      <c r="W249" s="159">
        <f t="shared" si="24"/>
        <v>485.11</v>
      </c>
      <c r="X249" s="159">
        <f t="shared" si="25"/>
        <v>-5.4569999999999936</v>
      </c>
      <c r="Y249" s="159">
        <f t="shared" ca="1" si="21"/>
        <v>-9.327053436771962</v>
      </c>
      <c r="Z249" s="159">
        <f t="shared" ca="1" si="26"/>
        <v>-14.717576365048943</v>
      </c>
      <c r="AA249" s="161">
        <f t="shared" ca="1" si="27"/>
        <v>-1471.7576365048944</v>
      </c>
    </row>
    <row r="250" spans="5:27" x14ac:dyDescent="0.25">
      <c r="E250" s="142"/>
      <c r="F250" s="142"/>
      <c r="T250" s="165">
        <v>238</v>
      </c>
      <c r="U250" s="159">
        <f t="shared" si="22"/>
        <v>-70.108499999999992</v>
      </c>
      <c r="V250" s="159">
        <f t="shared" si="23"/>
        <v>-419.45850000000002</v>
      </c>
      <c r="W250" s="159">
        <f t="shared" si="24"/>
        <v>484.11</v>
      </c>
      <c r="X250" s="159">
        <f t="shared" si="25"/>
        <v>-5.4569999999999936</v>
      </c>
      <c r="Y250" s="159">
        <f t="shared" ca="1" si="21"/>
        <v>-9.327053436771962</v>
      </c>
      <c r="Z250" s="159">
        <f t="shared" ca="1" si="26"/>
        <v>-14.717576365048943</v>
      </c>
      <c r="AA250" s="161">
        <f t="shared" ca="1" si="27"/>
        <v>-1471.7576365048944</v>
      </c>
    </row>
    <row r="251" spans="5:27" x14ac:dyDescent="0.25">
      <c r="E251" s="142"/>
      <c r="F251" s="142"/>
      <c r="T251" s="165">
        <v>239</v>
      </c>
      <c r="U251" s="159">
        <f t="shared" si="22"/>
        <v>-70.108499999999992</v>
      </c>
      <c r="V251" s="159">
        <f t="shared" si="23"/>
        <v>-418.45850000000002</v>
      </c>
      <c r="W251" s="159">
        <f t="shared" si="24"/>
        <v>483.11</v>
      </c>
      <c r="X251" s="159">
        <f t="shared" si="25"/>
        <v>-5.4569999999999936</v>
      </c>
      <c r="Y251" s="159">
        <f t="shared" ca="1" si="21"/>
        <v>-9.327053436771962</v>
      </c>
      <c r="Z251" s="159">
        <f t="shared" ca="1" si="26"/>
        <v>-14.717576365048943</v>
      </c>
      <c r="AA251" s="161">
        <f t="shared" ca="1" si="27"/>
        <v>-1471.7576365048944</v>
      </c>
    </row>
    <row r="252" spans="5:27" x14ac:dyDescent="0.25">
      <c r="E252" s="142"/>
      <c r="F252" s="142"/>
      <c r="T252" s="165">
        <v>240</v>
      </c>
      <c r="U252" s="159">
        <f t="shared" si="22"/>
        <v>-70.108499999999992</v>
      </c>
      <c r="V252" s="159">
        <f t="shared" si="23"/>
        <v>-417.45850000000002</v>
      </c>
      <c r="W252" s="159">
        <f t="shared" si="24"/>
        <v>482.11</v>
      </c>
      <c r="X252" s="159">
        <f t="shared" si="25"/>
        <v>-5.4569999999999936</v>
      </c>
      <c r="Y252" s="159">
        <f t="shared" ca="1" si="21"/>
        <v>-9.327053436771962</v>
      </c>
      <c r="Z252" s="159">
        <f t="shared" ca="1" si="26"/>
        <v>-14.717576365048943</v>
      </c>
      <c r="AA252" s="161">
        <f t="shared" ca="1" si="27"/>
        <v>-1471.7576365048944</v>
      </c>
    </row>
    <row r="253" spans="5:27" x14ac:dyDescent="0.25">
      <c r="E253" s="142"/>
      <c r="F253" s="142"/>
      <c r="T253" s="165">
        <v>241</v>
      </c>
      <c r="U253" s="159">
        <f t="shared" si="22"/>
        <v>-70.108499999999992</v>
      </c>
      <c r="V253" s="159">
        <f t="shared" si="23"/>
        <v>-416.45850000000002</v>
      </c>
      <c r="W253" s="159">
        <f t="shared" si="24"/>
        <v>481.11</v>
      </c>
      <c r="X253" s="159">
        <f t="shared" si="25"/>
        <v>-5.4569999999999936</v>
      </c>
      <c r="Y253" s="159">
        <f t="shared" ca="1" si="21"/>
        <v>-9.327053436771962</v>
      </c>
      <c r="Z253" s="159">
        <f t="shared" ca="1" si="26"/>
        <v>-14.717576365048943</v>
      </c>
      <c r="AA253" s="161">
        <f t="shared" ca="1" si="27"/>
        <v>-1471.7576365048944</v>
      </c>
    </row>
    <row r="254" spans="5:27" x14ac:dyDescent="0.25">
      <c r="E254" s="142"/>
      <c r="F254" s="142"/>
      <c r="T254" s="165">
        <v>242</v>
      </c>
      <c r="U254" s="159">
        <f t="shared" si="22"/>
        <v>-70.108499999999992</v>
      </c>
      <c r="V254" s="159">
        <f t="shared" si="23"/>
        <v>-415.45850000000002</v>
      </c>
      <c r="W254" s="159">
        <f t="shared" si="24"/>
        <v>480.11</v>
      </c>
      <c r="X254" s="159">
        <f t="shared" si="25"/>
        <v>-5.4569999999999936</v>
      </c>
      <c r="Y254" s="159">
        <f t="shared" ca="1" si="21"/>
        <v>-9.327053436771962</v>
      </c>
      <c r="Z254" s="159">
        <f t="shared" ca="1" si="26"/>
        <v>-14.717576365048943</v>
      </c>
      <c r="AA254" s="161">
        <f t="shared" ca="1" si="27"/>
        <v>-1471.7576365048944</v>
      </c>
    </row>
    <row r="255" spans="5:27" x14ac:dyDescent="0.25">
      <c r="E255" s="142"/>
      <c r="F255" s="142"/>
      <c r="T255" s="165">
        <v>243</v>
      </c>
      <c r="U255" s="159">
        <f t="shared" si="22"/>
        <v>-70.108499999999992</v>
      </c>
      <c r="V255" s="159">
        <f t="shared" si="23"/>
        <v>-414.45850000000002</v>
      </c>
      <c r="W255" s="159">
        <f t="shared" si="24"/>
        <v>479.11</v>
      </c>
      <c r="X255" s="159">
        <f t="shared" si="25"/>
        <v>-5.4569999999999936</v>
      </c>
      <c r="Y255" s="159">
        <f t="shared" ca="1" si="21"/>
        <v>-9.327053436771962</v>
      </c>
      <c r="Z255" s="159">
        <f t="shared" ca="1" si="26"/>
        <v>-14.717576365048943</v>
      </c>
      <c r="AA255" s="161">
        <f t="shared" ca="1" si="27"/>
        <v>-1471.7576365048944</v>
      </c>
    </row>
    <row r="256" spans="5:27" x14ac:dyDescent="0.25">
      <c r="E256" s="142"/>
      <c r="F256" s="142"/>
      <c r="T256" s="165">
        <v>244</v>
      </c>
      <c r="U256" s="159">
        <f t="shared" si="22"/>
        <v>-70.108499999999992</v>
      </c>
      <c r="V256" s="159">
        <f t="shared" si="23"/>
        <v>-413.45850000000002</v>
      </c>
      <c r="W256" s="159">
        <f t="shared" si="24"/>
        <v>478.11</v>
      </c>
      <c r="X256" s="159">
        <f t="shared" si="25"/>
        <v>-5.4569999999999936</v>
      </c>
      <c r="Y256" s="159">
        <f t="shared" ca="1" si="21"/>
        <v>-9.327053436771962</v>
      </c>
      <c r="Z256" s="159">
        <f t="shared" ca="1" si="26"/>
        <v>-14.717576365048943</v>
      </c>
      <c r="AA256" s="161">
        <f t="shared" ca="1" si="27"/>
        <v>-1471.7576365048944</v>
      </c>
    </row>
    <row r="257" spans="5:27" x14ac:dyDescent="0.25">
      <c r="E257" s="142"/>
      <c r="F257" s="142"/>
      <c r="T257" s="165">
        <v>245</v>
      </c>
      <c r="U257" s="159">
        <f t="shared" si="22"/>
        <v>-70.108499999999992</v>
      </c>
      <c r="V257" s="159">
        <f t="shared" si="23"/>
        <v>-412.45850000000002</v>
      </c>
      <c r="W257" s="159">
        <f t="shared" si="24"/>
        <v>477.11</v>
      </c>
      <c r="X257" s="159">
        <f t="shared" si="25"/>
        <v>-5.4569999999999936</v>
      </c>
      <c r="Y257" s="159">
        <f t="shared" ca="1" si="21"/>
        <v>-9.327053436771962</v>
      </c>
      <c r="Z257" s="159">
        <f t="shared" ca="1" si="26"/>
        <v>-14.717576365048943</v>
      </c>
      <c r="AA257" s="161">
        <f t="shared" ca="1" si="27"/>
        <v>-1471.7576365048944</v>
      </c>
    </row>
    <row r="258" spans="5:27" x14ac:dyDescent="0.25">
      <c r="E258" s="142"/>
      <c r="F258" s="142"/>
      <c r="T258" s="165">
        <v>246</v>
      </c>
      <c r="U258" s="159">
        <f t="shared" si="22"/>
        <v>-70.108499999999992</v>
      </c>
      <c r="V258" s="159">
        <f t="shared" si="23"/>
        <v>-411.45850000000002</v>
      </c>
      <c r="W258" s="159">
        <f t="shared" si="24"/>
        <v>476.11</v>
      </c>
      <c r="X258" s="159">
        <f t="shared" si="25"/>
        <v>-5.4569999999999936</v>
      </c>
      <c r="Y258" s="159">
        <f t="shared" ca="1" si="21"/>
        <v>-9.327053436771962</v>
      </c>
      <c r="Z258" s="159">
        <f t="shared" ca="1" si="26"/>
        <v>-14.717576365048943</v>
      </c>
      <c r="AA258" s="161">
        <f t="shared" ca="1" si="27"/>
        <v>-1471.7576365048944</v>
      </c>
    </row>
    <row r="259" spans="5:27" x14ac:dyDescent="0.25">
      <c r="E259" s="142"/>
      <c r="F259" s="142"/>
      <c r="T259" s="165">
        <v>247</v>
      </c>
      <c r="U259" s="159">
        <f t="shared" si="22"/>
        <v>-70.108499999999992</v>
      </c>
      <c r="V259" s="159">
        <f t="shared" si="23"/>
        <v>-410.45850000000002</v>
      </c>
      <c r="W259" s="159">
        <f t="shared" si="24"/>
        <v>475.11</v>
      </c>
      <c r="X259" s="159">
        <f t="shared" si="25"/>
        <v>-5.4569999999999936</v>
      </c>
      <c r="Y259" s="159">
        <f t="shared" ca="1" si="21"/>
        <v>-9.327053436771962</v>
      </c>
      <c r="Z259" s="159">
        <f t="shared" ca="1" si="26"/>
        <v>-14.717576365048943</v>
      </c>
      <c r="AA259" s="161">
        <f t="shared" ca="1" si="27"/>
        <v>-1471.7576365048944</v>
      </c>
    </row>
    <row r="260" spans="5:27" x14ac:dyDescent="0.25">
      <c r="E260" s="142"/>
      <c r="F260" s="142"/>
      <c r="T260" s="165">
        <v>248</v>
      </c>
      <c r="U260" s="159">
        <f t="shared" si="22"/>
        <v>-70.108499999999992</v>
      </c>
      <c r="V260" s="159">
        <f t="shared" si="23"/>
        <v>-409.45850000000002</v>
      </c>
      <c r="W260" s="159">
        <f t="shared" si="24"/>
        <v>474.11</v>
      </c>
      <c r="X260" s="159">
        <f t="shared" si="25"/>
        <v>-5.4569999999999936</v>
      </c>
      <c r="Y260" s="159">
        <f t="shared" ca="1" si="21"/>
        <v>-9.327053436771962</v>
      </c>
      <c r="Z260" s="159">
        <f t="shared" ca="1" si="26"/>
        <v>-14.717576365048943</v>
      </c>
      <c r="AA260" s="161">
        <f t="shared" ca="1" si="27"/>
        <v>-1471.7576365048944</v>
      </c>
    </row>
    <row r="261" spans="5:27" x14ac:dyDescent="0.25">
      <c r="E261" s="142"/>
      <c r="F261" s="142"/>
      <c r="T261" s="165">
        <v>249</v>
      </c>
      <c r="U261" s="159">
        <f t="shared" si="22"/>
        <v>-70.108499999999992</v>
      </c>
      <c r="V261" s="159">
        <f t="shared" si="23"/>
        <v>-408.45850000000002</v>
      </c>
      <c r="W261" s="159">
        <f t="shared" si="24"/>
        <v>473.11</v>
      </c>
      <c r="X261" s="159">
        <f t="shared" si="25"/>
        <v>-5.4569999999999936</v>
      </c>
      <c r="Y261" s="159">
        <f t="shared" ca="1" si="21"/>
        <v>-9.327053436771962</v>
      </c>
      <c r="Z261" s="159">
        <f t="shared" ca="1" si="26"/>
        <v>-14.717576365048943</v>
      </c>
      <c r="AA261" s="161">
        <f t="shared" ca="1" si="27"/>
        <v>-1471.7576365048944</v>
      </c>
    </row>
    <row r="262" spans="5:27" x14ac:dyDescent="0.25">
      <c r="E262" s="142"/>
      <c r="F262" s="142"/>
      <c r="T262" s="165">
        <v>250</v>
      </c>
      <c r="U262" s="159">
        <f t="shared" si="22"/>
        <v>-70.108499999999992</v>
      </c>
      <c r="V262" s="159">
        <f t="shared" si="23"/>
        <v>-407.45850000000002</v>
      </c>
      <c r="W262" s="159">
        <f t="shared" si="24"/>
        <v>472.11</v>
      </c>
      <c r="X262" s="159">
        <f t="shared" si="25"/>
        <v>-5.4569999999999936</v>
      </c>
      <c r="Y262" s="159">
        <f t="shared" ca="1" si="21"/>
        <v>-9.327053436771962</v>
      </c>
      <c r="Z262" s="159">
        <f t="shared" ca="1" si="26"/>
        <v>-14.717576365048943</v>
      </c>
      <c r="AA262" s="161">
        <f t="shared" ca="1" si="27"/>
        <v>-1471.7576365048944</v>
      </c>
    </row>
    <row r="263" spans="5:27" x14ac:dyDescent="0.25">
      <c r="E263" s="142"/>
      <c r="F263" s="142"/>
      <c r="T263" s="165">
        <v>251</v>
      </c>
      <c r="U263" s="159">
        <f t="shared" si="22"/>
        <v>-70.108499999999992</v>
      </c>
      <c r="V263" s="159">
        <f t="shared" si="23"/>
        <v>-406.45850000000002</v>
      </c>
      <c r="W263" s="159">
        <f t="shared" si="24"/>
        <v>471.11</v>
      </c>
      <c r="X263" s="159">
        <f t="shared" si="25"/>
        <v>-5.4569999999999936</v>
      </c>
      <c r="Y263" s="159">
        <f t="shared" ca="1" si="21"/>
        <v>-9.327053436771962</v>
      </c>
      <c r="Z263" s="159">
        <f t="shared" ca="1" si="26"/>
        <v>-14.717576365048943</v>
      </c>
      <c r="AA263" s="161">
        <f t="shared" ca="1" si="27"/>
        <v>-1471.7576365048944</v>
      </c>
    </row>
    <row r="264" spans="5:27" x14ac:dyDescent="0.25">
      <c r="E264" s="142"/>
      <c r="F264" s="142"/>
      <c r="T264" s="165">
        <v>252</v>
      </c>
      <c r="U264" s="159">
        <f t="shared" si="22"/>
        <v>-70.108499999999992</v>
      </c>
      <c r="V264" s="159">
        <f t="shared" si="23"/>
        <v>-405.45850000000002</v>
      </c>
      <c r="W264" s="159">
        <f t="shared" si="24"/>
        <v>470.11</v>
      </c>
      <c r="X264" s="159">
        <f t="shared" si="25"/>
        <v>-5.4569999999999936</v>
      </c>
      <c r="Y264" s="159">
        <f t="shared" ca="1" si="21"/>
        <v>-9.327053436771962</v>
      </c>
      <c r="Z264" s="159">
        <f t="shared" ca="1" si="26"/>
        <v>-14.717576365048943</v>
      </c>
      <c r="AA264" s="161">
        <f t="shared" ca="1" si="27"/>
        <v>-1471.7576365048944</v>
      </c>
    </row>
    <row r="265" spans="5:27" x14ac:dyDescent="0.25">
      <c r="E265" s="142"/>
      <c r="F265" s="142"/>
      <c r="T265" s="165">
        <v>253</v>
      </c>
      <c r="U265" s="159">
        <f t="shared" si="22"/>
        <v>-70.108499999999992</v>
      </c>
      <c r="V265" s="159">
        <f t="shared" si="23"/>
        <v>-404.45850000000002</v>
      </c>
      <c r="W265" s="159">
        <f t="shared" si="24"/>
        <v>469.11</v>
      </c>
      <c r="X265" s="159">
        <f t="shared" si="25"/>
        <v>-5.4569999999999936</v>
      </c>
      <c r="Y265" s="159">
        <f t="shared" ca="1" si="21"/>
        <v>-9.327053436771962</v>
      </c>
      <c r="Z265" s="159">
        <f t="shared" ca="1" si="26"/>
        <v>-14.717576365048943</v>
      </c>
      <c r="AA265" s="161">
        <f t="shared" ca="1" si="27"/>
        <v>-1471.7576365048944</v>
      </c>
    </row>
    <row r="266" spans="5:27" x14ac:dyDescent="0.25">
      <c r="E266" s="142"/>
      <c r="F266" s="142"/>
      <c r="T266" s="165">
        <v>254</v>
      </c>
      <c r="U266" s="159">
        <f t="shared" si="22"/>
        <v>-70.108499999999992</v>
      </c>
      <c r="V266" s="159">
        <f t="shared" si="23"/>
        <v>-403.45850000000002</v>
      </c>
      <c r="W266" s="159">
        <f t="shared" si="24"/>
        <v>468.11</v>
      </c>
      <c r="X266" s="159">
        <f t="shared" si="25"/>
        <v>-5.4569999999999936</v>
      </c>
      <c r="Y266" s="159">
        <f t="shared" ca="1" si="21"/>
        <v>-9.327053436771962</v>
      </c>
      <c r="Z266" s="159">
        <f t="shared" ca="1" si="26"/>
        <v>-14.717576365048943</v>
      </c>
      <c r="AA266" s="161">
        <f t="shared" ca="1" si="27"/>
        <v>-1471.7576365048944</v>
      </c>
    </row>
    <row r="267" spans="5:27" x14ac:dyDescent="0.25">
      <c r="E267" s="142"/>
      <c r="F267" s="142"/>
      <c r="T267" s="165">
        <v>255</v>
      </c>
      <c r="U267" s="159">
        <f t="shared" si="22"/>
        <v>-70.108499999999992</v>
      </c>
      <c r="V267" s="159">
        <f t="shared" si="23"/>
        <v>-402.45850000000002</v>
      </c>
      <c r="W267" s="159">
        <f t="shared" si="24"/>
        <v>467.11</v>
      </c>
      <c r="X267" s="159">
        <f t="shared" si="25"/>
        <v>-5.4569999999999936</v>
      </c>
      <c r="Y267" s="159">
        <f t="shared" ca="1" si="21"/>
        <v>-9.327053436771962</v>
      </c>
      <c r="Z267" s="159">
        <f t="shared" ca="1" si="26"/>
        <v>-14.717576365048943</v>
      </c>
      <c r="AA267" s="161">
        <f t="shared" ca="1" si="27"/>
        <v>-1471.7576365048944</v>
      </c>
    </row>
    <row r="268" spans="5:27" x14ac:dyDescent="0.25">
      <c r="E268" s="142"/>
      <c r="F268" s="142"/>
      <c r="T268" s="165">
        <v>256</v>
      </c>
      <c r="U268" s="159">
        <f t="shared" si="22"/>
        <v>-70.108499999999992</v>
      </c>
      <c r="V268" s="159">
        <f t="shared" si="23"/>
        <v>-401.45850000000002</v>
      </c>
      <c r="W268" s="159">
        <f t="shared" si="24"/>
        <v>466.11</v>
      </c>
      <c r="X268" s="159">
        <f t="shared" si="25"/>
        <v>-5.4569999999999936</v>
      </c>
      <c r="Y268" s="159">
        <f t="shared" ref="Y268:Y331" ca="1" si="28">$Y$10*EXP($Y$7*$C$6)-$Y$10</f>
        <v>-9.327053436771962</v>
      </c>
      <c r="Z268" s="159">
        <f t="shared" ca="1" si="26"/>
        <v>-14.717576365048943</v>
      </c>
      <c r="AA268" s="161">
        <f t="shared" ca="1" si="27"/>
        <v>-1471.7576365048944</v>
      </c>
    </row>
    <row r="269" spans="5:27" x14ac:dyDescent="0.25">
      <c r="E269" s="142"/>
      <c r="F269" s="142"/>
      <c r="T269" s="165">
        <v>257</v>
      </c>
      <c r="U269" s="159">
        <f t="shared" ref="U269:U332" si="29">MAX(0,T269-$U$9)-$U$10-$U$11/100</f>
        <v>-70.108499999999992</v>
      </c>
      <c r="V269" s="159">
        <f t="shared" ref="V269:V332" si="30">$V$10-MAX(0,$V$9-T269)-$V$11/100</f>
        <v>-400.45850000000002</v>
      </c>
      <c r="W269" s="159">
        <f t="shared" ref="W269:W332" si="31">$W$10-T269</f>
        <v>465.11</v>
      </c>
      <c r="X269" s="159">
        <f t="shared" ref="X269:X332" si="32">SUM(U269:W269)</f>
        <v>-5.4569999999999936</v>
      </c>
      <c r="Y269" s="159">
        <f t="shared" ca="1" si="28"/>
        <v>-9.327053436771962</v>
      </c>
      <c r="Z269" s="159">
        <f t="shared" ref="Z269:Z332" ca="1" si="33">EXP(-$E$3*$C$6)*SUM(X269:Y269)</f>
        <v>-14.717576365048943</v>
      </c>
      <c r="AA269" s="161">
        <f t="shared" ref="AA269:AA332" ca="1" si="34">Z269*100</f>
        <v>-1471.7576365048944</v>
      </c>
    </row>
    <row r="270" spans="5:27" x14ac:dyDescent="0.25">
      <c r="E270" s="142"/>
      <c r="F270" s="142"/>
      <c r="T270" s="165">
        <v>258</v>
      </c>
      <c r="U270" s="159">
        <f t="shared" si="29"/>
        <v>-70.108499999999992</v>
      </c>
      <c r="V270" s="159">
        <f t="shared" si="30"/>
        <v>-399.45850000000002</v>
      </c>
      <c r="W270" s="159">
        <f t="shared" si="31"/>
        <v>464.11</v>
      </c>
      <c r="X270" s="159">
        <f t="shared" si="32"/>
        <v>-5.4569999999999936</v>
      </c>
      <c r="Y270" s="159">
        <f t="shared" ca="1" si="28"/>
        <v>-9.327053436771962</v>
      </c>
      <c r="Z270" s="159">
        <f t="shared" ca="1" si="33"/>
        <v>-14.717576365048943</v>
      </c>
      <c r="AA270" s="161">
        <f t="shared" ca="1" si="34"/>
        <v>-1471.7576365048944</v>
      </c>
    </row>
    <row r="271" spans="5:27" x14ac:dyDescent="0.25">
      <c r="E271" s="142"/>
      <c r="F271" s="142"/>
      <c r="T271" s="165">
        <v>259</v>
      </c>
      <c r="U271" s="159">
        <f t="shared" si="29"/>
        <v>-70.108499999999992</v>
      </c>
      <c r="V271" s="159">
        <f t="shared" si="30"/>
        <v>-398.45850000000002</v>
      </c>
      <c r="W271" s="159">
        <f t="shared" si="31"/>
        <v>463.11</v>
      </c>
      <c r="X271" s="159">
        <f t="shared" si="32"/>
        <v>-5.4569999999999936</v>
      </c>
      <c r="Y271" s="159">
        <f t="shared" ca="1" si="28"/>
        <v>-9.327053436771962</v>
      </c>
      <c r="Z271" s="159">
        <f t="shared" ca="1" si="33"/>
        <v>-14.717576365048943</v>
      </c>
      <c r="AA271" s="161">
        <f t="shared" ca="1" si="34"/>
        <v>-1471.7576365048944</v>
      </c>
    </row>
    <row r="272" spans="5:27" x14ac:dyDescent="0.25">
      <c r="E272" s="142"/>
      <c r="F272" s="142"/>
      <c r="T272" s="165">
        <v>260</v>
      </c>
      <c r="U272" s="159">
        <f t="shared" si="29"/>
        <v>-70.108499999999992</v>
      </c>
      <c r="V272" s="159">
        <f t="shared" si="30"/>
        <v>-397.45850000000002</v>
      </c>
      <c r="W272" s="159">
        <f t="shared" si="31"/>
        <v>462.11</v>
      </c>
      <c r="X272" s="159">
        <f t="shared" si="32"/>
        <v>-5.4569999999999936</v>
      </c>
      <c r="Y272" s="159">
        <f t="shared" ca="1" si="28"/>
        <v>-9.327053436771962</v>
      </c>
      <c r="Z272" s="159">
        <f t="shared" ca="1" si="33"/>
        <v>-14.717576365048943</v>
      </c>
      <c r="AA272" s="161">
        <f t="shared" ca="1" si="34"/>
        <v>-1471.7576365048944</v>
      </c>
    </row>
    <row r="273" spans="5:27" x14ac:dyDescent="0.25">
      <c r="E273" s="142"/>
      <c r="F273" s="142"/>
      <c r="T273" s="165">
        <v>261</v>
      </c>
      <c r="U273" s="159">
        <f t="shared" si="29"/>
        <v>-70.108499999999992</v>
      </c>
      <c r="V273" s="159">
        <f t="shared" si="30"/>
        <v>-396.45850000000002</v>
      </c>
      <c r="W273" s="159">
        <f t="shared" si="31"/>
        <v>461.11</v>
      </c>
      <c r="X273" s="159">
        <f t="shared" si="32"/>
        <v>-5.4569999999999936</v>
      </c>
      <c r="Y273" s="159">
        <f t="shared" ca="1" si="28"/>
        <v>-9.327053436771962</v>
      </c>
      <c r="Z273" s="159">
        <f t="shared" ca="1" si="33"/>
        <v>-14.717576365048943</v>
      </c>
      <c r="AA273" s="161">
        <f t="shared" ca="1" si="34"/>
        <v>-1471.7576365048944</v>
      </c>
    </row>
    <row r="274" spans="5:27" x14ac:dyDescent="0.25">
      <c r="E274" s="142"/>
      <c r="F274" s="142"/>
      <c r="T274" s="165">
        <v>262</v>
      </c>
      <c r="U274" s="159">
        <f t="shared" si="29"/>
        <v>-70.108499999999992</v>
      </c>
      <c r="V274" s="159">
        <f t="shared" si="30"/>
        <v>-395.45850000000002</v>
      </c>
      <c r="W274" s="159">
        <f t="shared" si="31"/>
        <v>460.11</v>
      </c>
      <c r="X274" s="159">
        <f t="shared" si="32"/>
        <v>-5.4569999999999936</v>
      </c>
      <c r="Y274" s="159">
        <f t="shared" ca="1" si="28"/>
        <v>-9.327053436771962</v>
      </c>
      <c r="Z274" s="159">
        <f t="shared" ca="1" si="33"/>
        <v>-14.717576365048943</v>
      </c>
      <c r="AA274" s="161">
        <f t="shared" ca="1" si="34"/>
        <v>-1471.7576365048944</v>
      </c>
    </row>
    <row r="275" spans="5:27" x14ac:dyDescent="0.25">
      <c r="E275" s="142"/>
      <c r="F275" s="142"/>
      <c r="T275" s="165">
        <v>263</v>
      </c>
      <c r="U275" s="159">
        <f t="shared" si="29"/>
        <v>-70.108499999999992</v>
      </c>
      <c r="V275" s="159">
        <f t="shared" si="30"/>
        <v>-394.45850000000002</v>
      </c>
      <c r="W275" s="159">
        <f t="shared" si="31"/>
        <v>459.11</v>
      </c>
      <c r="X275" s="159">
        <f t="shared" si="32"/>
        <v>-5.4569999999999936</v>
      </c>
      <c r="Y275" s="159">
        <f t="shared" ca="1" si="28"/>
        <v>-9.327053436771962</v>
      </c>
      <c r="Z275" s="159">
        <f t="shared" ca="1" si="33"/>
        <v>-14.717576365048943</v>
      </c>
      <c r="AA275" s="161">
        <f t="shared" ca="1" si="34"/>
        <v>-1471.7576365048944</v>
      </c>
    </row>
    <row r="276" spans="5:27" x14ac:dyDescent="0.25">
      <c r="E276" s="142"/>
      <c r="F276" s="142"/>
      <c r="T276" s="165">
        <v>264</v>
      </c>
      <c r="U276" s="159">
        <f t="shared" si="29"/>
        <v>-70.108499999999992</v>
      </c>
      <c r="V276" s="159">
        <f t="shared" si="30"/>
        <v>-393.45850000000002</v>
      </c>
      <c r="W276" s="159">
        <f t="shared" si="31"/>
        <v>458.11</v>
      </c>
      <c r="X276" s="159">
        <f t="shared" si="32"/>
        <v>-5.4569999999999936</v>
      </c>
      <c r="Y276" s="159">
        <f t="shared" ca="1" si="28"/>
        <v>-9.327053436771962</v>
      </c>
      <c r="Z276" s="159">
        <f t="shared" ca="1" si="33"/>
        <v>-14.717576365048943</v>
      </c>
      <c r="AA276" s="161">
        <f t="shared" ca="1" si="34"/>
        <v>-1471.7576365048944</v>
      </c>
    </row>
    <row r="277" spans="5:27" x14ac:dyDescent="0.25">
      <c r="E277" s="142"/>
      <c r="F277" s="142"/>
      <c r="T277" s="165">
        <v>265</v>
      </c>
      <c r="U277" s="159">
        <f t="shared" si="29"/>
        <v>-70.108499999999992</v>
      </c>
      <c r="V277" s="159">
        <f t="shared" si="30"/>
        <v>-392.45850000000002</v>
      </c>
      <c r="W277" s="159">
        <f t="shared" si="31"/>
        <v>457.11</v>
      </c>
      <c r="X277" s="159">
        <f t="shared" si="32"/>
        <v>-5.4569999999999936</v>
      </c>
      <c r="Y277" s="159">
        <f t="shared" ca="1" si="28"/>
        <v>-9.327053436771962</v>
      </c>
      <c r="Z277" s="159">
        <f t="shared" ca="1" si="33"/>
        <v>-14.717576365048943</v>
      </c>
      <c r="AA277" s="161">
        <f t="shared" ca="1" si="34"/>
        <v>-1471.7576365048944</v>
      </c>
    </row>
    <row r="278" spans="5:27" x14ac:dyDescent="0.25">
      <c r="E278" s="142"/>
      <c r="F278" s="142"/>
      <c r="T278" s="165">
        <v>266</v>
      </c>
      <c r="U278" s="159">
        <f t="shared" si="29"/>
        <v>-70.108499999999992</v>
      </c>
      <c r="V278" s="159">
        <f t="shared" si="30"/>
        <v>-391.45850000000002</v>
      </c>
      <c r="W278" s="159">
        <f t="shared" si="31"/>
        <v>456.11</v>
      </c>
      <c r="X278" s="159">
        <f t="shared" si="32"/>
        <v>-5.4569999999999936</v>
      </c>
      <c r="Y278" s="159">
        <f t="shared" ca="1" si="28"/>
        <v>-9.327053436771962</v>
      </c>
      <c r="Z278" s="159">
        <f t="shared" ca="1" si="33"/>
        <v>-14.717576365048943</v>
      </c>
      <c r="AA278" s="161">
        <f t="shared" ca="1" si="34"/>
        <v>-1471.7576365048944</v>
      </c>
    </row>
    <row r="279" spans="5:27" x14ac:dyDescent="0.25">
      <c r="E279" s="142"/>
      <c r="F279" s="142"/>
      <c r="T279" s="165">
        <v>267</v>
      </c>
      <c r="U279" s="159">
        <f t="shared" si="29"/>
        <v>-70.108499999999992</v>
      </c>
      <c r="V279" s="159">
        <f t="shared" si="30"/>
        <v>-390.45850000000002</v>
      </c>
      <c r="W279" s="159">
        <f t="shared" si="31"/>
        <v>455.11</v>
      </c>
      <c r="X279" s="159">
        <f t="shared" si="32"/>
        <v>-5.4569999999999936</v>
      </c>
      <c r="Y279" s="159">
        <f t="shared" ca="1" si="28"/>
        <v>-9.327053436771962</v>
      </c>
      <c r="Z279" s="159">
        <f t="shared" ca="1" si="33"/>
        <v>-14.717576365048943</v>
      </c>
      <c r="AA279" s="161">
        <f t="shared" ca="1" si="34"/>
        <v>-1471.7576365048944</v>
      </c>
    </row>
    <row r="280" spans="5:27" x14ac:dyDescent="0.25">
      <c r="E280" s="142"/>
      <c r="F280" s="142"/>
      <c r="T280" s="165">
        <v>268</v>
      </c>
      <c r="U280" s="159">
        <f t="shared" si="29"/>
        <v>-70.108499999999992</v>
      </c>
      <c r="V280" s="159">
        <f t="shared" si="30"/>
        <v>-389.45850000000002</v>
      </c>
      <c r="W280" s="159">
        <f t="shared" si="31"/>
        <v>454.11</v>
      </c>
      <c r="X280" s="159">
        <f t="shared" si="32"/>
        <v>-5.4569999999999936</v>
      </c>
      <c r="Y280" s="159">
        <f t="shared" ca="1" si="28"/>
        <v>-9.327053436771962</v>
      </c>
      <c r="Z280" s="159">
        <f t="shared" ca="1" si="33"/>
        <v>-14.717576365048943</v>
      </c>
      <c r="AA280" s="161">
        <f t="shared" ca="1" si="34"/>
        <v>-1471.7576365048944</v>
      </c>
    </row>
    <row r="281" spans="5:27" x14ac:dyDescent="0.25">
      <c r="E281" s="142"/>
      <c r="F281" s="142"/>
      <c r="T281" s="165">
        <v>269</v>
      </c>
      <c r="U281" s="159">
        <f t="shared" si="29"/>
        <v>-70.108499999999992</v>
      </c>
      <c r="V281" s="159">
        <f t="shared" si="30"/>
        <v>-388.45850000000002</v>
      </c>
      <c r="W281" s="159">
        <f t="shared" si="31"/>
        <v>453.11</v>
      </c>
      <c r="X281" s="159">
        <f t="shared" si="32"/>
        <v>-5.4569999999999936</v>
      </c>
      <c r="Y281" s="159">
        <f t="shared" ca="1" si="28"/>
        <v>-9.327053436771962</v>
      </c>
      <c r="Z281" s="159">
        <f t="shared" ca="1" si="33"/>
        <v>-14.717576365048943</v>
      </c>
      <c r="AA281" s="161">
        <f t="shared" ca="1" si="34"/>
        <v>-1471.7576365048944</v>
      </c>
    </row>
    <row r="282" spans="5:27" x14ac:dyDescent="0.25">
      <c r="E282" s="142"/>
      <c r="F282" s="142"/>
      <c r="T282" s="165">
        <v>270</v>
      </c>
      <c r="U282" s="159">
        <f t="shared" si="29"/>
        <v>-70.108499999999992</v>
      </c>
      <c r="V282" s="159">
        <f t="shared" si="30"/>
        <v>-387.45850000000002</v>
      </c>
      <c r="W282" s="159">
        <f t="shared" si="31"/>
        <v>452.11</v>
      </c>
      <c r="X282" s="159">
        <f t="shared" si="32"/>
        <v>-5.4569999999999936</v>
      </c>
      <c r="Y282" s="159">
        <f t="shared" ca="1" si="28"/>
        <v>-9.327053436771962</v>
      </c>
      <c r="Z282" s="159">
        <f t="shared" ca="1" si="33"/>
        <v>-14.717576365048943</v>
      </c>
      <c r="AA282" s="161">
        <f t="shared" ca="1" si="34"/>
        <v>-1471.7576365048944</v>
      </c>
    </row>
    <row r="283" spans="5:27" x14ac:dyDescent="0.25">
      <c r="E283" s="142"/>
      <c r="F283" s="142"/>
      <c r="T283" s="165">
        <v>271</v>
      </c>
      <c r="U283" s="159">
        <f t="shared" si="29"/>
        <v>-70.108499999999992</v>
      </c>
      <c r="V283" s="159">
        <f t="shared" si="30"/>
        <v>-386.45850000000002</v>
      </c>
      <c r="W283" s="159">
        <f t="shared" si="31"/>
        <v>451.11</v>
      </c>
      <c r="X283" s="159">
        <f t="shared" si="32"/>
        <v>-5.4569999999999936</v>
      </c>
      <c r="Y283" s="159">
        <f t="shared" ca="1" si="28"/>
        <v>-9.327053436771962</v>
      </c>
      <c r="Z283" s="159">
        <f t="shared" ca="1" si="33"/>
        <v>-14.717576365048943</v>
      </c>
      <c r="AA283" s="161">
        <f t="shared" ca="1" si="34"/>
        <v>-1471.7576365048944</v>
      </c>
    </row>
    <row r="284" spans="5:27" x14ac:dyDescent="0.25">
      <c r="E284" s="142"/>
      <c r="F284" s="142"/>
      <c r="T284" s="165">
        <v>272</v>
      </c>
      <c r="U284" s="159">
        <f t="shared" si="29"/>
        <v>-70.108499999999992</v>
      </c>
      <c r="V284" s="159">
        <f t="shared" si="30"/>
        <v>-385.45850000000002</v>
      </c>
      <c r="W284" s="159">
        <f t="shared" si="31"/>
        <v>450.11</v>
      </c>
      <c r="X284" s="159">
        <f t="shared" si="32"/>
        <v>-5.4569999999999936</v>
      </c>
      <c r="Y284" s="159">
        <f t="shared" ca="1" si="28"/>
        <v>-9.327053436771962</v>
      </c>
      <c r="Z284" s="159">
        <f t="shared" ca="1" si="33"/>
        <v>-14.717576365048943</v>
      </c>
      <c r="AA284" s="161">
        <f t="shared" ca="1" si="34"/>
        <v>-1471.7576365048944</v>
      </c>
    </row>
    <row r="285" spans="5:27" x14ac:dyDescent="0.25">
      <c r="E285" s="142"/>
      <c r="F285" s="142"/>
      <c r="T285" s="165">
        <v>273</v>
      </c>
      <c r="U285" s="159">
        <f t="shared" si="29"/>
        <v>-70.108499999999992</v>
      </c>
      <c r="V285" s="159">
        <f t="shared" si="30"/>
        <v>-384.45850000000002</v>
      </c>
      <c r="W285" s="159">
        <f t="shared" si="31"/>
        <v>449.11</v>
      </c>
      <c r="X285" s="159">
        <f t="shared" si="32"/>
        <v>-5.4569999999999936</v>
      </c>
      <c r="Y285" s="159">
        <f t="shared" ca="1" si="28"/>
        <v>-9.327053436771962</v>
      </c>
      <c r="Z285" s="159">
        <f t="shared" ca="1" si="33"/>
        <v>-14.717576365048943</v>
      </c>
      <c r="AA285" s="161">
        <f t="shared" ca="1" si="34"/>
        <v>-1471.7576365048944</v>
      </c>
    </row>
    <row r="286" spans="5:27" x14ac:dyDescent="0.25">
      <c r="E286" s="142"/>
      <c r="F286" s="142"/>
      <c r="T286" s="165">
        <v>274</v>
      </c>
      <c r="U286" s="159">
        <f t="shared" si="29"/>
        <v>-70.108499999999992</v>
      </c>
      <c r="V286" s="159">
        <f t="shared" si="30"/>
        <v>-383.45850000000002</v>
      </c>
      <c r="W286" s="159">
        <f t="shared" si="31"/>
        <v>448.11</v>
      </c>
      <c r="X286" s="159">
        <f t="shared" si="32"/>
        <v>-5.4569999999999936</v>
      </c>
      <c r="Y286" s="159">
        <f t="shared" ca="1" si="28"/>
        <v>-9.327053436771962</v>
      </c>
      <c r="Z286" s="159">
        <f t="shared" ca="1" si="33"/>
        <v>-14.717576365048943</v>
      </c>
      <c r="AA286" s="161">
        <f t="shared" ca="1" si="34"/>
        <v>-1471.7576365048944</v>
      </c>
    </row>
    <row r="287" spans="5:27" x14ac:dyDescent="0.25">
      <c r="E287" s="142"/>
      <c r="F287" s="142"/>
      <c r="T287" s="165">
        <v>275</v>
      </c>
      <c r="U287" s="159">
        <f t="shared" si="29"/>
        <v>-70.108499999999992</v>
      </c>
      <c r="V287" s="159">
        <f t="shared" si="30"/>
        <v>-382.45850000000002</v>
      </c>
      <c r="W287" s="159">
        <f t="shared" si="31"/>
        <v>447.11</v>
      </c>
      <c r="X287" s="159">
        <f t="shared" si="32"/>
        <v>-5.4569999999999936</v>
      </c>
      <c r="Y287" s="159">
        <f t="shared" ca="1" si="28"/>
        <v>-9.327053436771962</v>
      </c>
      <c r="Z287" s="159">
        <f t="shared" ca="1" si="33"/>
        <v>-14.717576365048943</v>
      </c>
      <c r="AA287" s="161">
        <f t="shared" ca="1" si="34"/>
        <v>-1471.7576365048944</v>
      </c>
    </row>
    <row r="288" spans="5:27" x14ac:dyDescent="0.25">
      <c r="E288" s="142"/>
      <c r="F288" s="142"/>
      <c r="T288" s="165">
        <v>276</v>
      </c>
      <c r="U288" s="159">
        <f t="shared" si="29"/>
        <v>-70.108499999999992</v>
      </c>
      <c r="V288" s="159">
        <f t="shared" si="30"/>
        <v>-381.45850000000002</v>
      </c>
      <c r="W288" s="159">
        <f t="shared" si="31"/>
        <v>446.11</v>
      </c>
      <c r="X288" s="159">
        <f t="shared" si="32"/>
        <v>-5.4569999999999936</v>
      </c>
      <c r="Y288" s="159">
        <f t="shared" ca="1" si="28"/>
        <v>-9.327053436771962</v>
      </c>
      <c r="Z288" s="159">
        <f t="shared" ca="1" si="33"/>
        <v>-14.717576365048943</v>
      </c>
      <c r="AA288" s="161">
        <f t="shared" ca="1" si="34"/>
        <v>-1471.7576365048944</v>
      </c>
    </row>
    <row r="289" spans="5:27" x14ac:dyDescent="0.25">
      <c r="E289" s="142"/>
      <c r="F289" s="142"/>
      <c r="T289" s="165">
        <v>277</v>
      </c>
      <c r="U289" s="159">
        <f t="shared" si="29"/>
        <v>-70.108499999999992</v>
      </c>
      <c r="V289" s="159">
        <f t="shared" si="30"/>
        <v>-380.45850000000002</v>
      </c>
      <c r="W289" s="159">
        <f t="shared" si="31"/>
        <v>445.11</v>
      </c>
      <c r="X289" s="159">
        <f t="shared" si="32"/>
        <v>-5.4569999999999936</v>
      </c>
      <c r="Y289" s="159">
        <f t="shared" ca="1" si="28"/>
        <v>-9.327053436771962</v>
      </c>
      <c r="Z289" s="159">
        <f t="shared" ca="1" si="33"/>
        <v>-14.717576365048943</v>
      </c>
      <c r="AA289" s="161">
        <f t="shared" ca="1" si="34"/>
        <v>-1471.7576365048944</v>
      </c>
    </row>
    <row r="290" spans="5:27" x14ac:dyDescent="0.25">
      <c r="E290" s="142"/>
      <c r="F290" s="142"/>
      <c r="T290" s="165">
        <v>278</v>
      </c>
      <c r="U290" s="159">
        <f t="shared" si="29"/>
        <v>-70.108499999999992</v>
      </c>
      <c r="V290" s="159">
        <f t="shared" si="30"/>
        <v>-379.45850000000002</v>
      </c>
      <c r="W290" s="159">
        <f t="shared" si="31"/>
        <v>444.11</v>
      </c>
      <c r="X290" s="159">
        <f t="shared" si="32"/>
        <v>-5.4569999999999936</v>
      </c>
      <c r="Y290" s="159">
        <f t="shared" ca="1" si="28"/>
        <v>-9.327053436771962</v>
      </c>
      <c r="Z290" s="159">
        <f t="shared" ca="1" si="33"/>
        <v>-14.717576365048943</v>
      </c>
      <c r="AA290" s="161">
        <f t="shared" ca="1" si="34"/>
        <v>-1471.7576365048944</v>
      </c>
    </row>
    <row r="291" spans="5:27" x14ac:dyDescent="0.25">
      <c r="E291" s="142"/>
      <c r="F291" s="142"/>
      <c r="T291" s="165">
        <v>279</v>
      </c>
      <c r="U291" s="159">
        <f t="shared" si="29"/>
        <v>-70.108499999999992</v>
      </c>
      <c r="V291" s="159">
        <f t="shared" si="30"/>
        <v>-378.45850000000002</v>
      </c>
      <c r="W291" s="159">
        <f t="shared" si="31"/>
        <v>443.11</v>
      </c>
      <c r="X291" s="159">
        <f t="shared" si="32"/>
        <v>-5.4569999999999936</v>
      </c>
      <c r="Y291" s="159">
        <f t="shared" ca="1" si="28"/>
        <v>-9.327053436771962</v>
      </c>
      <c r="Z291" s="159">
        <f t="shared" ca="1" si="33"/>
        <v>-14.717576365048943</v>
      </c>
      <c r="AA291" s="161">
        <f t="shared" ca="1" si="34"/>
        <v>-1471.7576365048944</v>
      </c>
    </row>
    <row r="292" spans="5:27" x14ac:dyDescent="0.25">
      <c r="E292" s="142"/>
      <c r="F292" s="142"/>
      <c r="T292" s="165">
        <v>280</v>
      </c>
      <c r="U292" s="159">
        <f t="shared" si="29"/>
        <v>-70.108499999999992</v>
      </c>
      <c r="V292" s="159">
        <f t="shared" si="30"/>
        <v>-377.45850000000002</v>
      </c>
      <c r="W292" s="159">
        <f t="shared" si="31"/>
        <v>442.11</v>
      </c>
      <c r="X292" s="159">
        <f t="shared" si="32"/>
        <v>-5.4569999999999936</v>
      </c>
      <c r="Y292" s="159">
        <f t="shared" ca="1" si="28"/>
        <v>-9.327053436771962</v>
      </c>
      <c r="Z292" s="159">
        <f t="shared" ca="1" si="33"/>
        <v>-14.717576365048943</v>
      </c>
      <c r="AA292" s="161">
        <f t="shared" ca="1" si="34"/>
        <v>-1471.7576365048944</v>
      </c>
    </row>
    <row r="293" spans="5:27" x14ac:dyDescent="0.25">
      <c r="E293" s="142"/>
      <c r="F293" s="142"/>
      <c r="T293" s="165">
        <v>281</v>
      </c>
      <c r="U293" s="159">
        <f t="shared" si="29"/>
        <v>-70.108499999999992</v>
      </c>
      <c r="V293" s="159">
        <f t="shared" si="30"/>
        <v>-376.45850000000002</v>
      </c>
      <c r="W293" s="159">
        <f t="shared" si="31"/>
        <v>441.11</v>
      </c>
      <c r="X293" s="159">
        <f t="shared" si="32"/>
        <v>-5.4569999999999936</v>
      </c>
      <c r="Y293" s="159">
        <f t="shared" ca="1" si="28"/>
        <v>-9.327053436771962</v>
      </c>
      <c r="Z293" s="159">
        <f t="shared" ca="1" si="33"/>
        <v>-14.717576365048943</v>
      </c>
      <c r="AA293" s="161">
        <f t="shared" ca="1" si="34"/>
        <v>-1471.7576365048944</v>
      </c>
    </row>
    <row r="294" spans="5:27" x14ac:dyDescent="0.25">
      <c r="E294" s="142"/>
      <c r="F294" s="142"/>
      <c r="T294" s="165">
        <v>282</v>
      </c>
      <c r="U294" s="159">
        <f t="shared" si="29"/>
        <v>-70.108499999999992</v>
      </c>
      <c r="V294" s="159">
        <f t="shared" si="30"/>
        <v>-375.45850000000002</v>
      </c>
      <c r="W294" s="159">
        <f t="shared" si="31"/>
        <v>440.11</v>
      </c>
      <c r="X294" s="159">
        <f t="shared" si="32"/>
        <v>-5.4569999999999936</v>
      </c>
      <c r="Y294" s="159">
        <f t="shared" ca="1" si="28"/>
        <v>-9.327053436771962</v>
      </c>
      <c r="Z294" s="159">
        <f t="shared" ca="1" si="33"/>
        <v>-14.717576365048943</v>
      </c>
      <c r="AA294" s="161">
        <f t="shared" ca="1" si="34"/>
        <v>-1471.7576365048944</v>
      </c>
    </row>
    <row r="295" spans="5:27" x14ac:dyDescent="0.25">
      <c r="E295" s="142"/>
      <c r="F295" s="142"/>
      <c r="T295" s="165">
        <v>283</v>
      </c>
      <c r="U295" s="159">
        <f t="shared" si="29"/>
        <v>-70.108499999999992</v>
      </c>
      <c r="V295" s="159">
        <f t="shared" si="30"/>
        <v>-374.45850000000002</v>
      </c>
      <c r="W295" s="159">
        <f t="shared" si="31"/>
        <v>439.11</v>
      </c>
      <c r="X295" s="159">
        <f t="shared" si="32"/>
        <v>-5.4569999999999936</v>
      </c>
      <c r="Y295" s="159">
        <f t="shared" ca="1" si="28"/>
        <v>-9.327053436771962</v>
      </c>
      <c r="Z295" s="159">
        <f t="shared" ca="1" si="33"/>
        <v>-14.717576365048943</v>
      </c>
      <c r="AA295" s="161">
        <f t="shared" ca="1" si="34"/>
        <v>-1471.7576365048944</v>
      </c>
    </row>
    <row r="296" spans="5:27" x14ac:dyDescent="0.25">
      <c r="E296" s="142"/>
      <c r="F296" s="142"/>
      <c r="T296" s="165">
        <v>284</v>
      </c>
      <c r="U296" s="159">
        <f t="shared" si="29"/>
        <v>-70.108499999999992</v>
      </c>
      <c r="V296" s="159">
        <f t="shared" si="30"/>
        <v>-373.45850000000002</v>
      </c>
      <c r="W296" s="159">
        <f t="shared" si="31"/>
        <v>438.11</v>
      </c>
      <c r="X296" s="159">
        <f t="shared" si="32"/>
        <v>-5.4569999999999936</v>
      </c>
      <c r="Y296" s="159">
        <f t="shared" ca="1" si="28"/>
        <v>-9.327053436771962</v>
      </c>
      <c r="Z296" s="159">
        <f t="shared" ca="1" si="33"/>
        <v>-14.717576365048943</v>
      </c>
      <c r="AA296" s="161">
        <f t="shared" ca="1" si="34"/>
        <v>-1471.7576365048944</v>
      </c>
    </row>
    <row r="297" spans="5:27" x14ac:dyDescent="0.25">
      <c r="E297" s="142"/>
      <c r="F297" s="142"/>
      <c r="T297" s="165">
        <v>285</v>
      </c>
      <c r="U297" s="159">
        <f t="shared" si="29"/>
        <v>-70.108499999999992</v>
      </c>
      <c r="V297" s="159">
        <f t="shared" si="30"/>
        <v>-372.45850000000002</v>
      </c>
      <c r="W297" s="159">
        <f t="shared" si="31"/>
        <v>437.11</v>
      </c>
      <c r="X297" s="159">
        <f t="shared" si="32"/>
        <v>-5.4569999999999936</v>
      </c>
      <c r="Y297" s="159">
        <f t="shared" ca="1" si="28"/>
        <v>-9.327053436771962</v>
      </c>
      <c r="Z297" s="159">
        <f t="shared" ca="1" si="33"/>
        <v>-14.717576365048943</v>
      </c>
      <c r="AA297" s="161">
        <f t="shared" ca="1" si="34"/>
        <v>-1471.7576365048944</v>
      </c>
    </row>
    <row r="298" spans="5:27" x14ac:dyDescent="0.25">
      <c r="E298" s="142"/>
      <c r="F298" s="142"/>
      <c r="T298" s="165">
        <v>286</v>
      </c>
      <c r="U298" s="159">
        <f t="shared" si="29"/>
        <v>-70.108499999999992</v>
      </c>
      <c r="V298" s="159">
        <f t="shared" si="30"/>
        <v>-371.45850000000002</v>
      </c>
      <c r="W298" s="159">
        <f t="shared" si="31"/>
        <v>436.11</v>
      </c>
      <c r="X298" s="159">
        <f t="shared" si="32"/>
        <v>-5.4569999999999936</v>
      </c>
      <c r="Y298" s="159">
        <f t="shared" ca="1" si="28"/>
        <v>-9.327053436771962</v>
      </c>
      <c r="Z298" s="159">
        <f t="shared" ca="1" si="33"/>
        <v>-14.717576365048943</v>
      </c>
      <c r="AA298" s="161">
        <f t="shared" ca="1" si="34"/>
        <v>-1471.7576365048944</v>
      </c>
    </row>
    <row r="299" spans="5:27" x14ac:dyDescent="0.25">
      <c r="E299" s="142"/>
      <c r="F299" s="142"/>
      <c r="T299" s="165">
        <v>287</v>
      </c>
      <c r="U299" s="159">
        <f t="shared" si="29"/>
        <v>-70.108499999999992</v>
      </c>
      <c r="V299" s="159">
        <f t="shared" si="30"/>
        <v>-370.45850000000002</v>
      </c>
      <c r="W299" s="159">
        <f t="shared" si="31"/>
        <v>435.11</v>
      </c>
      <c r="X299" s="159">
        <f t="shared" si="32"/>
        <v>-5.4569999999999936</v>
      </c>
      <c r="Y299" s="159">
        <f t="shared" ca="1" si="28"/>
        <v>-9.327053436771962</v>
      </c>
      <c r="Z299" s="159">
        <f t="shared" ca="1" si="33"/>
        <v>-14.717576365048943</v>
      </c>
      <c r="AA299" s="161">
        <f t="shared" ca="1" si="34"/>
        <v>-1471.7576365048944</v>
      </c>
    </row>
    <row r="300" spans="5:27" x14ac:dyDescent="0.25">
      <c r="E300" s="142"/>
      <c r="F300" s="142"/>
      <c r="T300" s="165">
        <v>288</v>
      </c>
      <c r="U300" s="159">
        <f t="shared" si="29"/>
        <v>-70.108499999999992</v>
      </c>
      <c r="V300" s="159">
        <f t="shared" si="30"/>
        <v>-369.45850000000002</v>
      </c>
      <c r="W300" s="159">
        <f t="shared" si="31"/>
        <v>434.11</v>
      </c>
      <c r="X300" s="159">
        <f t="shared" si="32"/>
        <v>-5.4569999999999936</v>
      </c>
      <c r="Y300" s="159">
        <f t="shared" ca="1" si="28"/>
        <v>-9.327053436771962</v>
      </c>
      <c r="Z300" s="159">
        <f t="shared" ca="1" si="33"/>
        <v>-14.717576365048943</v>
      </c>
      <c r="AA300" s="161">
        <f t="shared" ca="1" si="34"/>
        <v>-1471.7576365048944</v>
      </c>
    </row>
    <row r="301" spans="5:27" x14ac:dyDescent="0.25">
      <c r="E301" s="142"/>
      <c r="F301" s="142"/>
      <c r="T301" s="165">
        <v>289</v>
      </c>
      <c r="U301" s="159">
        <f t="shared" si="29"/>
        <v>-70.108499999999992</v>
      </c>
      <c r="V301" s="159">
        <f t="shared" si="30"/>
        <v>-368.45850000000002</v>
      </c>
      <c r="W301" s="159">
        <f t="shared" si="31"/>
        <v>433.11</v>
      </c>
      <c r="X301" s="159">
        <f t="shared" si="32"/>
        <v>-5.4569999999999936</v>
      </c>
      <c r="Y301" s="159">
        <f t="shared" ca="1" si="28"/>
        <v>-9.327053436771962</v>
      </c>
      <c r="Z301" s="159">
        <f t="shared" ca="1" si="33"/>
        <v>-14.717576365048943</v>
      </c>
      <c r="AA301" s="161">
        <f t="shared" ca="1" si="34"/>
        <v>-1471.7576365048944</v>
      </c>
    </row>
    <row r="302" spans="5:27" x14ac:dyDescent="0.25">
      <c r="E302" s="142"/>
      <c r="F302" s="142"/>
      <c r="T302" s="165">
        <v>290</v>
      </c>
      <c r="U302" s="159">
        <f t="shared" si="29"/>
        <v>-70.108499999999992</v>
      </c>
      <c r="V302" s="159">
        <f t="shared" si="30"/>
        <v>-367.45850000000002</v>
      </c>
      <c r="W302" s="159">
        <f t="shared" si="31"/>
        <v>432.11</v>
      </c>
      <c r="X302" s="159">
        <f t="shared" si="32"/>
        <v>-5.4569999999999936</v>
      </c>
      <c r="Y302" s="159">
        <f t="shared" ca="1" si="28"/>
        <v>-9.327053436771962</v>
      </c>
      <c r="Z302" s="159">
        <f t="shared" ca="1" si="33"/>
        <v>-14.717576365048943</v>
      </c>
      <c r="AA302" s="161">
        <f t="shared" ca="1" si="34"/>
        <v>-1471.7576365048944</v>
      </c>
    </row>
    <row r="303" spans="5:27" x14ac:dyDescent="0.25">
      <c r="E303" s="142"/>
      <c r="F303" s="142"/>
      <c r="T303" s="165">
        <v>291</v>
      </c>
      <c r="U303" s="159">
        <f t="shared" si="29"/>
        <v>-70.108499999999992</v>
      </c>
      <c r="V303" s="159">
        <f t="shared" si="30"/>
        <v>-366.45850000000002</v>
      </c>
      <c r="W303" s="159">
        <f t="shared" si="31"/>
        <v>431.11</v>
      </c>
      <c r="X303" s="159">
        <f t="shared" si="32"/>
        <v>-5.4569999999999936</v>
      </c>
      <c r="Y303" s="159">
        <f t="shared" ca="1" si="28"/>
        <v>-9.327053436771962</v>
      </c>
      <c r="Z303" s="159">
        <f t="shared" ca="1" si="33"/>
        <v>-14.717576365048943</v>
      </c>
      <c r="AA303" s="161">
        <f t="shared" ca="1" si="34"/>
        <v>-1471.7576365048944</v>
      </c>
    </row>
    <row r="304" spans="5:27" x14ac:dyDescent="0.25">
      <c r="E304" s="142"/>
      <c r="F304" s="142"/>
      <c r="T304" s="165">
        <v>292</v>
      </c>
      <c r="U304" s="159">
        <f t="shared" si="29"/>
        <v>-70.108499999999992</v>
      </c>
      <c r="V304" s="159">
        <f t="shared" si="30"/>
        <v>-365.45850000000002</v>
      </c>
      <c r="W304" s="159">
        <f t="shared" si="31"/>
        <v>430.11</v>
      </c>
      <c r="X304" s="159">
        <f t="shared" si="32"/>
        <v>-5.4569999999999936</v>
      </c>
      <c r="Y304" s="159">
        <f t="shared" ca="1" si="28"/>
        <v>-9.327053436771962</v>
      </c>
      <c r="Z304" s="159">
        <f t="shared" ca="1" si="33"/>
        <v>-14.717576365048943</v>
      </c>
      <c r="AA304" s="161">
        <f t="shared" ca="1" si="34"/>
        <v>-1471.7576365048944</v>
      </c>
    </row>
    <row r="305" spans="5:27" x14ac:dyDescent="0.25">
      <c r="E305" s="142"/>
      <c r="F305" s="142"/>
      <c r="T305" s="165">
        <v>293</v>
      </c>
      <c r="U305" s="159">
        <f t="shared" si="29"/>
        <v>-70.108499999999992</v>
      </c>
      <c r="V305" s="159">
        <f t="shared" si="30"/>
        <v>-364.45850000000002</v>
      </c>
      <c r="W305" s="159">
        <f t="shared" si="31"/>
        <v>429.11</v>
      </c>
      <c r="X305" s="159">
        <f t="shared" si="32"/>
        <v>-5.4569999999999936</v>
      </c>
      <c r="Y305" s="159">
        <f t="shared" ca="1" si="28"/>
        <v>-9.327053436771962</v>
      </c>
      <c r="Z305" s="159">
        <f t="shared" ca="1" si="33"/>
        <v>-14.717576365048943</v>
      </c>
      <c r="AA305" s="161">
        <f t="shared" ca="1" si="34"/>
        <v>-1471.7576365048944</v>
      </c>
    </row>
    <row r="306" spans="5:27" x14ac:dyDescent="0.25">
      <c r="E306" s="142"/>
      <c r="F306" s="142"/>
      <c r="T306" s="165">
        <v>294</v>
      </c>
      <c r="U306" s="159">
        <f t="shared" si="29"/>
        <v>-70.108499999999992</v>
      </c>
      <c r="V306" s="159">
        <f t="shared" si="30"/>
        <v>-363.45850000000002</v>
      </c>
      <c r="W306" s="159">
        <f t="shared" si="31"/>
        <v>428.11</v>
      </c>
      <c r="X306" s="159">
        <f t="shared" si="32"/>
        <v>-5.4569999999999936</v>
      </c>
      <c r="Y306" s="159">
        <f t="shared" ca="1" si="28"/>
        <v>-9.327053436771962</v>
      </c>
      <c r="Z306" s="159">
        <f t="shared" ca="1" si="33"/>
        <v>-14.717576365048943</v>
      </c>
      <c r="AA306" s="161">
        <f t="shared" ca="1" si="34"/>
        <v>-1471.7576365048944</v>
      </c>
    </row>
    <row r="307" spans="5:27" x14ac:dyDescent="0.25">
      <c r="E307" s="142"/>
      <c r="F307" s="142"/>
      <c r="T307" s="165">
        <v>295</v>
      </c>
      <c r="U307" s="159">
        <f t="shared" si="29"/>
        <v>-70.108499999999992</v>
      </c>
      <c r="V307" s="159">
        <f t="shared" si="30"/>
        <v>-362.45850000000002</v>
      </c>
      <c r="W307" s="159">
        <f t="shared" si="31"/>
        <v>427.11</v>
      </c>
      <c r="X307" s="159">
        <f t="shared" si="32"/>
        <v>-5.4569999999999936</v>
      </c>
      <c r="Y307" s="159">
        <f t="shared" ca="1" si="28"/>
        <v>-9.327053436771962</v>
      </c>
      <c r="Z307" s="159">
        <f t="shared" ca="1" si="33"/>
        <v>-14.717576365048943</v>
      </c>
      <c r="AA307" s="161">
        <f t="shared" ca="1" si="34"/>
        <v>-1471.7576365048944</v>
      </c>
    </row>
    <row r="308" spans="5:27" x14ac:dyDescent="0.25">
      <c r="E308" s="142"/>
      <c r="F308" s="142"/>
      <c r="T308" s="165">
        <v>296</v>
      </c>
      <c r="U308" s="159">
        <f t="shared" si="29"/>
        <v>-70.108499999999992</v>
      </c>
      <c r="V308" s="159">
        <f t="shared" si="30"/>
        <v>-361.45850000000002</v>
      </c>
      <c r="W308" s="159">
        <f t="shared" si="31"/>
        <v>426.11</v>
      </c>
      <c r="X308" s="159">
        <f t="shared" si="32"/>
        <v>-5.4569999999999936</v>
      </c>
      <c r="Y308" s="159">
        <f t="shared" ca="1" si="28"/>
        <v>-9.327053436771962</v>
      </c>
      <c r="Z308" s="159">
        <f t="shared" ca="1" si="33"/>
        <v>-14.717576365048943</v>
      </c>
      <c r="AA308" s="161">
        <f t="shared" ca="1" si="34"/>
        <v>-1471.7576365048944</v>
      </c>
    </row>
    <row r="309" spans="5:27" x14ac:dyDescent="0.25">
      <c r="E309" s="142"/>
      <c r="F309" s="142"/>
      <c r="T309" s="165">
        <v>297</v>
      </c>
      <c r="U309" s="159">
        <f t="shared" si="29"/>
        <v>-70.108499999999992</v>
      </c>
      <c r="V309" s="159">
        <f t="shared" si="30"/>
        <v>-360.45850000000002</v>
      </c>
      <c r="W309" s="159">
        <f t="shared" si="31"/>
        <v>425.11</v>
      </c>
      <c r="X309" s="159">
        <f t="shared" si="32"/>
        <v>-5.4569999999999936</v>
      </c>
      <c r="Y309" s="159">
        <f t="shared" ca="1" si="28"/>
        <v>-9.327053436771962</v>
      </c>
      <c r="Z309" s="159">
        <f t="shared" ca="1" si="33"/>
        <v>-14.717576365048943</v>
      </c>
      <c r="AA309" s="161">
        <f t="shared" ca="1" si="34"/>
        <v>-1471.7576365048944</v>
      </c>
    </row>
    <row r="310" spans="5:27" x14ac:dyDescent="0.25">
      <c r="E310" s="142"/>
      <c r="F310" s="142"/>
      <c r="T310" s="165">
        <v>298</v>
      </c>
      <c r="U310" s="159">
        <f t="shared" si="29"/>
        <v>-70.108499999999992</v>
      </c>
      <c r="V310" s="159">
        <f t="shared" si="30"/>
        <v>-359.45850000000002</v>
      </c>
      <c r="W310" s="159">
        <f t="shared" si="31"/>
        <v>424.11</v>
      </c>
      <c r="X310" s="159">
        <f t="shared" si="32"/>
        <v>-5.4569999999999936</v>
      </c>
      <c r="Y310" s="159">
        <f t="shared" ca="1" si="28"/>
        <v>-9.327053436771962</v>
      </c>
      <c r="Z310" s="159">
        <f t="shared" ca="1" si="33"/>
        <v>-14.717576365048943</v>
      </c>
      <c r="AA310" s="161">
        <f t="shared" ca="1" si="34"/>
        <v>-1471.7576365048944</v>
      </c>
    </row>
    <row r="311" spans="5:27" x14ac:dyDescent="0.25">
      <c r="E311" s="142"/>
      <c r="F311" s="142"/>
      <c r="T311" s="165">
        <v>299</v>
      </c>
      <c r="U311" s="159">
        <f t="shared" si="29"/>
        <v>-70.108499999999992</v>
      </c>
      <c r="V311" s="159">
        <f t="shared" si="30"/>
        <v>-358.45850000000002</v>
      </c>
      <c r="W311" s="159">
        <f t="shared" si="31"/>
        <v>423.11</v>
      </c>
      <c r="X311" s="159">
        <f t="shared" si="32"/>
        <v>-5.4569999999999936</v>
      </c>
      <c r="Y311" s="159">
        <f t="shared" ca="1" si="28"/>
        <v>-9.327053436771962</v>
      </c>
      <c r="Z311" s="159">
        <f t="shared" ca="1" si="33"/>
        <v>-14.717576365048943</v>
      </c>
      <c r="AA311" s="161">
        <f t="shared" ca="1" si="34"/>
        <v>-1471.7576365048944</v>
      </c>
    </row>
    <row r="312" spans="5:27" x14ac:dyDescent="0.25">
      <c r="E312" s="142"/>
      <c r="F312" s="142"/>
      <c r="T312" s="165">
        <v>300</v>
      </c>
      <c r="U312" s="159">
        <f t="shared" si="29"/>
        <v>-70.108499999999992</v>
      </c>
      <c r="V312" s="159">
        <f t="shared" si="30"/>
        <v>-357.45850000000002</v>
      </c>
      <c r="W312" s="159">
        <f t="shared" si="31"/>
        <v>422.11</v>
      </c>
      <c r="X312" s="159">
        <f t="shared" si="32"/>
        <v>-5.4569999999999936</v>
      </c>
      <c r="Y312" s="159">
        <f t="shared" ca="1" si="28"/>
        <v>-9.327053436771962</v>
      </c>
      <c r="Z312" s="159">
        <f t="shared" ca="1" si="33"/>
        <v>-14.717576365048943</v>
      </c>
      <c r="AA312" s="161">
        <f t="shared" ca="1" si="34"/>
        <v>-1471.7576365048944</v>
      </c>
    </row>
    <row r="313" spans="5:27" x14ac:dyDescent="0.25">
      <c r="E313" s="142"/>
      <c r="F313" s="142"/>
      <c r="T313" s="165">
        <v>301</v>
      </c>
      <c r="U313" s="159">
        <f t="shared" si="29"/>
        <v>-70.108499999999992</v>
      </c>
      <c r="V313" s="159">
        <f t="shared" si="30"/>
        <v>-356.45850000000002</v>
      </c>
      <c r="W313" s="159">
        <f t="shared" si="31"/>
        <v>421.11</v>
      </c>
      <c r="X313" s="159">
        <f t="shared" si="32"/>
        <v>-5.4569999999999936</v>
      </c>
      <c r="Y313" s="159">
        <f t="shared" ca="1" si="28"/>
        <v>-9.327053436771962</v>
      </c>
      <c r="Z313" s="159">
        <f t="shared" ca="1" si="33"/>
        <v>-14.717576365048943</v>
      </c>
      <c r="AA313" s="161">
        <f t="shared" ca="1" si="34"/>
        <v>-1471.7576365048944</v>
      </c>
    </row>
    <row r="314" spans="5:27" x14ac:dyDescent="0.25">
      <c r="E314" s="142"/>
      <c r="F314" s="142"/>
      <c r="T314" s="165">
        <v>302</v>
      </c>
      <c r="U314" s="159">
        <f t="shared" si="29"/>
        <v>-70.108499999999992</v>
      </c>
      <c r="V314" s="159">
        <f t="shared" si="30"/>
        <v>-355.45850000000002</v>
      </c>
      <c r="W314" s="159">
        <f t="shared" si="31"/>
        <v>420.11</v>
      </c>
      <c r="X314" s="159">
        <f t="shared" si="32"/>
        <v>-5.4569999999999936</v>
      </c>
      <c r="Y314" s="159">
        <f t="shared" ca="1" si="28"/>
        <v>-9.327053436771962</v>
      </c>
      <c r="Z314" s="159">
        <f t="shared" ca="1" si="33"/>
        <v>-14.717576365048943</v>
      </c>
      <c r="AA314" s="161">
        <f t="shared" ca="1" si="34"/>
        <v>-1471.7576365048944</v>
      </c>
    </row>
    <row r="315" spans="5:27" x14ac:dyDescent="0.25">
      <c r="E315" s="142"/>
      <c r="F315" s="142"/>
      <c r="T315" s="165">
        <v>303</v>
      </c>
      <c r="U315" s="159">
        <f t="shared" si="29"/>
        <v>-70.108499999999992</v>
      </c>
      <c r="V315" s="159">
        <f t="shared" si="30"/>
        <v>-354.45850000000002</v>
      </c>
      <c r="W315" s="159">
        <f t="shared" si="31"/>
        <v>419.11</v>
      </c>
      <c r="X315" s="159">
        <f t="shared" si="32"/>
        <v>-5.4569999999999936</v>
      </c>
      <c r="Y315" s="159">
        <f t="shared" ca="1" si="28"/>
        <v>-9.327053436771962</v>
      </c>
      <c r="Z315" s="159">
        <f t="shared" ca="1" si="33"/>
        <v>-14.717576365048943</v>
      </c>
      <c r="AA315" s="161">
        <f t="shared" ca="1" si="34"/>
        <v>-1471.7576365048944</v>
      </c>
    </row>
    <row r="316" spans="5:27" x14ac:dyDescent="0.25">
      <c r="E316" s="142"/>
      <c r="F316" s="142"/>
      <c r="T316" s="165">
        <v>304</v>
      </c>
      <c r="U316" s="159">
        <f t="shared" si="29"/>
        <v>-70.108499999999992</v>
      </c>
      <c r="V316" s="159">
        <f t="shared" si="30"/>
        <v>-353.45850000000002</v>
      </c>
      <c r="W316" s="159">
        <f t="shared" si="31"/>
        <v>418.11</v>
      </c>
      <c r="X316" s="159">
        <f t="shared" si="32"/>
        <v>-5.4569999999999936</v>
      </c>
      <c r="Y316" s="159">
        <f t="shared" ca="1" si="28"/>
        <v>-9.327053436771962</v>
      </c>
      <c r="Z316" s="159">
        <f t="shared" ca="1" si="33"/>
        <v>-14.717576365048943</v>
      </c>
      <c r="AA316" s="161">
        <f t="shared" ca="1" si="34"/>
        <v>-1471.7576365048944</v>
      </c>
    </row>
    <row r="317" spans="5:27" x14ac:dyDescent="0.25">
      <c r="E317" s="142"/>
      <c r="F317" s="142"/>
      <c r="T317" s="165">
        <v>305</v>
      </c>
      <c r="U317" s="159">
        <f t="shared" si="29"/>
        <v>-70.108499999999992</v>
      </c>
      <c r="V317" s="159">
        <f t="shared" si="30"/>
        <v>-352.45850000000002</v>
      </c>
      <c r="W317" s="159">
        <f t="shared" si="31"/>
        <v>417.11</v>
      </c>
      <c r="X317" s="159">
        <f t="shared" si="32"/>
        <v>-5.4569999999999936</v>
      </c>
      <c r="Y317" s="159">
        <f t="shared" ca="1" si="28"/>
        <v>-9.327053436771962</v>
      </c>
      <c r="Z317" s="159">
        <f t="shared" ca="1" si="33"/>
        <v>-14.717576365048943</v>
      </c>
      <c r="AA317" s="161">
        <f t="shared" ca="1" si="34"/>
        <v>-1471.7576365048944</v>
      </c>
    </row>
    <row r="318" spans="5:27" x14ac:dyDescent="0.25">
      <c r="E318" s="142"/>
      <c r="F318" s="142"/>
      <c r="T318" s="165">
        <v>306</v>
      </c>
      <c r="U318" s="159">
        <f t="shared" si="29"/>
        <v>-70.108499999999992</v>
      </c>
      <c r="V318" s="159">
        <f t="shared" si="30"/>
        <v>-351.45850000000002</v>
      </c>
      <c r="W318" s="159">
        <f t="shared" si="31"/>
        <v>416.11</v>
      </c>
      <c r="X318" s="159">
        <f t="shared" si="32"/>
        <v>-5.4569999999999936</v>
      </c>
      <c r="Y318" s="159">
        <f t="shared" ca="1" si="28"/>
        <v>-9.327053436771962</v>
      </c>
      <c r="Z318" s="159">
        <f t="shared" ca="1" si="33"/>
        <v>-14.717576365048943</v>
      </c>
      <c r="AA318" s="161">
        <f t="shared" ca="1" si="34"/>
        <v>-1471.7576365048944</v>
      </c>
    </row>
    <row r="319" spans="5:27" x14ac:dyDescent="0.25">
      <c r="E319" s="142"/>
      <c r="F319" s="142"/>
      <c r="T319" s="165">
        <v>307</v>
      </c>
      <c r="U319" s="159">
        <f t="shared" si="29"/>
        <v>-70.108499999999992</v>
      </c>
      <c r="V319" s="159">
        <f t="shared" si="30"/>
        <v>-350.45850000000002</v>
      </c>
      <c r="W319" s="159">
        <f t="shared" si="31"/>
        <v>415.11</v>
      </c>
      <c r="X319" s="159">
        <f t="shared" si="32"/>
        <v>-5.4569999999999936</v>
      </c>
      <c r="Y319" s="159">
        <f t="shared" ca="1" si="28"/>
        <v>-9.327053436771962</v>
      </c>
      <c r="Z319" s="159">
        <f t="shared" ca="1" si="33"/>
        <v>-14.717576365048943</v>
      </c>
      <c r="AA319" s="161">
        <f t="shared" ca="1" si="34"/>
        <v>-1471.7576365048944</v>
      </c>
    </row>
    <row r="320" spans="5:27" x14ac:dyDescent="0.25">
      <c r="E320" s="142"/>
      <c r="F320" s="142"/>
      <c r="T320" s="165">
        <v>308</v>
      </c>
      <c r="U320" s="159">
        <f t="shared" si="29"/>
        <v>-70.108499999999992</v>
      </c>
      <c r="V320" s="159">
        <f t="shared" si="30"/>
        <v>-349.45850000000002</v>
      </c>
      <c r="W320" s="159">
        <f t="shared" si="31"/>
        <v>414.11</v>
      </c>
      <c r="X320" s="159">
        <f t="shared" si="32"/>
        <v>-5.4569999999999936</v>
      </c>
      <c r="Y320" s="159">
        <f t="shared" ca="1" si="28"/>
        <v>-9.327053436771962</v>
      </c>
      <c r="Z320" s="159">
        <f t="shared" ca="1" si="33"/>
        <v>-14.717576365048943</v>
      </c>
      <c r="AA320" s="161">
        <f t="shared" ca="1" si="34"/>
        <v>-1471.7576365048944</v>
      </c>
    </row>
    <row r="321" spans="5:27" x14ac:dyDescent="0.25">
      <c r="E321" s="142"/>
      <c r="F321" s="142"/>
      <c r="T321" s="165">
        <v>309</v>
      </c>
      <c r="U321" s="159">
        <f t="shared" si="29"/>
        <v>-70.108499999999992</v>
      </c>
      <c r="V321" s="159">
        <f t="shared" si="30"/>
        <v>-348.45850000000002</v>
      </c>
      <c r="W321" s="159">
        <f t="shared" si="31"/>
        <v>413.11</v>
      </c>
      <c r="X321" s="159">
        <f t="shared" si="32"/>
        <v>-5.4569999999999936</v>
      </c>
      <c r="Y321" s="159">
        <f t="shared" ca="1" si="28"/>
        <v>-9.327053436771962</v>
      </c>
      <c r="Z321" s="159">
        <f t="shared" ca="1" si="33"/>
        <v>-14.717576365048943</v>
      </c>
      <c r="AA321" s="161">
        <f t="shared" ca="1" si="34"/>
        <v>-1471.7576365048944</v>
      </c>
    </row>
    <row r="322" spans="5:27" x14ac:dyDescent="0.25">
      <c r="E322" s="142"/>
      <c r="F322" s="142"/>
      <c r="T322" s="165">
        <v>310</v>
      </c>
      <c r="U322" s="159">
        <f t="shared" si="29"/>
        <v>-70.108499999999992</v>
      </c>
      <c r="V322" s="159">
        <f t="shared" si="30"/>
        <v>-347.45850000000002</v>
      </c>
      <c r="W322" s="159">
        <f t="shared" si="31"/>
        <v>412.11</v>
      </c>
      <c r="X322" s="159">
        <f t="shared" si="32"/>
        <v>-5.4569999999999936</v>
      </c>
      <c r="Y322" s="159">
        <f t="shared" ca="1" si="28"/>
        <v>-9.327053436771962</v>
      </c>
      <c r="Z322" s="159">
        <f t="shared" ca="1" si="33"/>
        <v>-14.717576365048943</v>
      </c>
      <c r="AA322" s="161">
        <f t="shared" ca="1" si="34"/>
        <v>-1471.7576365048944</v>
      </c>
    </row>
    <row r="323" spans="5:27" x14ac:dyDescent="0.25">
      <c r="E323" s="142"/>
      <c r="F323" s="142"/>
      <c r="T323" s="165">
        <v>311</v>
      </c>
      <c r="U323" s="159">
        <f t="shared" si="29"/>
        <v>-70.108499999999992</v>
      </c>
      <c r="V323" s="159">
        <f t="shared" si="30"/>
        <v>-346.45850000000002</v>
      </c>
      <c r="W323" s="159">
        <f t="shared" si="31"/>
        <v>411.11</v>
      </c>
      <c r="X323" s="159">
        <f t="shared" si="32"/>
        <v>-5.4569999999999936</v>
      </c>
      <c r="Y323" s="159">
        <f t="shared" ca="1" si="28"/>
        <v>-9.327053436771962</v>
      </c>
      <c r="Z323" s="159">
        <f t="shared" ca="1" si="33"/>
        <v>-14.717576365048943</v>
      </c>
      <c r="AA323" s="161">
        <f t="shared" ca="1" si="34"/>
        <v>-1471.7576365048944</v>
      </c>
    </row>
    <row r="324" spans="5:27" x14ac:dyDescent="0.25">
      <c r="E324" s="142"/>
      <c r="F324" s="142"/>
      <c r="T324" s="165">
        <v>312</v>
      </c>
      <c r="U324" s="159">
        <f t="shared" si="29"/>
        <v>-70.108499999999992</v>
      </c>
      <c r="V324" s="159">
        <f t="shared" si="30"/>
        <v>-345.45850000000002</v>
      </c>
      <c r="W324" s="159">
        <f t="shared" si="31"/>
        <v>410.11</v>
      </c>
      <c r="X324" s="159">
        <f t="shared" si="32"/>
        <v>-5.4569999999999936</v>
      </c>
      <c r="Y324" s="159">
        <f t="shared" ca="1" si="28"/>
        <v>-9.327053436771962</v>
      </c>
      <c r="Z324" s="159">
        <f t="shared" ca="1" si="33"/>
        <v>-14.717576365048943</v>
      </c>
      <c r="AA324" s="161">
        <f t="shared" ca="1" si="34"/>
        <v>-1471.7576365048944</v>
      </c>
    </row>
    <row r="325" spans="5:27" x14ac:dyDescent="0.25">
      <c r="E325" s="142"/>
      <c r="F325" s="142"/>
      <c r="T325" s="165">
        <v>313</v>
      </c>
      <c r="U325" s="159">
        <f t="shared" si="29"/>
        <v>-70.108499999999992</v>
      </c>
      <c r="V325" s="159">
        <f t="shared" si="30"/>
        <v>-344.45850000000002</v>
      </c>
      <c r="W325" s="159">
        <f t="shared" si="31"/>
        <v>409.11</v>
      </c>
      <c r="X325" s="159">
        <f t="shared" si="32"/>
        <v>-5.4569999999999936</v>
      </c>
      <c r="Y325" s="159">
        <f t="shared" ca="1" si="28"/>
        <v>-9.327053436771962</v>
      </c>
      <c r="Z325" s="159">
        <f t="shared" ca="1" si="33"/>
        <v>-14.717576365048943</v>
      </c>
      <c r="AA325" s="161">
        <f t="shared" ca="1" si="34"/>
        <v>-1471.7576365048944</v>
      </c>
    </row>
    <row r="326" spans="5:27" x14ac:dyDescent="0.25">
      <c r="E326" s="142"/>
      <c r="F326" s="142"/>
      <c r="T326" s="165">
        <v>314</v>
      </c>
      <c r="U326" s="159">
        <f t="shared" si="29"/>
        <v>-70.108499999999992</v>
      </c>
      <c r="V326" s="159">
        <f t="shared" si="30"/>
        <v>-343.45850000000002</v>
      </c>
      <c r="W326" s="159">
        <f t="shared" si="31"/>
        <v>408.11</v>
      </c>
      <c r="X326" s="159">
        <f t="shared" si="32"/>
        <v>-5.4569999999999936</v>
      </c>
      <c r="Y326" s="159">
        <f t="shared" ca="1" si="28"/>
        <v>-9.327053436771962</v>
      </c>
      <c r="Z326" s="159">
        <f t="shared" ca="1" si="33"/>
        <v>-14.717576365048943</v>
      </c>
      <c r="AA326" s="161">
        <f t="shared" ca="1" si="34"/>
        <v>-1471.7576365048944</v>
      </c>
    </row>
    <row r="327" spans="5:27" x14ac:dyDescent="0.25">
      <c r="E327" s="142"/>
      <c r="F327" s="142"/>
      <c r="T327" s="165">
        <v>315</v>
      </c>
      <c r="U327" s="159">
        <f t="shared" si="29"/>
        <v>-70.108499999999992</v>
      </c>
      <c r="V327" s="159">
        <f t="shared" si="30"/>
        <v>-342.45850000000002</v>
      </c>
      <c r="W327" s="159">
        <f t="shared" si="31"/>
        <v>407.11</v>
      </c>
      <c r="X327" s="159">
        <f t="shared" si="32"/>
        <v>-5.4569999999999936</v>
      </c>
      <c r="Y327" s="159">
        <f t="shared" ca="1" si="28"/>
        <v>-9.327053436771962</v>
      </c>
      <c r="Z327" s="159">
        <f t="shared" ca="1" si="33"/>
        <v>-14.717576365048943</v>
      </c>
      <c r="AA327" s="161">
        <f t="shared" ca="1" si="34"/>
        <v>-1471.7576365048944</v>
      </c>
    </row>
    <row r="328" spans="5:27" x14ac:dyDescent="0.25">
      <c r="E328" s="142"/>
      <c r="F328" s="142"/>
      <c r="T328" s="165">
        <v>316</v>
      </c>
      <c r="U328" s="159">
        <f t="shared" si="29"/>
        <v>-70.108499999999992</v>
      </c>
      <c r="V328" s="159">
        <f t="shared" si="30"/>
        <v>-341.45850000000002</v>
      </c>
      <c r="W328" s="159">
        <f t="shared" si="31"/>
        <v>406.11</v>
      </c>
      <c r="X328" s="159">
        <f t="shared" si="32"/>
        <v>-5.4569999999999936</v>
      </c>
      <c r="Y328" s="159">
        <f t="shared" ca="1" si="28"/>
        <v>-9.327053436771962</v>
      </c>
      <c r="Z328" s="159">
        <f t="shared" ca="1" si="33"/>
        <v>-14.717576365048943</v>
      </c>
      <c r="AA328" s="161">
        <f t="shared" ca="1" si="34"/>
        <v>-1471.7576365048944</v>
      </c>
    </row>
    <row r="329" spans="5:27" x14ac:dyDescent="0.25">
      <c r="E329" s="142"/>
      <c r="F329" s="142"/>
      <c r="T329" s="165">
        <v>317</v>
      </c>
      <c r="U329" s="159">
        <f t="shared" si="29"/>
        <v>-70.108499999999992</v>
      </c>
      <c r="V329" s="159">
        <f t="shared" si="30"/>
        <v>-340.45850000000002</v>
      </c>
      <c r="W329" s="159">
        <f t="shared" si="31"/>
        <v>405.11</v>
      </c>
      <c r="X329" s="159">
        <f t="shared" si="32"/>
        <v>-5.4569999999999936</v>
      </c>
      <c r="Y329" s="159">
        <f t="shared" ca="1" si="28"/>
        <v>-9.327053436771962</v>
      </c>
      <c r="Z329" s="159">
        <f t="shared" ca="1" si="33"/>
        <v>-14.717576365048943</v>
      </c>
      <c r="AA329" s="161">
        <f t="shared" ca="1" si="34"/>
        <v>-1471.7576365048944</v>
      </c>
    </row>
    <row r="330" spans="5:27" x14ac:dyDescent="0.25">
      <c r="E330" s="142"/>
      <c r="F330" s="142"/>
      <c r="T330" s="165">
        <v>318</v>
      </c>
      <c r="U330" s="159">
        <f t="shared" si="29"/>
        <v>-70.108499999999992</v>
      </c>
      <c r="V330" s="159">
        <f t="shared" si="30"/>
        <v>-339.45850000000002</v>
      </c>
      <c r="W330" s="159">
        <f t="shared" si="31"/>
        <v>404.11</v>
      </c>
      <c r="X330" s="159">
        <f t="shared" si="32"/>
        <v>-5.4569999999999936</v>
      </c>
      <c r="Y330" s="159">
        <f t="shared" ca="1" si="28"/>
        <v>-9.327053436771962</v>
      </c>
      <c r="Z330" s="159">
        <f t="shared" ca="1" si="33"/>
        <v>-14.717576365048943</v>
      </c>
      <c r="AA330" s="161">
        <f t="shared" ca="1" si="34"/>
        <v>-1471.7576365048944</v>
      </c>
    </row>
    <row r="331" spans="5:27" x14ac:dyDescent="0.25">
      <c r="E331" s="142"/>
      <c r="F331" s="142"/>
      <c r="T331" s="165">
        <v>319</v>
      </c>
      <c r="U331" s="159">
        <f t="shared" si="29"/>
        <v>-70.108499999999992</v>
      </c>
      <c r="V331" s="159">
        <f t="shared" si="30"/>
        <v>-338.45850000000002</v>
      </c>
      <c r="W331" s="159">
        <f t="shared" si="31"/>
        <v>403.11</v>
      </c>
      <c r="X331" s="159">
        <f t="shared" si="32"/>
        <v>-5.4569999999999936</v>
      </c>
      <c r="Y331" s="159">
        <f t="shared" ca="1" si="28"/>
        <v>-9.327053436771962</v>
      </c>
      <c r="Z331" s="159">
        <f t="shared" ca="1" si="33"/>
        <v>-14.717576365048943</v>
      </c>
      <c r="AA331" s="161">
        <f t="shared" ca="1" si="34"/>
        <v>-1471.7576365048944</v>
      </c>
    </row>
    <row r="332" spans="5:27" x14ac:dyDescent="0.25">
      <c r="E332" s="142"/>
      <c r="F332" s="142"/>
      <c r="T332" s="165">
        <v>320</v>
      </c>
      <c r="U332" s="159">
        <f t="shared" si="29"/>
        <v>-70.108499999999992</v>
      </c>
      <c r="V332" s="159">
        <f t="shared" si="30"/>
        <v>-337.45850000000002</v>
      </c>
      <c r="W332" s="159">
        <f t="shared" si="31"/>
        <v>402.11</v>
      </c>
      <c r="X332" s="159">
        <f t="shared" si="32"/>
        <v>-5.4569999999999936</v>
      </c>
      <c r="Y332" s="159">
        <f t="shared" ref="Y332:Y395" ca="1" si="35">$Y$10*EXP($Y$7*$C$6)-$Y$10</f>
        <v>-9.327053436771962</v>
      </c>
      <c r="Z332" s="159">
        <f t="shared" ca="1" si="33"/>
        <v>-14.717576365048943</v>
      </c>
      <c r="AA332" s="161">
        <f t="shared" ca="1" si="34"/>
        <v>-1471.7576365048944</v>
      </c>
    </row>
    <row r="333" spans="5:27" x14ac:dyDescent="0.25">
      <c r="E333" s="142"/>
      <c r="F333" s="142"/>
      <c r="T333" s="165">
        <v>321</v>
      </c>
      <c r="U333" s="159">
        <f t="shared" ref="U333:U396" si="36">MAX(0,T333-$U$9)-$U$10-$U$11/100</f>
        <v>-70.108499999999992</v>
      </c>
      <c r="V333" s="159">
        <f t="shared" ref="V333:V396" si="37">$V$10-MAX(0,$V$9-T333)-$V$11/100</f>
        <v>-336.45850000000002</v>
      </c>
      <c r="W333" s="159">
        <f t="shared" ref="W333:W396" si="38">$W$10-T333</f>
        <v>401.11</v>
      </c>
      <c r="X333" s="159">
        <f t="shared" ref="X333:X396" si="39">SUM(U333:W333)</f>
        <v>-5.4569999999999936</v>
      </c>
      <c r="Y333" s="159">
        <f t="shared" ca="1" si="35"/>
        <v>-9.327053436771962</v>
      </c>
      <c r="Z333" s="159">
        <f t="shared" ref="Z333:Z396" ca="1" si="40">EXP(-$E$3*$C$6)*SUM(X333:Y333)</f>
        <v>-14.717576365048943</v>
      </c>
      <c r="AA333" s="161">
        <f t="shared" ref="AA333:AA396" ca="1" si="41">Z333*100</f>
        <v>-1471.7576365048944</v>
      </c>
    </row>
    <row r="334" spans="5:27" x14ac:dyDescent="0.25">
      <c r="E334" s="142"/>
      <c r="F334" s="142"/>
      <c r="T334" s="165">
        <v>322</v>
      </c>
      <c r="U334" s="159">
        <f t="shared" si="36"/>
        <v>-70.108499999999992</v>
      </c>
      <c r="V334" s="159">
        <f t="shared" si="37"/>
        <v>-335.45850000000002</v>
      </c>
      <c r="W334" s="159">
        <f t="shared" si="38"/>
        <v>400.11</v>
      </c>
      <c r="X334" s="159">
        <f t="shared" si="39"/>
        <v>-5.4569999999999936</v>
      </c>
      <c r="Y334" s="159">
        <f t="shared" ca="1" si="35"/>
        <v>-9.327053436771962</v>
      </c>
      <c r="Z334" s="159">
        <f t="shared" ca="1" si="40"/>
        <v>-14.717576365048943</v>
      </c>
      <c r="AA334" s="161">
        <f t="shared" ca="1" si="41"/>
        <v>-1471.7576365048944</v>
      </c>
    </row>
    <row r="335" spans="5:27" x14ac:dyDescent="0.25">
      <c r="E335" s="142"/>
      <c r="F335" s="142"/>
      <c r="T335" s="165">
        <v>323</v>
      </c>
      <c r="U335" s="159">
        <f t="shared" si="36"/>
        <v>-70.108499999999992</v>
      </c>
      <c r="V335" s="159">
        <f t="shared" si="37"/>
        <v>-334.45850000000002</v>
      </c>
      <c r="W335" s="159">
        <f t="shared" si="38"/>
        <v>399.11</v>
      </c>
      <c r="X335" s="159">
        <f t="shared" si="39"/>
        <v>-5.4569999999999936</v>
      </c>
      <c r="Y335" s="159">
        <f t="shared" ca="1" si="35"/>
        <v>-9.327053436771962</v>
      </c>
      <c r="Z335" s="159">
        <f t="shared" ca="1" si="40"/>
        <v>-14.717576365048943</v>
      </c>
      <c r="AA335" s="161">
        <f t="shared" ca="1" si="41"/>
        <v>-1471.7576365048944</v>
      </c>
    </row>
    <row r="336" spans="5:27" x14ac:dyDescent="0.25">
      <c r="E336" s="142"/>
      <c r="F336" s="142"/>
      <c r="T336" s="165">
        <v>324</v>
      </c>
      <c r="U336" s="159">
        <f t="shared" si="36"/>
        <v>-70.108499999999992</v>
      </c>
      <c r="V336" s="159">
        <f t="shared" si="37"/>
        <v>-333.45850000000002</v>
      </c>
      <c r="W336" s="159">
        <f t="shared" si="38"/>
        <v>398.11</v>
      </c>
      <c r="X336" s="159">
        <f t="shared" si="39"/>
        <v>-5.4569999999999936</v>
      </c>
      <c r="Y336" s="159">
        <f t="shared" ca="1" si="35"/>
        <v>-9.327053436771962</v>
      </c>
      <c r="Z336" s="159">
        <f t="shared" ca="1" si="40"/>
        <v>-14.717576365048943</v>
      </c>
      <c r="AA336" s="161">
        <f t="shared" ca="1" si="41"/>
        <v>-1471.7576365048944</v>
      </c>
    </row>
    <row r="337" spans="5:27" x14ac:dyDescent="0.25">
      <c r="E337" s="142"/>
      <c r="F337" s="142"/>
      <c r="T337" s="165">
        <v>325</v>
      </c>
      <c r="U337" s="159">
        <f t="shared" si="36"/>
        <v>-70.108499999999992</v>
      </c>
      <c r="V337" s="159">
        <f t="shared" si="37"/>
        <v>-332.45850000000002</v>
      </c>
      <c r="W337" s="159">
        <f t="shared" si="38"/>
        <v>397.11</v>
      </c>
      <c r="X337" s="159">
        <f t="shared" si="39"/>
        <v>-5.4569999999999936</v>
      </c>
      <c r="Y337" s="159">
        <f t="shared" ca="1" si="35"/>
        <v>-9.327053436771962</v>
      </c>
      <c r="Z337" s="159">
        <f t="shared" ca="1" si="40"/>
        <v>-14.717576365048943</v>
      </c>
      <c r="AA337" s="161">
        <f t="shared" ca="1" si="41"/>
        <v>-1471.7576365048944</v>
      </c>
    </row>
    <row r="338" spans="5:27" x14ac:dyDescent="0.25">
      <c r="E338" s="142"/>
      <c r="F338" s="142"/>
      <c r="T338" s="165">
        <v>326</v>
      </c>
      <c r="U338" s="159">
        <f t="shared" si="36"/>
        <v>-70.108499999999992</v>
      </c>
      <c r="V338" s="159">
        <f t="shared" si="37"/>
        <v>-331.45850000000002</v>
      </c>
      <c r="W338" s="159">
        <f t="shared" si="38"/>
        <v>396.11</v>
      </c>
      <c r="X338" s="159">
        <f t="shared" si="39"/>
        <v>-5.4569999999999936</v>
      </c>
      <c r="Y338" s="159">
        <f t="shared" ca="1" si="35"/>
        <v>-9.327053436771962</v>
      </c>
      <c r="Z338" s="159">
        <f t="shared" ca="1" si="40"/>
        <v>-14.717576365048943</v>
      </c>
      <c r="AA338" s="161">
        <f t="shared" ca="1" si="41"/>
        <v>-1471.7576365048944</v>
      </c>
    </row>
    <row r="339" spans="5:27" x14ac:dyDescent="0.25">
      <c r="E339" s="142"/>
      <c r="F339" s="142"/>
      <c r="T339" s="165">
        <v>327</v>
      </c>
      <c r="U339" s="159">
        <f t="shared" si="36"/>
        <v>-70.108499999999992</v>
      </c>
      <c r="V339" s="159">
        <f t="shared" si="37"/>
        <v>-330.45850000000002</v>
      </c>
      <c r="W339" s="159">
        <f t="shared" si="38"/>
        <v>395.11</v>
      </c>
      <c r="X339" s="159">
        <f t="shared" si="39"/>
        <v>-5.4569999999999936</v>
      </c>
      <c r="Y339" s="159">
        <f t="shared" ca="1" si="35"/>
        <v>-9.327053436771962</v>
      </c>
      <c r="Z339" s="159">
        <f t="shared" ca="1" si="40"/>
        <v>-14.717576365048943</v>
      </c>
      <c r="AA339" s="161">
        <f t="shared" ca="1" si="41"/>
        <v>-1471.7576365048944</v>
      </c>
    </row>
    <row r="340" spans="5:27" x14ac:dyDescent="0.25">
      <c r="E340" s="142"/>
      <c r="F340" s="142"/>
      <c r="T340" s="165">
        <v>328</v>
      </c>
      <c r="U340" s="159">
        <f t="shared" si="36"/>
        <v>-70.108499999999992</v>
      </c>
      <c r="V340" s="159">
        <f t="shared" si="37"/>
        <v>-329.45850000000002</v>
      </c>
      <c r="W340" s="159">
        <f t="shared" si="38"/>
        <v>394.11</v>
      </c>
      <c r="X340" s="159">
        <f t="shared" si="39"/>
        <v>-5.4569999999999936</v>
      </c>
      <c r="Y340" s="159">
        <f t="shared" ca="1" si="35"/>
        <v>-9.327053436771962</v>
      </c>
      <c r="Z340" s="159">
        <f t="shared" ca="1" si="40"/>
        <v>-14.717576365048943</v>
      </c>
      <c r="AA340" s="161">
        <f t="shared" ca="1" si="41"/>
        <v>-1471.7576365048944</v>
      </c>
    </row>
    <row r="341" spans="5:27" x14ac:dyDescent="0.25">
      <c r="E341" s="142"/>
      <c r="F341" s="142"/>
      <c r="T341" s="165">
        <v>329</v>
      </c>
      <c r="U341" s="159">
        <f t="shared" si="36"/>
        <v>-70.108499999999992</v>
      </c>
      <c r="V341" s="159">
        <f t="shared" si="37"/>
        <v>-328.45850000000002</v>
      </c>
      <c r="W341" s="159">
        <f t="shared" si="38"/>
        <v>393.11</v>
      </c>
      <c r="X341" s="159">
        <f t="shared" si="39"/>
        <v>-5.4569999999999936</v>
      </c>
      <c r="Y341" s="159">
        <f t="shared" ca="1" si="35"/>
        <v>-9.327053436771962</v>
      </c>
      <c r="Z341" s="159">
        <f t="shared" ca="1" si="40"/>
        <v>-14.717576365048943</v>
      </c>
      <c r="AA341" s="161">
        <f t="shared" ca="1" si="41"/>
        <v>-1471.7576365048944</v>
      </c>
    </row>
    <row r="342" spans="5:27" x14ac:dyDescent="0.25">
      <c r="E342" s="142"/>
      <c r="F342" s="142"/>
      <c r="T342" s="165">
        <v>330</v>
      </c>
      <c r="U342" s="159">
        <f t="shared" si="36"/>
        <v>-70.108499999999992</v>
      </c>
      <c r="V342" s="159">
        <f t="shared" si="37"/>
        <v>-327.45850000000002</v>
      </c>
      <c r="W342" s="159">
        <f t="shared" si="38"/>
        <v>392.11</v>
      </c>
      <c r="X342" s="159">
        <f t="shared" si="39"/>
        <v>-5.4569999999999936</v>
      </c>
      <c r="Y342" s="159">
        <f t="shared" ca="1" si="35"/>
        <v>-9.327053436771962</v>
      </c>
      <c r="Z342" s="159">
        <f t="shared" ca="1" si="40"/>
        <v>-14.717576365048943</v>
      </c>
      <c r="AA342" s="161">
        <f t="shared" ca="1" si="41"/>
        <v>-1471.7576365048944</v>
      </c>
    </row>
    <row r="343" spans="5:27" x14ac:dyDescent="0.25">
      <c r="E343" s="142"/>
      <c r="F343" s="142"/>
      <c r="T343" s="165">
        <v>331</v>
      </c>
      <c r="U343" s="159">
        <f t="shared" si="36"/>
        <v>-70.108499999999992</v>
      </c>
      <c r="V343" s="159">
        <f t="shared" si="37"/>
        <v>-326.45850000000002</v>
      </c>
      <c r="W343" s="159">
        <f t="shared" si="38"/>
        <v>391.11</v>
      </c>
      <c r="X343" s="159">
        <f t="shared" si="39"/>
        <v>-5.4569999999999936</v>
      </c>
      <c r="Y343" s="159">
        <f t="shared" ca="1" si="35"/>
        <v>-9.327053436771962</v>
      </c>
      <c r="Z343" s="159">
        <f t="shared" ca="1" si="40"/>
        <v>-14.717576365048943</v>
      </c>
      <c r="AA343" s="161">
        <f t="shared" ca="1" si="41"/>
        <v>-1471.7576365048944</v>
      </c>
    </row>
    <row r="344" spans="5:27" x14ac:dyDescent="0.25">
      <c r="E344" s="142"/>
      <c r="F344" s="142"/>
      <c r="T344" s="165">
        <v>332</v>
      </c>
      <c r="U344" s="159">
        <f t="shared" si="36"/>
        <v>-70.108499999999992</v>
      </c>
      <c r="V344" s="159">
        <f t="shared" si="37"/>
        <v>-325.45850000000002</v>
      </c>
      <c r="W344" s="159">
        <f t="shared" si="38"/>
        <v>390.11</v>
      </c>
      <c r="X344" s="159">
        <f t="shared" si="39"/>
        <v>-5.4569999999999936</v>
      </c>
      <c r="Y344" s="159">
        <f t="shared" ca="1" si="35"/>
        <v>-9.327053436771962</v>
      </c>
      <c r="Z344" s="159">
        <f t="shared" ca="1" si="40"/>
        <v>-14.717576365048943</v>
      </c>
      <c r="AA344" s="161">
        <f t="shared" ca="1" si="41"/>
        <v>-1471.7576365048944</v>
      </c>
    </row>
    <row r="345" spans="5:27" x14ac:dyDescent="0.25">
      <c r="E345" s="142"/>
      <c r="F345" s="142"/>
      <c r="T345" s="165">
        <v>333</v>
      </c>
      <c r="U345" s="159">
        <f t="shared" si="36"/>
        <v>-70.108499999999992</v>
      </c>
      <c r="V345" s="159">
        <f t="shared" si="37"/>
        <v>-324.45850000000002</v>
      </c>
      <c r="W345" s="159">
        <f t="shared" si="38"/>
        <v>389.11</v>
      </c>
      <c r="X345" s="159">
        <f t="shared" si="39"/>
        <v>-5.4569999999999936</v>
      </c>
      <c r="Y345" s="159">
        <f t="shared" ca="1" si="35"/>
        <v>-9.327053436771962</v>
      </c>
      <c r="Z345" s="159">
        <f t="shared" ca="1" si="40"/>
        <v>-14.717576365048943</v>
      </c>
      <c r="AA345" s="161">
        <f t="shared" ca="1" si="41"/>
        <v>-1471.7576365048944</v>
      </c>
    </row>
    <row r="346" spans="5:27" x14ac:dyDescent="0.25">
      <c r="E346" s="142"/>
      <c r="F346" s="142"/>
      <c r="T346" s="165">
        <v>334</v>
      </c>
      <c r="U346" s="159">
        <f t="shared" si="36"/>
        <v>-70.108499999999992</v>
      </c>
      <c r="V346" s="159">
        <f t="shared" si="37"/>
        <v>-323.45850000000002</v>
      </c>
      <c r="W346" s="159">
        <f t="shared" si="38"/>
        <v>388.11</v>
      </c>
      <c r="X346" s="159">
        <f t="shared" si="39"/>
        <v>-5.4569999999999936</v>
      </c>
      <c r="Y346" s="159">
        <f t="shared" ca="1" si="35"/>
        <v>-9.327053436771962</v>
      </c>
      <c r="Z346" s="159">
        <f t="shared" ca="1" si="40"/>
        <v>-14.717576365048943</v>
      </c>
      <c r="AA346" s="161">
        <f t="shared" ca="1" si="41"/>
        <v>-1471.7576365048944</v>
      </c>
    </row>
    <row r="347" spans="5:27" x14ac:dyDescent="0.25">
      <c r="E347" s="142"/>
      <c r="F347" s="142"/>
      <c r="T347" s="165">
        <v>335</v>
      </c>
      <c r="U347" s="159">
        <f t="shared" si="36"/>
        <v>-70.108499999999992</v>
      </c>
      <c r="V347" s="159">
        <f t="shared" si="37"/>
        <v>-322.45850000000002</v>
      </c>
      <c r="W347" s="159">
        <f t="shared" si="38"/>
        <v>387.11</v>
      </c>
      <c r="X347" s="159">
        <f t="shared" si="39"/>
        <v>-5.4569999999999936</v>
      </c>
      <c r="Y347" s="159">
        <f t="shared" ca="1" si="35"/>
        <v>-9.327053436771962</v>
      </c>
      <c r="Z347" s="159">
        <f t="shared" ca="1" si="40"/>
        <v>-14.717576365048943</v>
      </c>
      <c r="AA347" s="161">
        <f t="shared" ca="1" si="41"/>
        <v>-1471.7576365048944</v>
      </c>
    </row>
    <row r="348" spans="5:27" x14ac:dyDescent="0.25">
      <c r="E348" s="142"/>
      <c r="F348" s="142"/>
      <c r="T348" s="165">
        <v>336</v>
      </c>
      <c r="U348" s="159">
        <f t="shared" si="36"/>
        <v>-70.108499999999992</v>
      </c>
      <c r="V348" s="159">
        <f t="shared" si="37"/>
        <v>-321.45850000000002</v>
      </c>
      <c r="W348" s="159">
        <f t="shared" si="38"/>
        <v>386.11</v>
      </c>
      <c r="X348" s="159">
        <f t="shared" si="39"/>
        <v>-5.4569999999999936</v>
      </c>
      <c r="Y348" s="159">
        <f t="shared" ca="1" si="35"/>
        <v>-9.327053436771962</v>
      </c>
      <c r="Z348" s="159">
        <f t="shared" ca="1" si="40"/>
        <v>-14.717576365048943</v>
      </c>
      <c r="AA348" s="161">
        <f t="shared" ca="1" si="41"/>
        <v>-1471.7576365048944</v>
      </c>
    </row>
    <row r="349" spans="5:27" x14ac:dyDescent="0.25">
      <c r="E349" s="142"/>
      <c r="F349" s="142"/>
      <c r="T349" s="165">
        <v>337</v>
      </c>
      <c r="U349" s="159">
        <f t="shared" si="36"/>
        <v>-70.108499999999992</v>
      </c>
      <c r="V349" s="159">
        <f t="shared" si="37"/>
        <v>-320.45850000000002</v>
      </c>
      <c r="W349" s="159">
        <f t="shared" si="38"/>
        <v>385.11</v>
      </c>
      <c r="X349" s="159">
        <f t="shared" si="39"/>
        <v>-5.4569999999999936</v>
      </c>
      <c r="Y349" s="159">
        <f t="shared" ca="1" si="35"/>
        <v>-9.327053436771962</v>
      </c>
      <c r="Z349" s="159">
        <f t="shared" ca="1" si="40"/>
        <v>-14.717576365048943</v>
      </c>
      <c r="AA349" s="161">
        <f t="shared" ca="1" si="41"/>
        <v>-1471.7576365048944</v>
      </c>
    </row>
    <row r="350" spans="5:27" x14ac:dyDescent="0.25">
      <c r="E350" s="142"/>
      <c r="F350" s="142"/>
      <c r="T350" s="165">
        <v>338</v>
      </c>
      <c r="U350" s="159">
        <f t="shared" si="36"/>
        <v>-70.108499999999992</v>
      </c>
      <c r="V350" s="159">
        <f t="shared" si="37"/>
        <v>-319.45850000000002</v>
      </c>
      <c r="W350" s="159">
        <f t="shared" si="38"/>
        <v>384.11</v>
      </c>
      <c r="X350" s="159">
        <f t="shared" si="39"/>
        <v>-5.4569999999999936</v>
      </c>
      <c r="Y350" s="159">
        <f t="shared" ca="1" si="35"/>
        <v>-9.327053436771962</v>
      </c>
      <c r="Z350" s="159">
        <f t="shared" ca="1" si="40"/>
        <v>-14.717576365048943</v>
      </c>
      <c r="AA350" s="161">
        <f t="shared" ca="1" si="41"/>
        <v>-1471.7576365048944</v>
      </c>
    </row>
    <row r="351" spans="5:27" x14ac:dyDescent="0.25">
      <c r="E351" s="142"/>
      <c r="F351" s="142"/>
      <c r="T351" s="165">
        <v>339</v>
      </c>
      <c r="U351" s="159">
        <f t="shared" si="36"/>
        <v>-70.108499999999992</v>
      </c>
      <c r="V351" s="159">
        <f t="shared" si="37"/>
        <v>-318.45850000000002</v>
      </c>
      <c r="W351" s="159">
        <f t="shared" si="38"/>
        <v>383.11</v>
      </c>
      <c r="X351" s="159">
        <f t="shared" si="39"/>
        <v>-5.4569999999999936</v>
      </c>
      <c r="Y351" s="159">
        <f t="shared" ca="1" si="35"/>
        <v>-9.327053436771962</v>
      </c>
      <c r="Z351" s="159">
        <f t="shared" ca="1" si="40"/>
        <v>-14.717576365048943</v>
      </c>
      <c r="AA351" s="161">
        <f t="shared" ca="1" si="41"/>
        <v>-1471.7576365048944</v>
      </c>
    </row>
    <row r="352" spans="5:27" x14ac:dyDescent="0.25">
      <c r="E352" s="142"/>
      <c r="F352" s="142"/>
      <c r="T352" s="165">
        <v>340</v>
      </c>
      <c r="U352" s="159">
        <f t="shared" si="36"/>
        <v>-70.108499999999992</v>
      </c>
      <c r="V352" s="159">
        <f t="shared" si="37"/>
        <v>-317.45850000000002</v>
      </c>
      <c r="W352" s="159">
        <f t="shared" si="38"/>
        <v>382.11</v>
      </c>
      <c r="X352" s="159">
        <f t="shared" si="39"/>
        <v>-5.4569999999999936</v>
      </c>
      <c r="Y352" s="159">
        <f t="shared" ca="1" si="35"/>
        <v>-9.327053436771962</v>
      </c>
      <c r="Z352" s="159">
        <f t="shared" ca="1" si="40"/>
        <v>-14.717576365048943</v>
      </c>
      <c r="AA352" s="161">
        <f t="shared" ca="1" si="41"/>
        <v>-1471.7576365048944</v>
      </c>
    </row>
    <row r="353" spans="5:27" x14ac:dyDescent="0.25">
      <c r="E353" s="142"/>
      <c r="F353" s="142"/>
      <c r="T353" s="165">
        <v>341</v>
      </c>
      <c r="U353" s="159">
        <f t="shared" si="36"/>
        <v>-70.108499999999992</v>
      </c>
      <c r="V353" s="159">
        <f t="shared" si="37"/>
        <v>-316.45850000000002</v>
      </c>
      <c r="W353" s="159">
        <f t="shared" si="38"/>
        <v>381.11</v>
      </c>
      <c r="X353" s="159">
        <f t="shared" si="39"/>
        <v>-5.4569999999999936</v>
      </c>
      <c r="Y353" s="159">
        <f t="shared" ca="1" si="35"/>
        <v>-9.327053436771962</v>
      </c>
      <c r="Z353" s="159">
        <f t="shared" ca="1" si="40"/>
        <v>-14.717576365048943</v>
      </c>
      <c r="AA353" s="161">
        <f t="shared" ca="1" si="41"/>
        <v>-1471.7576365048944</v>
      </c>
    </row>
    <row r="354" spans="5:27" x14ac:dyDescent="0.25">
      <c r="E354" s="142"/>
      <c r="F354" s="142"/>
      <c r="T354" s="165">
        <v>342</v>
      </c>
      <c r="U354" s="159">
        <f t="shared" si="36"/>
        <v>-70.108499999999992</v>
      </c>
      <c r="V354" s="159">
        <f t="shared" si="37"/>
        <v>-315.45850000000002</v>
      </c>
      <c r="W354" s="159">
        <f t="shared" si="38"/>
        <v>380.11</v>
      </c>
      <c r="X354" s="159">
        <f t="shared" si="39"/>
        <v>-5.4569999999999936</v>
      </c>
      <c r="Y354" s="159">
        <f t="shared" ca="1" si="35"/>
        <v>-9.327053436771962</v>
      </c>
      <c r="Z354" s="159">
        <f t="shared" ca="1" si="40"/>
        <v>-14.717576365048943</v>
      </c>
      <c r="AA354" s="161">
        <f t="shared" ca="1" si="41"/>
        <v>-1471.7576365048944</v>
      </c>
    </row>
    <row r="355" spans="5:27" x14ac:dyDescent="0.25">
      <c r="E355" s="142"/>
      <c r="F355" s="142"/>
      <c r="T355" s="165">
        <v>343</v>
      </c>
      <c r="U355" s="159">
        <f t="shared" si="36"/>
        <v>-70.108499999999992</v>
      </c>
      <c r="V355" s="159">
        <f t="shared" si="37"/>
        <v>-314.45850000000002</v>
      </c>
      <c r="W355" s="159">
        <f t="shared" si="38"/>
        <v>379.11</v>
      </c>
      <c r="X355" s="159">
        <f t="shared" si="39"/>
        <v>-5.4569999999999936</v>
      </c>
      <c r="Y355" s="159">
        <f t="shared" ca="1" si="35"/>
        <v>-9.327053436771962</v>
      </c>
      <c r="Z355" s="159">
        <f t="shared" ca="1" si="40"/>
        <v>-14.717576365048943</v>
      </c>
      <c r="AA355" s="161">
        <f t="shared" ca="1" si="41"/>
        <v>-1471.7576365048944</v>
      </c>
    </row>
    <row r="356" spans="5:27" x14ac:dyDescent="0.25">
      <c r="E356" s="142"/>
      <c r="F356" s="142"/>
      <c r="T356" s="165">
        <v>344</v>
      </c>
      <c r="U356" s="159">
        <f t="shared" si="36"/>
        <v>-70.108499999999992</v>
      </c>
      <c r="V356" s="159">
        <f t="shared" si="37"/>
        <v>-313.45850000000002</v>
      </c>
      <c r="W356" s="159">
        <f t="shared" si="38"/>
        <v>378.11</v>
      </c>
      <c r="X356" s="159">
        <f t="shared" si="39"/>
        <v>-5.4569999999999936</v>
      </c>
      <c r="Y356" s="159">
        <f t="shared" ca="1" si="35"/>
        <v>-9.327053436771962</v>
      </c>
      <c r="Z356" s="159">
        <f t="shared" ca="1" si="40"/>
        <v>-14.717576365048943</v>
      </c>
      <c r="AA356" s="161">
        <f t="shared" ca="1" si="41"/>
        <v>-1471.7576365048944</v>
      </c>
    </row>
    <row r="357" spans="5:27" x14ac:dyDescent="0.25">
      <c r="E357" s="142"/>
      <c r="F357" s="142"/>
      <c r="T357" s="165">
        <v>345</v>
      </c>
      <c r="U357" s="159">
        <f t="shared" si="36"/>
        <v>-70.108499999999992</v>
      </c>
      <c r="V357" s="159">
        <f t="shared" si="37"/>
        <v>-312.45850000000002</v>
      </c>
      <c r="W357" s="159">
        <f t="shared" si="38"/>
        <v>377.11</v>
      </c>
      <c r="X357" s="159">
        <f t="shared" si="39"/>
        <v>-5.4569999999999936</v>
      </c>
      <c r="Y357" s="159">
        <f t="shared" ca="1" si="35"/>
        <v>-9.327053436771962</v>
      </c>
      <c r="Z357" s="159">
        <f t="shared" ca="1" si="40"/>
        <v>-14.717576365048943</v>
      </c>
      <c r="AA357" s="161">
        <f t="shared" ca="1" si="41"/>
        <v>-1471.7576365048944</v>
      </c>
    </row>
    <row r="358" spans="5:27" x14ac:dyDescent="0.25">
      <c r="E358" s="142"/>
      <c r="F358" s="142"/>
      <c r="T358" s="165">
        <v>346</v>
      </c>
      <c r="U358" s="159">
        <f t="shared" si="36"/>
        <v>-70.108499999999992</v>
      </c>
      <c r="V358" s="159">
        <f t="shared" si="37"/>
        <v>-311.45850000000002</v>
      </c>
      <c r="W358" s="159">
        <f t="shared" si="38"/>
        <v>376.11</v>
      </c>
      <c r="X358" s="159">
        <f t="shared" si="39"/>
        <v>-5.4569999999999936</v>
      </c>
      <c r="Y358" s="159">
        <f t="shared" ca="1" si="35"/>
        <v>-9.327053436771962</v>
      </c>
      <c r="Z358" s="159">
        <f t="shared" ca="1" si="40"/>
        <v>-14.717576365048943</v>
      </c>
      <c r="AA358" s="161">
        <f t="shared" ca="1" si="41"/>
        <v>-1471.7576365048944</v>
      </c>
    </row>
    <row r="359" spans="5:27" x14ac:dyDescent="0.25">
      <c r="E359" s="142"/>
      <c r="F359" s="142"/>
      <c r="T359" s="165">
        <v>347</v>
      </c>
      <c r="U359" s="159">
        <f t="shared" si="36"/>
        <v>-70.108499999999992</v>
      </c>
      <c r="V359" s="159">
        <f t="shared" si="37"/>
        <v>-310.45850000000002</v>
      </c>
      <c r="W359" s="159">
        <f t="shared" si="38"/>
        <v>375.11</v>
      </c>
      <c r="X359" s="159">
        <f t="shared" si="39"/>
        <v>-5.4569999999999936</v>
      </c>
      <c r="Y359" s="159">
        <f t="shared" ca="1" si="35"/>
        <v>-9.327053436771962</v>
      </c>
      <c r="Z359" s="159">
        <f t="shared" ca="1" si="40"/>
        <v>-14.717576365048943</v>
      </c>
      <c r="AA359" s="161">
        <f t="shared" ca="1" si="41"/>
        <v>-1471.7576365048944</v>
      </c>
    </row>
    <row r="360" spans="5:27" x14ac:dyDescent="0.25">
      <c r="E360" s="142"/>
      <c r="F360" s="142"/>
      <c r="T360" s="165">
        <v>348</v>
      </c>
      <c r="U360" s="159">
        <f t="shared" si="36"/>
        <v>-70.108499999999992</v>
      </c>
      <c r="V360" s="159">
        <f t="shared" si="37"/>
        <v>-309.45850000000002</v>
      </c>
      <c r="W360" s="159">
        <f t="shared" si="38"/>
        <v>374.11</v>
      </c>
      <c r="X360" s="159">
        <f t="shared" si="39"/>
        <v>-5.4569999999999936</v>
      </c>
      <c r="Y360" s="159">
        <f t="shared" ca="1" si="35"/>
        <v>-9.327053436771962</v>
      </c>
      <c r="Z360" s="159">
        <f t="shared" ca="1" si="40"/>
        <v>-14.717576365048943</v>
      </c>
      <c r="AA360" s="161">
        <f t="shared" ca="1" si="41"/>
        <v>-1471.7576365048944</v>
      </c>
    </row>
    <row r="361" spans="5:27" x14ac:dyDescent="0.25">
      <c r="E361" s="142"/>
      <c r="F361" s="142"/>
      <c r="T361" s="165">
        <v>349</v>
      </c>
      <c r="U361" s="159">
        <f t="shared" si="36"/>
        <v>-70.108499999999992</v>
      </c>
      <c r="V361" s="159">
        <f t="shared" si="37"/>
        <v>-308.45850000000002</v>
      </c>
      <c r="W361" s="159">
        <f t="shared" si="38"/>
        <v>373.11</v>
      </c>
      <c r="X361" s="159">
        <f t="shared" si="39"/>
        <v>-5.4569999999999936</v>
      </c>
      <c r="Y361" s="159">
        <f t="shared" ca="1" si="35"/>
        <v>-9.327053436771962</v>
      </c>
      <c r="Z361" s="159">
        <f t="shared" ca="1" si="40"/>
        <v>-14.717576365048943</v>
      </c>
      <c r="AA361" s="161">
        <f t="shared" ca="1" si="41"/>
        <v>-1471.7576365048944</v>
      </c>
    </row>
    <row r="362" spans="5:27" x14ac:dyDescent="0.25">
      <c r="E362" s="142"/>
      <c r="F362" s="142"/>
      <c r="T362" s="165">
        <v>350</v>
      </c>
      <c r="U362" s="159">
        <f t="shared" si="36"/>
        <v>-70.108499999999992</v>
      </c>
      <c r="V362" s="159">
        <f t="shared" si="37"/>
        <v>-307.45850000000002</v>
      </c>
      <c r="W362" s="159">
        <f t="shared" si="38"/>
        <v>372.11</v>
      </c>
      <c r="X362" s="159">
        <f t="shared" si="39"/>
        <v>-5.4569999999999936</v>
      </c>
      <c r="Y362" s="159">
        <f t="shared" ca="1" si="35"/>
        <v>-9.327053436771962</v>
      </c>
      <c r="Z362" s="159">
        <f t="shared" ca="1" si="40"/>
        <v>-14.717576365048943</v>
      </c>
      <c r="AA362" s="161">
        <f t="shared" ca="1" si="41"/>
        <v>-1471.7576365048944</v>
      </c>
    </row>
    <row r="363" spans="5:27" x14ac:dyDescent="0.25">
      <c r="E363" s="142"/>
      <c r="F363" s="142"/>
      <c r="T363" s="165">
        <v>351</v>
      </c>
      <c r="U363" s="159">
        <f t="shared" si="36"/>
        <v>-70.108499999999992</v>
      </c>
      <c r="V363" s="159">
        <f t="shared" si="37"/>
        <v>-306.45850000000002</v>
      </c>
      <c r="W363" s="159">
        <f t="shared" si="38"/>
        <v>371.11</v>
      </c>
      <c r="X363" s="159">
        <f t="shared" si="39"/>
        <v>-5.4569999999999936</v>
      </c>
      <c r="Y363" s="159">
        <f t="shared" ca="1" si="35"/>
        <v>-9.327053436771962</v>
      </c>
      <c r="Z363" s="159">
        <f t="shared" ca="1" si="40"/>
        <v>-14.717576365048943</v>
      </c>
      <c r="AA363" s="161">
        <f t="shared" ca="1" si="41"/>
        <v>-1471.7576365048944</v>
      </c>
    </row>
    <row r="364" spans="5:27" x14ac:dyDescent="0.25">
      <c r="E364" s="142"/>
      <c r="F364" s="142"/>
      <c r="T364" s="165">
        <v>352</v>
      </c>
      <c r="U364" s="159">
        <f t="shared" si="36"/>
        <v>-70.108499999999992</v>
      </c>
      <c r="V364" s="159">
        <f t="shared" si="37"/>
        <v>-305.45850000000002</v>
      </c>
      <c r="W364" s="159">
        <f t="shared" si="38"/>
        <v>370.11</v>
      </c>
      <c r="X364" s="159">
        <f t="shared" si="39"/>
        <v>-5.4569999999999936</v>
      </c>
      <c r="Y364" s="159">
        <f t="shared" ca="1" si="35"/>
        <v>-9.327053436771962</v>
      </c>
      <c r="Z364" s="159">
        <f t="shared" ca="1" si="40"/>
        <v>-14.717576365048943</v>
      </c>
      <c r="AA364" s="161">
        <f t="shared" ca="1" si="41"/>
        <v>-1471.7576365048944</v>
      </c>
    </row>
    <row r="365" spans="5:27" x14ac:dyDescent="0.25">
      <c r="E365" s="142"/>
      <c r="F365" s="142"/>
      <c r="T365" s="165">
        <v>353</v>
      </c>
      <c r="U365" s="159">
        <f t="shared" si="36"/>
        <v>-70.108499999999992</v>
      </c>
      <c r="V365" s="159">
        <f t="shared" si="37"/>
        <v>-304.45850000000002</v>
      </c>
      <c r="W365" s="159">
        <f t="shared" si="38"/>
        <v>369.11</v>
      </c>
      <c r="X365" s="159">
        <f t="shared" si="39"/>
        <v>-5.4569999999999936</v>
      </c>
      <c r="Y365" s="159">
        <f t="shared" ca="1" si="35"/>
        <v>-9.327053436771962</v>
      </c>
      <c r="Z365" s="159">
        <f t="shared" ca="1" si="40"/>
        <v>-14.717576365048943</v>
      </c>
      <c r="AA365" s="161">
        <f t="shared" ca="1" si="41"/>
        <v>-1471.7576365048944</v>
      </c>
    </row>
    <row r="366" spans="5:27" x14ac:dyDescent="0.25">
      <c r="E366" s="142"/>
      <c r="F366" s="142"/>
      <c r="T366" s="165">
        <v>354</v>
      </c>
      <c r="U366" s="159">
        <f t="shared" si="36"/>
        <v>-70.108499999999992</v>
      </c>
      <c r="V366" s="159">
        <f t="shared" si="37"/>
        <v>-303.45850000000002</v>
      </c>
      <c r="W366" s="159">
        <f t="shared" si="38"/>
        <v>368.11</v>
      </c>
      <c r="X366" s="159">
        <f t="shared" si="39"/>
        <v>-5.4569999999999936</v>
      </c>
      <c r="Y366" s="159">
        <f t="shared" ca="1" si="35"/>
        <v>-9.327053436771962</v>
      </c>
      <c r="Z366" s="159">
        <f t="shared" ca="1" si="40"/>
        <v>-14.717576365048943</v>
      </c>
      <c r="AA366" s="161">
        <f t="shared" ca="1" si="41"/>
        <v>-1471.7576365048944</v>
      </c>
    </row>
    <row r="367" spans="5:27" x14ac:dyDescent="0.25">
      <c r="E367" s="142"/>
      <c r="F367" s="142"/>
      <c r="T367" s="165">
        <v>355</v>
      </c>
      <c r="U367" s="159">
        <f t="shared" si="36"/>
        <v>-70.108499999999992</v>
      </c>
      <c r="V367" s="159">
        <f t="shared" si="37"/>
        <v>-302.45850000000002</v>
      </c>
      <c r="W367" s="159">
        <f t="shared" si="38"/>
        <v>367.11</v>
      </c>
      <c r="X367" s="159">
        <f t="shared" si="39"/>
        <v>-5.4569999999999936</v>
      </c>
      <c r="Y367" s="159">
        <f t="shared" ca="1" si="35"/>
        <v>-9.327053436771962</v>
      </c>
      <c r="Z367" s="159">
        <f t="shared" ca="1" si="40"/>
        <v>-14.717576365048943</v>
      </c>
      <c r="AA367" s="161">
        <f t="shared" ca="1" si="41"/>
        <v>-1471.7576365048944</v>
      </c>
    </row>
    <row r="368" spans="5:27" x14ac:dyDescent="0.25">
      <c r="E368" s="142"/>
      <c r="F368" s="142"/>
      <c r="T368" s="165">
        <v>356</v>
      </c>
      <c r="U368" s="159">
        <f t="shared" si="36"/>
        <v>-70.108499999999992</v>
      </c>
      <c r="V368" s="159">
        <f t="shared" si="37"/>
        <v>-301.45850000000002</v>
      </c>
      <c r="W368" s="159">
        <f t="shared" si="38"/>
        <v>366.11</v>
      </c>
      <c r="X368" s="159">
        <f t="shared" si="39"/>
        <v>-5.4569999999999936</v>
      </c>
      <c r="Y368" s="159">
        <f t="shared" ca="1" si="35"/>
        <v>-9.327053436771962</v>
      </c>
      <c r="Z368" s="159">
        <f t="shared" ca="1" si="40"/>
        <v>-14.717576365048943</v>
      </c>
      <c r="AA368" s="161">
        <f t="shared" ca="1" si="41"/>
        <v>-1471.7576365048944</v>
      </c>
    </row>
    <row r="369" spans="5:27" x14ac:dyDescent="0.25">
      <c r="E369" s="142"/>
      <c r="F369" s="142"/>
      <c r="T369" s="165">
        <v>357</v>
      </c>
      <c r="U369" s="159">
        <f t="shared" si="36"/>
        <v>-70.108499999999992</v>
      </c>
      <c r="V369" s="159">
        <f t="shared" si="37"/>
        <v>-300.45850000000002</v>
      </c>
      <c r="W369" s="159">
        <f t="shared" si="38"/>
        <v>365.11</v>
      </c>
      <c r="X369" s="159">
        <f t="shared" si="39"/>
        <v>-5.4569999999999936</v>
      </c>
      <c r="Y369" s="159">
        <f t="shared" ca="1" si="35"/>
        <v>-9.327053436771962</v>
      </c>
      <c r="Z369" s="159">
        <f t="shared" ca="1" si="40"/>
        <v>-14.717576365048943</v>
      </c>
      <c r="AA369" s="161">
        <f t="shared" ca="1" si="41"/>
        <v>-1471.7576365048944</v>
      </c>
    </row>
    <row r="370" spans="5:27" x14ac:dyDescent="0.25">
      <c r="E370" s="142"/>
      <c r="F370" s="142"/>
      <c r="T370" s="165">
        <v>358</v>
      </c>
      <c r="U370" s="159">
        <f t="shared" si="36"/>
        <v>-70.108499999999992</v>
      </c>
      <c r="V370" s="159">
        <f t="shared" si="37"/>
        <v>-299.45850000000002</v>
      </c>
      <c r="W370" s="159">
        <f t="shared" si="38"/>
        <v>364.11</v>
      </c>
      <c r="X370" s="159">
        <f t="shared" si="39"/>
        <v>-5.4569999999999936</v>
      </c>
      <c r="Y370" s="159">
        <f t="shared" ca="1" si="35"/>
        <v>-9.327053436771962</v>
      </c>
      <c r="Z370" s="159">
        <f t="shared" ca="1" si="40"/>
        <v>-14.717576365048943</v>
      </c>
      <c r="AA370" s="161">
        <f t="shared" ca="1" si="41"/>
        <v>-1471.7576365048944</v>
      </c>
    </row>
    <row r="371" spans="5:27" x14ac:dyDescent="0.25">
      <c r="E371" s="142"/>
      <c r="F371" s="142"/>
      <c r="T371" s="165">
        <v>359</v>
      </c>
      <c r="U371" s="159">
        <f t="shared" si="36"/>
        <v>-70.108499999999992</v>
      </c>
      <c r="V371" s="159">
        <f t="shared" si="37"/>
        <v>-298.45850000000002</v>
      </c>
      <c r="W371" s="159">
        <f t="shared" si="38"/>
        <v>363.11</v>
      </c>
      <c r="X371" s="159">
        <f t="shared" si="39"/>
        <v>-5.4569999999999936</v>
      </c>
      <c r="Y371" s="159">
        <f t="shared" ca="1" si="35"/>
        <v>-9.327053436771962</v>
      </c>
      <c r="Z371" s="159">
        <f t="shared" ca="1" si="40"/>
        <v>-14.717576365048943</v>
      </c>
      <c r="AA371" s="161">
        <f t="shared" ca="1" si="41"/>
        <v>-1471.7576365048944</v>
      </c>
    </row>
    <row r="372" spans="5:27" x14ac:dyDescent="0.25">
      <c r="E372" s="142"/>
      <c r="F372" s="142"/>
      <c r="T372" s="165">
        <v>360</v>
      </c>
      <c r="U372" s="159">
        <f t="shared" si="36"/>
        <v>-70.108499999999992</v>
      </c>
      <c r="V372" s="159">
        <f t="shared" si="37"/>
        <v>-297.45850000000002</v>
      </c>
      <c r="W372" s="159">
        <f t="shared" si="38"/>
        <v>362.11</v>
      </c>
      <c r="X372" s="159">
        <f t="shared" si="39"/>
        <v>-5.4569999999999936</v>
      </c>
      <c r="Y372" s="159">
        <f t="shared" ca="1" si="35"/>
        <v>-9.327053436771962</v>
      </c>
      <c r="Z372" s="159">
        <f t="shared" ca="1" si="40"/>
        <v>-14.717576365048943</v>
      </c>
      <c r="AA372" s="161">
        <f t="shared" ca="1" si="41"/>
        <v>-1471.7576365048944</v>
      </c>
    </row>
    <row r="373" spans="5:27" x14ac:dyDescent="0.25">
      <c r="E373" s="142"/>
      <c r="F373" s="142"/>
      <c r="T373" s="165">
        <v>361</v>
      </c>
      <c r="U373" s="159">
        <f t="shared" si="36"/>
        <v>-70.108499999999992</v>
      </c>
      <c r="V373" s="159">
        <f t="shared" si="37"/>
        <v>-296.45850000000002</v>
      </c>
      <c r="W373" s="159">
        <f t="shared" si="38"/>
        <v>361.11</v>
      </c>
      <c r="X373" s="159">
        <f t="shared" si="39"/>
        <v>-5.4569999999999936</v>
      </c>
      <c r="Y373" s="159">
        <f t="shared" ca="1" si="35"/>
        <v>-9.327053436771962</v>
      </c>
      <c r="Z373" s="159">
        <f t="shared" ca="1" si="40"/>
        <v>-14.717576365048943</v>
      </c>
      <c r="AA373" s="161">
        <f t="shared" ca="1" si="41"/>
        <v>-1471.7576365048944</v>
      </c>
    </row>
    <row r="374" spans="5:27" x14ac:dyDescent="0.25">
      <c r="E374" s="142"/>
      <c r="F374" s="142"/>
      <c r="T374" s="165">
        <v>362</v>
      </c>
      <c r="U374" s="159">
        <f t="shared" si="36"/>
        <v>-70.108499999999992</v>
      </c>
      <c r="V374" s="159">
        <f t="shared" si="37"/>
        <v>-295.45850000000002</v>
      </c>
      <c r="W374" s="159">
        <f t="shared" si="38"/>
        <v>360.11</v>
      </c>
      <c r="X374" s="159">
        <f t="shared" si="39"/>
        <v>-5.4569999999999936</v>
      </c>
      <c r="Y374" s="159">
        <f t="shared" ca="1" si="35"/>
        <v>-9.327053436771962</v>
      </c>
      <c r="Z374" s="159">
        <f t="shared" ca="1" si="40"/>
        <v>-14.717576365048943</v>
      </c>
      <c r="AA374" s="161">
        <f t="shared" ca="1" si="41"/>
        <v>-1471.7576365048944</v>
      </c>
    </row>
    <row r="375" spans="5:27" x14ac:dyDescent="0.25">
      <c r="E375" s="142"/>
      <c r="F375" s="142"/>
      <c r="T375" s="165">
        <v>363</v>
      </c>
      <c r="U375" s="159">
        <f t="shared" si="36"/>
        <v>-70.108499999999992</v>
      </c>
      <c r="V375" s="159">
        <f t="shared" si="37"/>
        <v>-294.45850000000002</v>
      </c>
      <c r="W375" s="159">
        <f t="shared" si="38"/>
        <v>359.11</v>
      </c>
      <c r="X375" s="159">
        <f t="shared" si="39"/>
        <v>-5.4569999999999936</v>
      </c>
      <c r="Y375" s="159">
        <f t="shared" ca="1" si="35"/>
        <v>-9.327053436771962</v>
      </c>
      <c r="Z375" s="159">
        <f t="shared" ca="1" si="40"/>
        <v>-14.717576365048943</v>
      </c>
      <c r="AA375" s="161">
        <f t="shared" ca="1" si="41"/>
        <v>-1471.7576365048944</v>
      </c>
    </row>
    <row r="376" spans="5:27" x14ac:dyDescent="0.25">
      <c r="E376" s="142"/>
      <c r="F376" s="142"/>
      <c r="T376" s="165">
        <v>364</v>
      </c>
      <c r="U376" s="159">
        <f t="shared" si="36"/>
        <v>-70.108499999999992</v>
      </c>
      <c r="V376" s="159">
        <f t="shared" si="37"/>
        <v>-293.45850000000002</v>
      </c>
      <c r="W376" s="159">
        <f t="shared" si="38"/>
        <v>358.11</v>
      </c>
      <c r="X376" s="159">
        <f t="shared" si="39"/>
        <v>-5.4569999999999936</v>
      </c>
      <c r="Y376" s="159">
        <f t="shared" ca="1" si="35"/>
        <v>-9.327053436771962</v>
      </c>
      <c r="Z376" s="159">
        <f t="shared" ca="1" si="40"/>
        <v>-14.717576365048943</v>
      </c>
      <c r="AA376" s="161">
        <f t="shared" ca="1" si="41"/>
        <v>-1471.7576365048944</v>
      </c>
    </row>
    <row r="377" spans="5:27" x14ac:dyDescent="0.25">
      <c r="E377" s="142"/>
      <c r="F377" s="142"/>
      <c r="T377" s="165">
        <v>365</v>
      </c>
      <c r="U377" s="159">
        <f t="shared" si="36"/>
        <v>-70.108499999999992</v>
      </c>
      <c r="V377" s="159">
        <f t="shared" si="37"/>
        <v>-292.45850000000002</v>
      </c>
      <c r="W377" s="159">
        <f t="shared" si="38"/>
        <v>357.11</v>
      </c>
      <c r="X377" s="159">
        <f t="shared" si="39"/>
        <v>-5.4569999999999936</v>
      </c>
      <c r="Y377" s="159">
        <f t="shared" ca="1" si="35"/>
        <v>-9.327053436771962</v>
      </c>
      <c r="Z377" s="159">
        <f t="shared" ca="1" si="40"/>
        <v>-14.717576365048943</v>
      </c>
      <c r="AA377" s="161">
        <f t="shared" ca="1" si="41"/>
        <v>-1471.7576365048944</v>
      </c>
    </row>
    <row r="378" spans="5:27" x14ac:dyDescent="0.25">
      <c r="E378" s="142"/>
      <c r="F378" s="142"/>
      <c r="T378" s="165">
        <v>366</v>
      </c>
      <c r="U378" s="159">
        <f t="shared" si="36"/>
        <v>-70.108499999999992</v>
      </c>
      <c r="V378" s="159">
        <f t="shared" si="37"/>
        <v>-291.45850000000002</v>
      </c>
      <c r="W378" s="159">
        <f t="shared" si="38"/>
        <v>356.11</v>
      </c>
      <c r="X378" s="159">
        <f t="shared" si="39"/>
        <v>-5.4569999999999936</v>
      </c>
      <c r="Y378" s="159">
        <f t="shared" ca="1" si="35"/>
        <v>-9.327053436771962</v>
      </c>
      <c r="Z378" s="159">
        <f t="shared" ca="1" si="40"/>
        <v>-14.717576365048943</v>
      </c>
      <c r="AA378" s="161">
        <f t="shared" ca="1" si="41"/>
        <v>-1471.7576365048944</v>
      </c>
    </row>
    <row r="379" spans="5:27" x14ac:dyDescent="0.25">
      <c r="E379" s="142"/>
      <c r="F379" s="142"/>
      <c r="T379" s="165">
        <v>367</v>
      </c>
      <c r="U379" s="159">
        <f t="shared" si="36"/>
        <v>-70.108499999999992</v>
      </c>
      <c r="V379" s="159">
        <f t="shared" si="37"/>
        <v>-290.45850000000002</v>
      </c>
      <c r="W379" s="159">
        <f t="shared" si="38"/>
        <v>355.11</v>
      </c>
      <c r="X379" s="159">
        <f t="shared" si="39"/>
        <v>-5.4569999999999936</v>
      </c>
      <c r="Y379" s="159">
        <f t="shared" ca="1" si="35"/>
        <v>-9.327053436771962</v>
      </c>
      <c r="Z379" s="159">
        <f t="shared" ca="1" si="40"/>
        <v>-14.717576365048943</v>
      </c>
      <c r="AA379" s="161">
        <f t="shared" ca="1" si="41"/>
        <v>-1471.7576365048944</v>
      </c>
    </row>
    <row r="380" spans="5:27" x14ac:dyDescent="0.25">
      <c r="E380" s="142"/>
      <c r="F380" s="142"/>
      <c r="T380" s="165">
        <v>368</v>
      </c>
      <c r="U380" s="159">
        <f t="shared" si="36"/>
        <v>-70.108499999999992</v>
      </c>
      <c r="V380" s="159">
        <f t="shared" si="37"/>
        <v>-289.45850000000002</v>
      </c>
      <c r="W380" s="159">
        <f t="shared" si="38"/>
        <v>354.11</v>
      </c>
      <c r="X380" s="159">
        <f t="shared" si="39"/>
        <v>-5.4569999999999936</v>
      </c>
      <c r="Y380" s="159">
        <f t="shared" ca="1" si="35"/>
        <v>-9.327053436771962</v>
      </c>
      <c r="Z380" s="159">
        <f t="shared" ca="1" si="40"/>
        <v>-14.717576365048943</v>
      </c>
      <c r="AA380" s="161">
        <f t="shared" ca="1" si="41"/>
        <v>-1471.7576365048944</v>
      </c>
    </row>
    <row r="381" spans="5:27" x14ac:dyDescent="0.25">
      <c r="E381" s="142"/>
      <c r="F381" s="142"/>
      <c r="T381" s="165">
        <v>369</v>
      </c>
      <c r="U381" s="159">
        <f t="shared" si="36"/>
        <v>-70.108499999999992</v>
      </c>
      <c r="V381" s="159">
        <f t="shared" si="37"/>
        <v>-288.45850000000002</v>
      </c>
      <c r="W381" s="159">
        <f t="shared" si="38"/>
        <v>353.11</v>
      </c>
      <c r="X381" s="159">
        <f t="shared" si="39"/>
        <v>-5.4569999999999936</v>
      </c>
      <c r="Y381" s="159">
        <f t="shared" ca="1" si="35"/>
        <v>-9.327053436771962</v>
      </c>
      <c r="Z381" s="159">
        <f t="shared" ca="1" si="40"/>
        <v>-14.717576365048943</v>
      </c>
      <c r="AA381" s="161">
        <f t="shared" ca="1" si="41"/>
        <v>-1471.7576365048944</v>
      </c>
    </row>
    <row r="382" spans="5:27" x14ac:dyDescent="0.25">
      <c r="E382" s="142"/>
      <c r="F382" s="142"/>
      <c r="T382" s="165">
        <v>370</v>
      </c>
      <c r="U382" s="159">
        <f t="shared" si="36"/>
        <v>-70.108499999999992</v>
      </c>
      <c r="V382" s="159">
        <f t="shared" si="37"/>
        <v>-287.45850000000002</v>
      </c>
      <c r="W382" s="159">
        <f t="shared" si="38"/>
        <v>352.11</v>
      </c>
      <c r="X382" s="159">
        <f t="shared" si="39"/>
        <v>-5.4569999999999936</v>
      </c>
      <c r="Y382" s="159">
        <f t="shared" ca="1" si="35"/>
        <v>-9.327053436771962</v>
      </c>
      <c r="Z382" s="159">
        <f t="shared" ca="1" si="40"/>
        <v>-14.717576365048943</v>
      </c>
      <c r="AA382" s="161">
        <f t="shared" ca="1" si="41"/>
        <v>-1471.7576365048944</v>
      </c>
    </row>
    <row r="383" spans="5:27" x14ac:dyDescent="0.25">
      <c r="E383" s="142"/>
      <c r="F383" s="142"/>
      <c r="T383" s="165">
        <v>371</v>
      </c>
      <c r="U383" s="159">
        <f t="shared" si="36"/>
        <v>-70.108499999999992</v>
      </c>
      <c r="V383" s="159">
        <f t="shared" si="37"/>
        <v>-286.45850000000002</v>
      </c>
      <c r="W383" s="159">
        <f t="shared" si="38"/>
        <v>351.11</v>
      </c>
      <c r="X383" s="159">
        <f t="shared" si="39"/>
        <v>-5.4569999999999936</v>
      </c>
      <c r="Y383" s="159">
        <f t="shared" ca="1" si="35"/>
        <v>-9.327053436771962</v>
      </c>
      <c r="Z383" s="159">
        <f t="shared" ca="1" si="40"/>
        <v>-14.717576365048943</v>
      </c>
      <c r="AA383" s="161">
        <f t="shared" ca="1" si="41"/>
        <v>-1471.7576365048944</v>
      </c>
    </row>
    <row r="384" spans="5:27" x14ac:dyDescent="0.25">
      <c r="E384" s="142"/>
      <c r="F384" s="142"/>
      <c r="T384" s="165">
        <v>372</v>
      </c>
      <c r="U384" s="159">
        <f t="shared" si="36"/>
        <v>-70.108499999999992</v>
      </c>
      <c r="V384" s="159">
        <f t="shared" si="37"/>
        <v>-285.45850000000002</v>
      </c>
      <c r="W384" s="159">
        <f t="shared" si="38"/>
        <v>350.11</v>
      </c>
      <c r="X384" s="159">
        <f t="shared" si="39"/>
        <v>-5.4569999999999936</v>
      </c>
      <c r="Y384" s="159">
        <f t="shared" ca="1" si="35"/>
        <v>-9.327053436771962</v>
      </c>
      <c r="Z384" s="159">
        <f t="shared" ca="1" si="40"/>
        <v>-14.717576365048943</v>
      </c>
      <c r="AA384" s="161">
        <f t="shared" ca="1" si="41"/>
        <v>-1471.7576365048944</v>
      </c>
    </row>
    <row r="385" spans="5:27" x14ac:dyDescent="0.25">
      <c r="E385" s="142"/>
      <c r="F385" s="142"/>
      <c r="T385" s="165">
        <v>373</v>
      </c>
      <c r="U385" s="159">
        <f t="shared" si="36"/>
        <v>-70.108499999999992</v>
      </c>
      <c r="V385" s="159">
        <f t="shared" si="37"/>
        <v>-284.45850000000002</v>
      </c>
      <c r="W385" s="159">
        <f t="shared" si="38"/>
        <v>349.11</v>
      </c>
      <c r="X385" s="159">
        <f t="shared" si="39"/>
        <v>-5.4569999999999936</v>
      </c>
      <c r="Y385" s="159">
        <f t="shared" ca="1" si="35"/>
        <v>-9.327053436771962</v>
      </c>
      <c r="Z385" s="159">
        <f t="shared" ca="1" si="40"/>
        <v>-14.717576365048943</v>
      </c>
      <c r="AA385" s="161">
        <f t="shared" ca="1" si="41"/>
        <v>-1471.7576365048944</v>
      </c>
    </row>
    <row r="386" spans="5:27" x14ac:dyDescent="0.25">
      <c r="E386" s="142"/>
      <c r="F386" s="142"/>
      <c r="T386" s="165">
        <v>374</v>
      </c>
      <c r="U386" s="159">
        <f t="shared" si="36"/>
        <v>-70.108499999999992</v>
      </c>
      <c r="V386" s="159">
        <f t="shared" si="37"/>
        <v>-283.45850000000002</v>
      </c>
      <c r="W386" s="159">
        <f t="shared" si="38"/>
        <v>348.11</v>
      </c>
      <c r="X386" s="159">
        <f t="shared" si="39"/>
        <v>-5.4569999999999936</v>
      </c>
      <c r="Y386" s="159">
        <f t="shared" ca="1" si="35"/>
        <v>-9.327053436771962</v>
      </c>
      <c r="Z386" s="159">
        <f t="shared" ca="1" si="40"/>
        <v>-14.717576365048943</v>
      </c>
      <c r="AA386" s="161">
        <f t="shared" ca="1" si="41"/>
        <v>-1471.7576365048944</v>
      </c>
    </row>
    <row r="387" spans="5:27" x14ac:dyDescent="0.25">
      <c r="E387" s="142"/>
      <c r="F387" s="142"/>
      <c r="T387" s="165">
        <v>375</v>
      </c>
      <c r="U387" s="159">
        <f t="shared" si="36"/>
        <v>-70.108499999999992</v>
      </c>
      <c r="V387" s="159">
        <f t="shared" si="37"/>
        <v>-282.45850000000002</v>
      </c>
      <c r="W387" s="159">
        <f t="shared" si="38"/>
        <v>347.11</v>
      </c>
      <c r="X387" s="159">
        <f t="shared" si="39"/>
        <v>-5.4569999999999936</v>
      </c>
      <c r="Y387" s="159">
        <f t="shared" ca="1" si="35"/>
        <v>-9.327053436771962</v>
      </c>
      <c r="Z387" s="159">
        <f t="shared" ca="1" si="40"/>
        <v>-14.717576365048943</v>
      </c>
      <c r="AA387" s="161">
        <f t="shared" ca="1" si="41"/>
        <v>-1471.7576365048944</v>
      </c>
    </row>
    <row r="388" spans="5:27" x14ac:dyDescent="0.25">
      <c r="E388" s="142"/>
      <c r="F388" s="142"/>
      <c r="T388" s="165">
        <v>376</v>
      </c>
      <c r="U388" s="159">
        <f t="shared" si="36"/>
        <v>-70.108499999999992</v>
      </c>
      <c r="V388" s="159">
        <f t="shared" si="37"/>
        <v>-281.45850000000002</v>
      </c>
      <c r="W388" s="159">
        <f t="shared" si="38"/>
        <v>346.11</v>
      </c>
      <c r="X388" s="159">
        <f t="shared" si="39"/>
        <v>-5.4569999999999936</v>
      </c>
      <c r="Y388" s="159">
        <f t="shared" ca="1" si="35"/>
        <v>-9.327053436771962</v>
      </c>
      <c r="Z388" s="159">
        <f t="shared" ca="1" si="40"/>
        <v>-14.717576365048943</v>
      </c>
      <c r="AA388" s="161">
        <f t="shared" ca="1" si="41"/>
        <v>-1471.7576365048944</v>
      </c>
    </row>
    <row r="389" spans="5:27" x14ac:dyDescent="0.25">
      <c r="E389" s="142"/>
      <c r="F389" s="142"/>
      <c r="T389" s="165">
        <v>377</v>
      </c>
      <c r="U389" s="159">
        <f t="shared" si="36"/>
        <v>-70.108499999999992</v>
      </c>
      <c r="V389" s="159">
        <f t="shared" si="37"/>
        <v>-280.45850000000002</v>
      </c>
      <c r="W389" s="159">
        <f t="shared" si="38"/>
        <v>345.11</v>
      </c>
      <c r="X389" s="159">
        <f t="shared" si="39"/>
        <v>-5.4569999999999936</v>
      </c>
      <c r="Y389" s="159">
        <f t="shared" ca="1" si="35"/>
        <v>-9.327053436771962</v>
      </c>
      <c r="Z389" s="159">
        <f t="shared" ca="1" si="40"/>
        <v>-14.717576365048943</v>
      </c>
      <c r="AA389" s="161">
        <f t="shared" ca="1" si="41"/>
        <v>-1471.7576365048944</v>
      </c>
    </row>
    <row r="390" spans="5:27" x14ac:dyDescent="0.25">
      <c r="E390" s="142"/>
      <c r="F390" s="142"/>
      <c r="T390" s="165">
        <v>378</v>
      </c>
      <c r="U390" s="159">
        <f t="shared" si="36"/>
        <v>-70.108499999999992</v>
      </c>
      <c r="V390" s="159">
        <f t="shared" si="37"/>
        <v>-279.45850000000002</v>
      </c>
      <c r="W390" s="159">
        <f t="shared" si="38"/>
        <v>344.11</v>
      </c>
      <c r="X390" s="159">
        <f t="shared" si="39"/>
        <v>-5.4569999999999936</v>
      </c>
      <c r="Y390" s="159">
        <f t="shared" ca="1" si="35"/>
        <v>-9.327053436771962</v>
      </c>
      <c r="Z390" s="159">
        <f t="shared" ca="1" si="40"/>
        <v>-14.717576365048943</v>
      </c>
      <c r="AA390" s="161">
        <f t="shared" ca="1" si="41"/>
        <v>-1471.7576365048944</v>
      </c>
    </row>
    <row r="391" spans="5:27" x14ac:dyDescent="0.25">
      <c r="E391" s="142"/>
      <c r="F391" s="142"/>
      <c r="T391" s="165">
        <v>379</v>
      </c>
      <c r="U391" s="159">
        <f t="shared" si="36"/>
        <v>-70.108499999999992</v>
      </c>
      <c r="V391" s="159">
        <f t="shared" si="37"/>
        <v>-278.45850000000002</v>
      </c>
      <c r="W391" s="159">
        <f t="shared" si="38"/>
        <v>343.11</v>
      </c>
      <c r="X391" s="159">
        <f t="shared" si="39"/>
        <v>-5.4569999999999936</v>
      </c>
      <c r="Y391" s="159">
        <f t="shared" ca="1" si="35"/>
        <v>-9.327053436771962</v>
      </c>
      <c r="Z391" s="159">
        <f t="shared" ca="1" si="40"/>
        <v>-14.717576365048943</v>
      </c>
      <c r="AA391" s="161">
        <f t="shared" ca="1" si="41"/>
        <v>-1471.7576365048944</v>
      </c>
    </row>
    <row r="392" spans="5:27" x14ac:dyDescent="0.25">
      <c r="E392" s="142"/>
      <c r="F392" s="142"/>
      <c r="T392" s="165">
        <v>380</v>
      </c>
      <c r="U392" s="159">
        <f t="shared" si="36"/>
        <v>-70.108499999999992</v>
      </c>
      <c r="V392" s="159">
        <f t="shared" si="37"/>
        <v>-277.45850000000002</v>
      </c>
      <c r="W392" s="159">
        <f t="shared" si="38"/>
        <v>342.11</v>
      </c>
      <c r="X392" s="159">
        <f t="shared" si="39"/>
        <v>-5.4569999999999936</v>
      </c>
      <c r="Y392" s="159">
        <f t="shared" ca="1" si="35"/>
        <v>-9.327053436771962</v>
      </c>
      <c r="Z392" s="159">
        <f t="shared" ca="1" si="40"/>
        <v>-14.717576365048943</v>
      </c>
      <c r="AA392" s="161">
        <f t="shared" ca="1" si="41"/>
        <v>-1471.7576365048944</v>
      </c>
    </row>
    <row r="393" spans="5:27" x14ac:dyDescent="0.25">
      <c r="E393" s="142"/>
      <c r="F393" s="142"/>
      <c r="T393" s="165">
        <v>381</v>
      </c>
      <c r="U393" s="159">
        <f t="shared" si="36"/>
        <v>-70.108499999999992</v>
      </c>
      <c r="V393" s="159">
        <f t="shared" si="37"/>
        <v>-276.45850000000002</v>
      </c>
      <c r="W393" s="159">
        <f t="shared" si="38"/>
        <v>341.11</v>
      </c>
      <c r="X393" s="159">
        <f t="shared" si="39"/>
        <v>-5.4569999999999936</v>
      </c>
      <c r="Y393" s="159">
        <f t="shared" ca="1" si="35"/>
        <v>-9.327053436771962</v>
      </c>
      <c r="Z393" s="159">
        <f t="shared" ca="1" si="40"/>
        <v>-14.717576365048943</v>
      </c>
      <c r="AA393" s="161">
        <f t="shared" ca="1" si="41"/>
        <v>-1471.7576365048944</v>
      </c>
    </row>
    <row r="394" spans="5:27" x14ac:dyDescent="0.25">
      <c r="E394" s="142"/>
      <c r="F394" s="142"/>
      <c r="T394" s="165">
        <v>382</v>
      </c>
      <c r="U394" s="159">
        <f t="shared" si="36"/>
        <v>-70.108499999999992</v>
      </c>
      <c r="V394" s="159">
        <f t="shared" si="37"/>
        <v>-275.45850000000002</v>
      </c>
      <c r="W394" s="159">
        <f t="shared" si="38"/>
        <v>340.11</v>
      </c>
      <c r="X394" s="159">
        <f t="shared" si="39"/>
        <v>-5.4569999999999936</v>
      </c>
      <c r="Y394" s="159">
        <f t="shared" ca="1" si="35"/>
        <v>-9.327053436771962</v>
      </c>
      <c r="Z394" s="159">
        <f t="shared" ca="1" si="40"/>
        <v>-14.717576365048943</v>
      </c>
      <c r="AA394" s="161">
        <f t="shared" ca="1" si="41"/>
        <v>-1471.7576365048944</v>
      </c>
    </row>
    <row r="395" spans="5:27" x14ac:dyDescent="0.25">
      <c r="E395" s="142"/>
      <c r="F395" s="142"/>
      <c r="T395" s="165">
        <v>383</v>
      </c>
      <c r="U395" s="159">
        <f t="shared" si="36"/>
        <v>-70.108499999999992</v>
      </c>
      <c r="V395" s="159">
        <f t="shared" si="37"/>
        <v>-274.45850000000002</v>
      </c>
      <c r="W395" s="159">
        <f t="shared" si="38"/>
        <v>339.11</v>
      </c>
      <c r="X395" s="159">
        <f t="shared" si="39"/>
        <v>-5.4569999999999936</v>
      </c>
      <c r="Y395" s="159">
        <f t="shared" ca="1" si="35"/>
        <v>-9.327053436771962</v>
      </c>
      <c r="Z395" s="159">
        <f t="shared" ca="1" si="40"/>
        <v>-14.717576365048943</v>
      </c>
      <c r="AA395" s="161">
        <f t="shared" ca="1" si="41"/>
        <v>-1471.7576365048944</v>
      </c>
    </row>
    <row r="396" spans="5:27" x14ac:dyDescent="0.25">
      <c r="E396" s="142"/>
      <c r="F396" s="142"/>
      <c r="T396" s="165">
        <v>384</v>
      </c>
      <c r="U396" s="159">
        <f t="shared" si="36"/>
        <v>-70.108499999999992</v>
      </c>
      <c r="V396" s="159">
        <f t="shared" si="37"/>
        <v>-273.45850000000002</v>
      </c>
      <c r="W396" s="159">
        <f t="shared" si="38"/>
        <v>338.11</v>
      </c>
      <c r="X396" s="159">
        <f t="shared" si="39"/>
        <v>-5.4569999999999936</v>
      </c>
      <c r="Y396" s="159">
        <f t="shared" ref="Y396:Y459" ca="1" si="42">$Y$10*EXP($Y$7*$C$6)-$Y$10</f>
        <v>-9.327053436771962</v>
      </c>
      <c r="Z396" s="159">
        <f t="shared" ca="1" si="40"/>
        <v>-14.717576365048943</v>
      </c>
      <c r="AA396" s="161">
        <f t="shared" ca="1" si="41"/>
        <v>-1471.7576365048944</v>
      </c>
    </row>
    <row r="397" spans="5:27" x14ac:dyDescent="0.25">
      <c r="E397" s="142"/>
      <c r="F397" s="142"/>
      <c r="T397" s="165">
        <v>385</v>
      </c>
      <c r="U397" s="159">
        <f t="shared" ref="U397:U460" si="43">MAX(0,T397-$U$9)-$U$10-$U$11/100</f>
        <v>-70.108499999999992</v>
      </c>
      <c r="V397" s="159">
        <f t="shared" ref="V397:V460" si="44">$V$10-MAX(0,$V$9-T397)-$V$11/100</f>
        <v>-272.45850000000002</v>
      </c>
      <c r="W397" s="159">
        <f t="shared" ref="W397:W460" si="45">$W$10-T397</f>
        <v>337.11</v>
      </c>
      <c r="X397" s="159">
        <f t="shared" ref="X397:X460" si="46">SUM(U397:W397)</f>
        <v>-5.4569999999999936</v>
      </c>
      <c r="Y397" s="159">
        <f t="shared" ca="1" si="42"/>
        <v>-9.327053436771962</v>
      </c>
      <c r="Z397" s="159">
        <f t="shared" ref="Z397:Z460" ca="1" si="47">EXP(-$E$3*$C$6)*SUM(X397:Y397)</f>
        <v>-14.717576365048943</v>
      </c>
      <c r="AA397" s="161">
        <f t="shared" ref="AA397:AA460" ca="1" si="48">Z397*100</f>
        <v>-1471.7576365048944</v>
      </c>
    </row>
    <row r="398" spans="5:27" x14ac:dyDescent="0.25">
      <c r="E398" s="142"/>
      <c r="F398" s="142"/>
      <c r="T398" s="165">
        <v>386</v>
      </c>
      <c r="U398" s="159">
        <f t="shared" si="43"/>
        <v>-70.108499999999992</v>
      </c>
      <c r="V398" s="159">
        <f t="shared" si="44"/>
        <v>-271.45850000000002</v>
      </c>
      <c r="W398" s="159">
        <f t="shared" si="45"/>
        <v>336.11</v>
      </c>
      <c r="X398" s="159">
        <f t="shared" si="46"/>
        <v>-5.4569999999999936</v>
      </c>
      <c r="Y398" s="159">
        <f t="shared" ca="1" si="42"/>
        <v>-9.327053436771962</v>
      </c>
      <c r="Z398" s="159">
        <f t="shared" ca="1" si="47"/>
        <v>-14.717576365048943</v>
      </c>
      <c r="AA398" s="161">
        <f t="shared" ca="1" si="48"/>
        <v>-1471.7576365048944</v>
      </c>
    </row>
    <row r="399" spans="5:27" x14ac:dyDescent="0.25">
      <c r="E399" s="142"/>
      <c r="F399" s="142"/>
      <c r="T399" s="165">
        <v>387</v>
      </c>
      <c r="U399" s="159">
        <f t="shared" si="43"/>
        <v>-70.108499999999992</v>
      </c>
      <c r="V399" s="159">
        <f t="shared" si="44"/>
        <v>-270.45850000000002</v>
      </c>
      <c r="W399" s="159">
        <f t="shared" si="45"/>
        <v>335.11</v>
      </c>
      <c r="X399" s="159">
        <f t="shared" si="46"/>
        <v>-5.4569999999999936</v>
      </c>
      <c r="Y399" s="159">
        <f t="shared" ca="1" si="42"/>
        <v>-9.327053436771962</v>
      </c>
      <c r="Z399" s="159">
        <f t="shared" ca="1" si="47"/>
        <v>-14.717576365048943</v>
      </c>
      <c r="AA399" s="161">
        <f t="shared" ca="1" si="48"/>
        <v>-1471.7576365048944</v>
      </c>
    </row>
    <row r="400" spans="5:27" x14ac:dyDescent="0.25">
      <c r="E400" s="142"/>
      <c r="F400" s="142"/>
      <c r="T400" s="165">
        <v>388</v>
      </c>
      <c r="U400" s="159">
        <f t="shared" si="43"/>
        <v>-70.108499999999992</v>
      </c>
      <c r="V400" s="159">
        <f t="shared" si="44"/>
        <v>-269.45850000000002</v>
      </c>
      <c r="W400" s="159">
        <f t="shared" si="45"/>
        <v>334.11</v>
      </c>
      <c r="X400" s="159">
        <f t="shared" si="46"/>
        <v>-5.4569999999999936</v>
      </c>
      <c r="Y400" s="159">
        <f t="shared" ca="1" si="42"/>
        <v>-9.327053436771962</v>
      </c>
      <c r="Z400" s="159">
        <f t="shared" ca="1" si="47"/>
        <v>-14.717576365048943</v>
      </c>
      <c r="AA400" s="161">
        <f t="shared" ca="1" si="48"/>
        <v>-1471.7576365048944</v>
      </c>
    </row>
    <row r="401" spans="5:27" x14ac:dyDescent="0.25">
      <c r="E401" s="142"/>
      <c r="F401" s="142"/>
      <c r="T401" s="165">
        <v>389</v>
      </c>
      <c r="U401" s="159">
        <f t="shared" si="43"/>
        <v>-70.108499999999992</v>
      </c>
      <c r="V401" s="159">
        <f t="shared" si="44"/>
        <v>-268.45850000000002</v>
      </c>
      <c r="W401" s="159">
        <f t="shared" si="45"/>
        <v>333.11</v>
      </c>
      <c r="X401" s="159">
        <f t="shared" si="46"/>
        <v>-5.4569999999999936</v>
      </c>
      <c r="Y401" s="159">
        <f t="shared" ca="1" si="42"/>
        <v>-9.327053436771962</v>
      </c>
      <c r="Z401" s="159">
        <f t="shared" ca="1" si="47"/>
        <v>-14.717576365048943</v>
      </c>
      <c r="AA401" s="161">
        <f t="shared" ca="1" si="48"/>
        <v>-1471.7576365048944</v>
      </c>
    </row>
    <row r="402" spans="5:27" x14ac:dyDescent="0.25">
      <c r="E402" s="142"/>
      <c r="F402" s="142"/>
      <c r="T402" s="165">
        <v>390</v>
      </c>
      <c r="U402" s="159">
        <f t="shared" si="43"/>
        <v>-70.108499999999992</v>
      </c>
      <c r="V402" s="159">
        <f t="shared" si="44"/>
        <v>-267.45850000000002</v>
      </c>
      <c r="W402" s="159">
        <f t="shared" si="45"/>
        <v>332.11</v>
      </c>
      <c r="X402" s="159">
        <f t="shared" si="46"/>
        <v>-5.4569999999999936</v>
      </c>
      <c r="Y402" s="159">
        <f t="shared" ca="1" si="42"/>
        <v>-9.327053436771962</v>
      </c>
      <c r="Z402" s="159">
        <f t="shared" ca="1" si="47"/>
        <v>-14.717576365048943</v>
      </c>
      <c r="AA402" s="161">
        <f t="shared" ca="1" si="48"/>
        <v>-1471.7576365048944</v>
      </c>
    </row>
    <row r="403" spans="5:27" x14ac:dyDescent="0.25">
      <c r="E403" s="142"/>
      <c r="F403" s="142"/>
      <c r="T403" s="165">
        <v>391</v>
      </c>
      <c r="U403" s="159">
        <f t="shared" si="43"/>
        <v>-70.108499999999992</v>
      </c>
      <c r="V403" s="159">
        <f t="shared" si="44"/>
        <v>-266.45850000000002</v>
      </c>
      <c r="W403" s="159">
        <f t="shared" si="45"/>
        <v>331.11</v>
      </c>
      <c r="X403" s="159">
        <f t="shared" si="46"/>
        <v>-5.4569999999999936</v>
      </c>
      <c r="Y403" s="159">
        <f t="shared" ca="1" si="42"/>
        <v>-9.327053436771962</v>
      </c>
      <c r="Z403" s="159">
        <f t="shared" ca="1" si="47"/>
        <v>-14.717576365048943</v>
      </c>
      <c r="AA403" s="161">
        <f t="shared" ca="1" si="48"/>
        <v>-1471.7576365048944</v>
      </c>
    </row>
    <row r="404" spans="5:27" x14ac:dyDescent="0.25">
      <c r="E404" s="142"/>
      <c r="F404" s="142"/>
      <c r="T404" s="165">
        <v>392</v>
      </c>
      <c r="U404" s="159">
        <f t="shared" si="43"/>
        <v>-70.108499999999992</v>
      </c>
      <c r="V404" s="159">
        <f t="shared" si="44"/>
        <v>-265.45850000000002</v>
      </c>
      <c r="W404" s="159">
        <f t="shared" si="45"/>
        <v>330.11</v>
      </c>
      <c r="X404" s="159">
        <f t="shared" si="46"/>
        <v>-5.4569999999999936</v>
      </c>
      <c r="Y404" s="159">
        <f t="shared" ca="1" si="42"/>
        <v>-9.327053436771962</v>
      </c>
      <c r="Z404" s="159">
        <f t="shared" ca="1" si="47"/>
        <v>-14.717576365048943</v>
      </c>
      <c r="AA404" s="161">
        <f t="shared" ca="1" si="48"/>
        <v>-1471.7576365048944</v>
      </c>
    </row>
    <row r="405" spans="5:27" x14ac:dyDescent="0.25">
      <c r="E405" s="142"/>
      <c r="F405" s="142"/>
      <c r="T405" s="165">
        <v>393</v>
      </c>
      <c r="U405" s="159">
        <f t="shared" si="43"/>
        <v>-70.108499999999992</v>
      </c>
      <c r="V405" s="159">
        <f t="shared" si="44"/>
        <v>-264.45850000000002</v>
      </c>
      <c r="W405" s="159">
        <f t="shared" si="45"/>
        <v>329.11</v>
      </c>
      <c r="X405" s="159">
        <f t="shared" si="46"/>
        <v>-5.4569999999999936</v>
      </c>
      <c r="Y405" s="159">
        <f t="shared" ca="1" si="42"/>
        <v>-9.327053436771962</v>
      </c>
      <c r="Z405" s="159">
        <f t="shared" ca="1" si="47"/>
        <v>-14.717576365048943</v>
      </c>
      <c r="AA405" s="161">
        <f t="shared" ca="1" si="48"/>
        <v>-1471.7576365048944</v>
      </c>
    </row>
    <row r="406" spans="5:27" x14ac:dyDescent="0.25">
      <c r="E406" s="142"/>
      <c r="F406" s="142"/>
      <c r="T406" s="165">
        <v>394</v>
      </c>
      <c r="U406" s="159">
        <f t="shared" si="43"/>
        <v>-70.108499999999992</v>
      </c>
      <c r="V406" s="159">
        <f t="shared" si="44"/>
        <v>-263.45850000000002</v>
      </c>
      <c r="W406" s="159">
        <f t="shared" si="45"/>
        <v>328.11</v>
      </c>
      <c r="X406" s="159">
        <f t="shared" si="46"/>
        <v>-5.4569999999999936</v>
      </c>
      <c r="Y406" s="159">
        <f t="shared" ca="1" si="42"/>
        <v>-9.327053436771962</v>
      </c>
      <c r="Z406" s="159">
        <f t="shared" ca="1" si="47"/>
        <v>-14.717576365048943</v>
      </c>
      <c r="AA406" s="161">
        <f t="shared" ca="1" si="48"/>
        <v>-1471.7576365048944</v>
      </c>
    </row>
    <row r="407" spans="5:27" x14ac:dyDescent="0.25">
      <c r="E407" s="142"/>
      <c r="F407" s="142"/>
      <c r="T407" s="165">
        <v>395</v>
      </c>
      <c r="U407" s="159">
        <f t="shared" si="43"/>
        <v>-70.108499999999992</v>
      </c>
      <c r="V407" s="159">
        <f t="shared" si="44"/>
        <v>-262.45850000000002</v>
      </c>
      <c r="W407" s="159">
        <f t="shared" si="45"/>
        <v>327.11</v>
      </c>
      <c r="X407" s="159">
        <f t="shared" si="46"/>
        <v>-5.4569999999999936</v>
      </c>
      <c r="Y407" s="159">
        <f t="shared" ca="1" si="42"/>
        <v>-9.327053436771962</v>
      </c>
      <c r="Z407" s="159">
        <f t="shared" ca="1" si="47"/>
        <v>-14.717576365048943</v>
      </c>
      <c r="AA407" s="161">
        <f t="shared" ca="1" si="48"/>
        <v>-1471.7576365048944</v>
      </c>
    </row>
    <row r="408" spans="5:27" x14ac:dyDescent="0.25">
      <c r="E408" s="142"/>
      <c r="F408" s="142"/>
      <c r="T408" s="165">
        <v>396</v>
      </c>
      <c r="U408" s="159">
        <f t="shared" si="43"/>
        <v>-70.108499999999992</v>
      </c>
      <c r="V408" s="159">
        <f t="shared" si="44"/>
        <v>-261.45850000000002</v>
      </c>
      <c r="W408" s="159">
        <f t="shared" si="45"/>
        <v>326.11</v>
      </c>
      <c r="X408" s="159">
        <f t="shared" si="46"/>
        <v>-5.4569999999999936</v>
      </c>
      <c r="Y408" s="159">
        <f t="shared" ca="1" si="42"/>
        <v>-9.327053436771962</v>
      </c>
      <c r="Z408" s="159">
        <f t="shared" ca="1" si="47"/>
        <v>-14.717576365048943</v>
      </c>
      <c r="AA408" s="161">
        <f t="shared" ca="1" si="48"/>
        <v>-1471.7576365048944</v>
      </c>
    </row>
    <row r="409" spans="5:27" x14ac:dyDescent="0.25">
      <c r="E409" s="142"/>
      <c r="F409" s="142"/>
      <c r="T409" s="165">
        <v>397</v>
      </c>
      <c r="U409" s="159">
        <f t="shared" si="43"/>
        <v>-70.108499999999992</v>
      </c>
      <c r="V409" s="159">
        <f t="shared" si="44"/>
        <v>-260.45850000000002</v>
      </c>
      <c r="W409" s="159">
        <f t="shared" si="45"/>
        <v>325.11</v>
      </c>
      <c r="X409" s="159">
        <f t="shared" si="46"/>
        <v>-5.4569999999999936</v>
      </c>
      <c r="Y409" s="159">
        <f t="shared" ca="1" si="42"/>
        <v>-9.327053436771962</v>
      </c>
      <c r="Z409" s="159">
        <f t="shared" ca="1" si="47"/>
        <v>-14.717576365048943</v>
      </c>
      <c r="AA409" s="161">
        <f t="shared" ca="1" si="48"/>
        <v>-1471.7576365048944</v>
      </c>
    </row>
    <row r="410" spans="5:27" x14ac:dyDescent="0.25">
      <c r="E410" s="142"/>
      <c r="F410" s="142"/>
      <c r="T410" s="165">
        <v>398</v>
      </c>
      <c r="U410" s="159">
        <f t="shared" si="43"/>
        <v>-70.108499999999992</v>
      </c>
      <c r="V410" s="159">
        <f t="shared" si="44"/>
        <v>-259.45850000000002</v>
      </c>
      <c r="W410" s="159">
        <f t="shared" si="45"/>
        <v>324.11</v>
      </c>
      <c r="X410" s="159">
        <f t="shared" si="46"/>
        <v>-5.4569999999999936</v>
      </c>
      <c r="Y410" s="159">
        <f t="shared" ca="1" si="42"/>
        <v>-9.327053436771962</v>
      </c>
      <c r="Z410" s="159">
        <f t="shared" ca="1" si="47"/>
        <v>-14.717576365048943</v>
      </c>
      <c r="AA410" s="161">
        <f t="shared" ca="1" si="48"/>
        <v>-1471.7576365048944</v>
      </c>
    </row>
    <row r="411" spans="5:27" x14ac:dyDescent="0.25">
      <c r="E411" s="142"/>
      <c r="F411" s="142"/>
      <c r="T411" s="165">
        <v>399</v>
      </c>
      <c r="U411" s="159">
        <f t="shared" si="43"/>
        <v>-70.108499999999992</v>
      </c>
      <c r="V411" s="159">
        <f t="shared" si="44"/>
        <v>-258.45850000000002</v>
      </c>
      <c r="W411" s="159">
        <f t="shared" si="45"/>
        <v>323.11</v>
      </c>
      <c r="X411" s="159">
        <f t="shared" si="46"/>
        <v>-5.4569999999999936</v>
      </c>
      <c r="Y411" s="159">
        <f t="shared" ca="1" si="42"/>
        <v>-9.327053436771962</v>
      </c>
      <c r="Z411" s="159">
        <f t="shared" ca="1" si="47"/>
        <v>-14.717576365048943</v>
      </c>
      <c r="AA411" s="161">
        <f t="shared" ca="1" si="48"/>
        <v>-1471.7576365048944</v>
      </c>
    </row>
    <row r="412" spans="5:27" x14ac:dyDescent="0.25">
      <c r="E412" s="142"/>
      <c r="F412" s="142"/>
      <c r="T412" s="165">
        <v>400</v>
      </c>
      <c r="U412" s="159">
        <f t="shared" si="43"/>
        <v>-70.108499999999992</v>
      </c>
      <c r="V412" s="159">
        <f t="shared" si="44"/>
        <v>-257.45850000000002</v>
      </c>
      <c r="W412" s="159">
        <f t="shared" si="45"/>
        <v>322.11</v>
      </c>
      <c r="X412" s="159">
        <f t="shared" si="46"/>
        <v>-5.4569999999999936</v>
      </c>
      <c r="Y412" s="159">
        <f t="shared" ca="1" si="42"/>
        <v>-9.327053436771962</v>
      </c>
      <c r="Z412" s="159">
        <f t="shared" ca="1" si="47"/>
        <v>-14.717576365048943</v>
      </c>
      <c r="AA412" s="161">
        <f t="shared" ca="1" si="48"/>
        <v>-1471.7576365048944</v>
      </c>
    </row>
    <row r="413" spans="5:27" x14ac:dyDescent="0.25">
      <c r="E413" s="142"/>
      <c r="F413" s="142"/>
      <c r="T413" s="165">
        <v>401</v>
      </c>
      <c r="U413" s="159">
        <f t="shared" si="43"/>
        <v>-70.108499999999992</v>
      </c>
      <c r="V413" s="159">
        <f t="shared" si="44"/>
        <v>-256.45850000000002</v>
      </c>
      <c r="W413" s="159">
        <f t="shared" si="45"/>
        <v>321.11</v>
      </c>
      <c r="X413" s="159">
        <f t="shared" si="46"/>
        <v>-5.4569999999999936</v>
      </c>
      <c r="Y413" s="159">
        <f t="shared" ca="1" si="42"/>
        <v>-9.327053436771962</v>
      </c>
      <c r="Z413" s="159">
        <f t="shared" ca="1" si="47"/>
        <v>-14.717576365048943</v>
      </c>
      <c r="AA413" s="161">
        <f t="shared" ca="1" si="48"/>
        <v>-1471.7576365048944</v>
      </c>
    </row>
    <row r="414" spans="5:27" x14ac:dyDescent="0.25">
      <c r="E414" s="142"/>
      <c r="F414" s="142"/>
      <c r="T414" s="165">
        <v>402</v>
      </c>
      <c r="U414" s="159">
        <f t="shared" si="43"/>
        <v>-70.108499999999992</v>
      </c>
      <c r="V414" s="159">
        <f t="shared" si="44"/>
        <v>-255.45849999999999</v>
      </c>
      <c r="W414" s="159">
        <f t="shared" si="45"/>
        <v>320.11</v>
      </c>
      <c r="X414" s="159">
        <f t="shared" si="46"/>
        <v>-5.4569999999999936</v>
      </c>
      <c r="Y414" s="159">
        <f t="shared" ca="1" si="42"/>
        <v>-9.327053436771962</v>
      </c>
      <c r="Z414" s="159">
        <f t="shared" ca="1" si="47"/>
        <v>-14.717576365048943</v>
      </c>
      <c r="AA414" s="161">
        <f t="shared" ca="1" si="48"/>
        <v>-1471.7576365048944</v>
      </c>
    </row>
    <row r="415" spans="5:27" x14ac:dyDescent="0.25">
      <c r="E415" s="142"/>
      <c r="F415" s="142"/>
      <c r="T415" s="165">
        <v>403</v>
      </c>
      <c r="U415" s="159">
        <f t="shared" si="43"/>
        <v>-70.108499999999992</v>
      </c>
      <c r="V415" s="159">
        <f t="shared" si="44"/>
        <v>-254.45849999999999</v>
      </c>
      <c r="W415" s="159">
        <f t="shared" si="45"/>
        <v>319.11</v>
      </c>
      <c r="X415" s="159">
        <f t="shared" si="46"/>
        <v>-5.4569999999999936</v>
      </c>
      <c r="Y415" s="159">
        <f t="shared" ca="1" si="42"/>
        <v>-9.327053436771962</v>
      </c>
      <c r="Z415" s="159">
        <f t="shared" ca="1" si="47"/>
        <v>-14.717576365048943</v>
      </c>
      <c r="AA415" s="161">
        <f t="shared" ca="1" si="48"/>
        <v>-1471.7576365048944</v>
      </c>
    </row>
    <row r="416" spans="5:27" x14ac:dyDescent="0.25">
      <c r="E416" s="142"/>
      <c r="F416" s="142"/>
      <c r="T416" s="165">
        <v>404</v>
      </c>
      <c r="U416" s="159">
        <f t="shared" si="43"/>
        <v>-70.108499999999992</v>
      </c>
      <c r="V416" s="159">
        <f t="shared" si="44"/>
        <v>-253.45849999999999</v>
      </c>
      <c r="W416" s="159">
        <f t="shared" si="45"/>
        <v>318.11</v>
      </c>
      <c r="X416" s="159">
        <f t="shared" si="46"/>
        <v>-5.4569999999999936</v>
      </c>
      <c r="Y416" s="159">
        <f t="shared" ca="1" si="42"/>
        <v>-9.327053436771962</v>
      </c>
      <c r="Z416" s="159">
        <f t="shared" ca="1" si="47"/>
        <v>-14.717576365048943</v>
      </c>
      <c r="AA416" s="161">
        <f t="shared" ca="1" si="48"/>
        <v>-1471.7576365048944</v>
      </c>
    </row>
    <row r="417" spans="5:27" x14ac:dyDescent="0.25">
      <c r="E417" s="142"/>
      <c r="F417" s="142"/>
      <c r="T417" s="165">
        <v>405</v>
      </c>
      <c r="U417" s="159">
        <f t="shared" si="43"/>
        <v>-70.108499999999992</v>
      </c>
      <c r="V417" s="159">
        <f t="shared" si="44"/>
        <v>-252.45849999999999</v>
      </c>
      <c r="W417" s="159">
        <f t="shared" si="45"/>
        <v>317.11</v>
      </c>
      <c r="X417" s="159">
        <f t="shared" si="46"/>
        <v>-5.4569999999999936</v>
      </c>
      <c r="Y417" s="159">
        <f t="shared" ca="1" si="42"/>
        <v>-9.327053436771962</v>
      </c>
      <c r="Z417" s="159">
        <f t="shared" ca="1" si="47"/>
        <v>-14.717576365048943</v>
      </c>
      <c r="AA417" s="161">
        <f t="shared" ca="1" si="48"/>
        <v>-1471.7576365048944</v>
      </c>
    </row>
    <row r="418" spans="5:27" x14ac:dyDescent="0.25">
      <c r="E418" s="142"/>
      <c r="F418" s="142"/>
      <c r="T418" s="165">
        <v>406</v>
      </c>
      <c r="U418" s="159">
        <f t="shared" si="43"/>
        <v>-70.108499999999992</v>
      </c>
      <c r="V418" s="159">
        <f t="shared" si="44"/>
        <v>-251.45849999999999</v>
      </c>
      <c r="W418" s="159">
        <f t="shared" si="45"/>
        <v>316.11</v>
      </c>
      <c r="X418" s="159">
        <f t="shared" si="46"/>
        <v>-5.4569999999999936</v>
      </c>
      <c r="Y418" s="159">
        <f t="shared" ca="1" si="42"/>
        <v>-9.327053436771962</v>
      </c>
      <c r="Z418" s="159">
        <f t="shared" ca="1" si="47"/>
        <v>-14.717576365048943</v>
      </c>
      <c r="AA418" s="161">
        <f t="shared" ca="1" si="48"/>
        <v>-1471.7576365048944</v>
      </c>
    </row>
    <row r="419" spans="5:27" x14ac:dyDescent="0.25">
      <c r="E419" s="142"/>
      <c r="F419" s="142"/>
      <c r="T419" s="165">
        <v>407</v>
      </c>
      <c r="U419" s="159">
        <f t="shared" si="43"/>
        <v>-70.108499999999992</v>
      </c>
      <c r="V419" s="159">
        <f t="shared" si="44"/>
        <v>-250.45849999999999</v>
      </c>
      <c r="W419" s="159">
        <f t="shared" si="45"/>
        <v>315.11</v>
      </c>
      <c r="X419" s="159">
        <f t="shared" si="46"/>
        <v>-5.4569999999999936</v>
      </c>
      <c r="Y419" s="159">
        <f t="shared" ca="1" si="42"/>
        <v>-9.327053436771962</v>
      </c>
      <c r="Z419" s="159">
        <f t="shared" ca="1" si="47"/>
        <v>-14.717576365048943</v>
      </c>
      <c r="AA419" s="161">
        <f t="shared" ca="1" si="48"/>
        <v>-1471.7576365048944</v>
      </c>
    </row>
    <row r="420" spans="5:27" x14ac:dyDescent="0.25">
      <c r="E420" s="142"/>
      <c r="F420" s="142"/>
      <c r="T420" s="165">
        <v>408</v>
      </c>
      <c r="U420" s="159">
        <f t="shared" si="43"/>
        <v>-70.108499999999992</v>
      </c>
      <c r="V420" s="159">
        <f t="shared" si="44"/>
        <v>-249.45849999999999</v>
      </c>
      <c r="W420" s="159">
        <f t="shared" si="45"/>
        <v>314.11</v>
      </c>
      <c r="X420" s="159">
        <f t="shared" si="46"/>
        <v>-5.4569999999999936</v>
      </c>
      <c r="Y420" s="159">
        <f t="shared" ca="1" si="42"/>
        <v>-9.327053436771962</v>
      </c>
      <c r="Z420" s="159">
        <f t="shared" ca="1" si="47"/>
        <v>-14.717576365048943</v>
      </c>
      <c r="AA420" s="161">
        <f t="shared" ca="1" si="48"/>
        <v>-1471.7576365048944</v>
      </c>
    </row>
    <row r="421" spans="5:27" x14ac:dyDescent="0.25">
      <c r="E421" s="142"/>
      <c r="F421" s="142"/>
      <c r="T421" s="165">
        <v>409</v>
      </c>
      <c r="U421" s="159">
        <f t="shared" si="43"/>
        <v>-70.108499999999992</v>
      </c>
      <c r="V421" s="159">
        <f t="shared" si="44"/>
        <v>-248.45849999999999</v>
      </c>
      <c r="W421" s="159">
        <f t="shared" si="45"/>
        <v>313.11</v>
      </c>
      <c r="X421" s="159">
        <f t="shared" si="46"/>
        <v>-5.4569999999999936</v>
      </c>
      <c r="Y421" s="159">
        <f t="shared" ca="1" si="42"/>
        <v>-9.327053436771962</v>
      </c>
      <c r="Z421" s="159">
        <f t="shared" ca="1" si="47"/>
        <v>-14.717576365048943</v>
      </c>
      <c r="AA421" s="161">
        <f t="shared" ca="1" si="48"/>
        <v>-1471.7576365048944</v>
      </c>
    </row>
    <row r="422" spans="5:27" x14ac:dyDescent="0.25">
      <c r="E422" s="142"/>
      <c r="F422" s="142"/>
      <c r="T422" s="165">
        <v>410</v>
      </c>
      <c r="U422" s="159">
        <f t="shared" si="43"/>
        <v>-70.108499999999992</v>
      </c>
      <c r="V422" s="159">
        <f t="shared" si="44"/>
        <v>-247.45849999999999</v>
      </c>
      <c r="W422" s="159">
        <f t="shared" si="45"/>
        <v>312.11</v>
      </c>
      <c r="X422" s="159">
        <f t="shared" si="46"/>
        <v>-5.4569999999999936</v>
      </c>
      <c r="Y422" s="159">
        <f t="shared" ca="1" si="42"/>
        <v>-9.327053436771962</v>
      </c>
      <c r="Z422" s="159">
        <f t="shared" ca="1" si="47"/>
        <v>-14.717576365048943</v>
      </c>
      <c r="AA422" s="161">
        <f t="shared" ca="1" si="48"/>
        <v>-1471.7576365048944</v>
      </c>
    </row>
    <row r="423" spans="5:27" x14ac:dyDescent="0.25">
      <c r="E423" s="142"/>
      <c r="F423" s="142"/>
      <c r="T423" s="165">
        <v>411</v>
      </c>
      <c r="U423" s="159">
        <f t="shared" si="43"/>
        <v>-70.108499999999992</v>
      </c>
      <c r="V423" s="159">
        <f t="shared" si="44"/>
        <v>-246.45849999999999</v>
      </c>
      <c r="W423" s="159">
        <f t="shared" si="45"/>
        <v>311.11</v>
      </c>
      <c r="X423" s="159">
        <f t="shared" si="46"/>
        <v>-5.4569999999999936</v>
      </c>
      <c r="Y423" s="159">
        <f t="shared" ca="1" si="42"/>
        <v>-9.327053436771962</v>
      </c>
      <c r="Z423" s="159">
        <f t="shared" ca="1" si="47"/>
        <v>-14.717576365048943</v>
      </c>
      <c r="AA423" s="161">
        <f t="shared" ca="1" si="48"/>
        <v>-1471.7576365048944</v>
      </c>
    </row>
    <row r="424" spans="5:27" x14ac:dyDescent="0.25">
      <c r="E424" s="142"/>
      <c r="F424" s="142"/>
      <c r="T424" s="165">
        <v>412</v>
      </c>
      <c r="U424" s="159">
        <f t="shared" si="43"/>
        <v>-70.108499999999992</v>
      </c>
      <c r="V424" s="159">
        <f t="shared" si="44"/>
        <v>-245.45849999999999</v>
      </c>
      <c r="W424" s="159">
        <f t="shared" si="45"/>
        <v>310.11</v>
      </c>
      <c r="X424" s="159">
        <f t="shared" si="46"/>
        <v>-5.4569999999999936</v>
      </c>
      <c r="Y424" s="159">
        <f t="shared" ca="1" si="42"/>
        <v>-9.327053436771962</v>
      </c>
      <c r="Z424" s="159">
        <f t="shared" ca="1" si="47"/>
        <v>-14.717576365048943</v>
      </c>
      <c r="AA424" s="161">
        <f t="shared" ca="1" si="48"/>
        <v>-1471.7576365048944</v>
      </c>
    </row>
    <row r="425" spans="5:27" x14ac:dyDescent="0.25">
      <c r="E425" s="142"/>
      <c r="F425" s="142"/>
      <c r="T425" s="165">
        <v>413</v>
      </c>
      <c r="U425" s="159">
        <f t="shared" si="43"/>
        <v>-70.108499999999992</v>
      </c>
      <c r="V425" s="159">
        <f t="shared" si="44"/>
        <v>-244.45849999999999</v>
      </c>
      <c r="W425" s="159">
        <f t="shared" si="45"/>
        <v>309.11</v>
      </c>
      <c r="X425" s="159">
        <f t="shared" si="46"/>
        <v>-5.4569999999999936</v>
      </c>
      <c r="Y425" s="159">
        <f t="shared" ca="1" si="42"/>
        <v>-9.327053436771962</v>
      </c>
      <c r="Z425" s="159">
        <f t="shared" ca="1" si="47"/>
        <v>-14.717576365048943</v>
      </c>
      <c r="AA425" s="161">
        <f t="shared" ca="1" si="48"/>
        <v>-1471.7576365048944</v>
      </c>
    </row>
    <row r="426" spans="5:27" x14ac:dyDescent="0.25">
      <c r="E426" s="142"/>
      <c r="F426" s="142"/>
      <c r="T426" s="165">
        <v>414</v>
      </c>
      <c r="U426" s="159">
        <f t="shared" si="43"/>
        <v>-70.108499999999992</v>
      </c>
      <c r="V426" s="159">
        <f t="shared" si="44"/>
        <v>-243.45849999999999</v>
      </c>
      <c r="W426" s="159">
        <f t="shared" si="45"/>
        <v>308.11</v>
      </c>
      <c r="X426" s="159">
        <f t="shared" si="46"/>
        <v>-5.4569999999999936</v>
      </c>
      <c r="Y426" s="159">
        <f t="shared" ca="1" si="42"/>
        <v>-9.327053436771962</v>
      </c>
      <c r="Z426" s="159">
        <f t="shared" ca="1" si="47"/>
        <v>-14.717576365048943</v>
      </c>
      <c r="AA426" s="161">
        <f t="shared" ca="1" si="48"/>
        <v>-1471.7576365048944</v>
      </c>
    </row>
    <row r="427" spans="5:27" x14ac:dyDescent="0.25">
      <c r="E427" s="142"/>
      <c r="F427" s="142"/>
      <c r="T427" s="165">
        <v>415</v>
      </c>
      <c r="U427" s="159">
        <f t="shared" si="43"/>
        <v>-70.108499999999992</v>
      </c>
      <c r="V427" s="159">
        <f t="shared" si="44"/>
        <v>-242.45849999999999</v>
      </c>
      <c r="W427" s="159">
        <f t="shared" si="45"/>
        <v>307.11</v>
      </c>
      <c r="X427" s="159">
        <f t="shared" si="46"/>
        <v>-5.4569999999999936</v>
      </c>
      <c r="Y427" s="159">
        <f t="shared" ca="1" si="42"/>
        <v>-9.327053436771962</v>
      </c>
      <c r="Z427" s="159">
        <f t="shared" ca="1" si="47"/>
        <v>-14.717576365048943</v>
      </c>
      <c r="AA427" s="161">
        <f t="shared" ca="1" si="48"/>
        <v>-1471.7576365048944</v>
      </c>
    </row>
    <row r="428" spans="5:27" x14ac:dyDescent="0.25">
      <c r="E428" s="142"/>
      <c r="F428" s="142"/>
      <c r="T428" s="165">
        <v>416</v>
      </c>
      <c r="U428" s="159">
        <f t="shared" si="43"/>
        <v>-70.108499999999992</v>
      </c>
      <c r="V428" s="159">
        <f t="shared" si="44"/>
        <v>-241.45849999999999</v>
      </c>
      <c r="W428" s="159">
        <f t="shared" si="45"/>
        <v>306.11</v>
      </c>
      <c r="X428" s="159">
        <f t="shared" si="46"/>
        <v>-5.4569999999999936</v>
      </c>
      <c r="Y428" s="159">
        <f t="shared" ca="1" si="42"/>
        <v>-9.327053436771962</v>
      </c>
      <c r="Z428" s="159">
        <f t="shared" ca="1" si="47"/>
        <v>-14.717576365048943</v>
      </c>
      <c r="AA428" s="161">
        <f t="shared" ca="1" si="48"/>
        <v>-1471.7576365048944</v>
      </c>
    </row>
    <row r="429" spans="5:27" x14ac:dyDescent="0.25">
      <c r="E429" s="142"/>
      <c r="F429" s="142"/>
      <c r="T429" s="165">
        <v>417</v>
      </c>
      <c r="U429" s="159">
        <f t="shared" si="43"/>
        <v>-70.108499999999992</v>
      </c>
      <c r="V429" s="159">
        <f t="shared" si="44"/>
        <v>-240.45849999999999</v>
      </c>
      <c r="W429" s="159">
        <f t="shared" si="45"/>
        <v>305.11</v>
      </c>
      <c r="X429" s="159">
        <f t="shared" si="46"/>
        <v>-5.4569999999999936</v>
      </c>
      <c r="Y429" s="159">
        <f t="shared" ca="1" si="42"/>
        <v>-9.327053436771962</v>
      </c>
      <c r="Z429" s="159">
        <f t="shared" ca="1" si="47"/>
        <v>-14.717576365048943</v>
      </c>
      <c r="AA429" s="161">
        <f t="shared" ca="1" si="48"/>
        <v>-1471.7576365048944</v>
      </c>
    </row>
    <row r="430" spans="5:27" x14ac:dyDescent="0.25">
      <c r="E430" s="142"/>
      <c r="F430" s="142"/>
      <c r="T430" s="165">
        <v>418</v>
      </c>
      <c r="U430" s="159">
        <f t="shared" si="43"/>
        <v>-70.108499999999992</v>
      </c>
      <c r="V430" s="159">
        <f t="shared" si="44"/>
        <v>-239.45849999999999</v>
      </c>
      <c r="W430" s="159">
        <f t="shared" si="45"/>
        <v>304.11</v>
      </c>
      <c r="X430" s="159">
        <f t="shared" si="46"/>
        <v>-5.4569999999999936</v>
      </c>
      <c r="Y430" s="159">
        <f t="shared" ca="1" si="42"/>
        <v>-9.327053436771962</v>
      </c>
      <c r="Z430" s="159">
        <f t="shared" ca="1" si="47"/>
        <v>-14.717576365048943</v>
      </c>
      <c r="AA430" s="161">
        <f t="shared" ca="1" si="48"/>
        <v>-1471.7576365048944</v>
      </c>
    </row>
    <row r="431" spans="5:27" x14ac:dyDescent="0.25">
      <c r="E431" s="142"/>
      <c r="F431" s="142"/>
      <c r="T431" s="165">
        <v>419</v>
      </c>
      <c r="U431" s="159">
        <f t="shared" si="43"/>
        <v>-70.108499999999992</v>
      </c>
      <c r="V431" s="159">
        <f t="shared" si="44"/>
        <v>-238.45849999999999</v>
      </c>
      <c r="W431" s="159">
        <f t="shared" si="45"/>
        <v>303.11</v>
      </c>
      <c r="X431" s="159">
        <f t="shared" si="46"/>
        <v>-5.4569999999999936</v>
      </c>
      <c r="Y431" s="159">
        <f t="shared" ca="1" si="42"/>
        <v>-9.327053436771962</v>
      </c>
      <c r="Z431" s="159">
        <f t="shared" ca="1" si="47"/>
        <v>-14.717576365048943</v>
      </c>
      <c r="AA431" s="161">
        <f t="shared" ca="1" si="48"/>
        <v>-1471.7576365048944</v>
      </c>
    </row>
    <row r="432" spans="5:27" x14ac:dyDescent="0.25">
      <c r="E432" s="142"/>
      <c r="F432" s="142"/>
      <c r="T432" s="165">
        <v>420</v>
      </c>
      <c r="U432" s="159">
        <f t="shared" si="43"/>
        <v>-70.108499999999992</v>
      </c>
      <c r="V432" s="159">
        <f t="shared" si="44"/>
        <v>-237.45849999999999</v>
      </c>
      <c r="W432" s="159">
        <f t="shared" si="45"/>
        <v>302.11</v>
      </c>
      <c r="X432" s="159">
        <f t="shared" si="46"/>
        <v>-5.4569999999999936</v>
      </c>
      <c r="Y432" s="159">
        <f t="shared" ca="1" si="42"/>
        <v>-9.327053436771962</v>
      </c>
      <c r="Z432" s="159">
        <f t="shared" ca="1" si="47"/>
        <v>-14.717576365048943</v>
      </c>
      <c r="AA432" s="161">
        <f t="shared" ca="1" si="48"/>
        <v>-1471.7576365048944</v>
      </c>
    </row>
    <row r="433" spans="5:27" x14ac:dyDescent="0.25">
      <c r="E433" s="142"/>
      <c r="F433" s="142"/>
      <c r="T433" s="165">
        <v>421</v>
      </c>
      <c r="U433" s="159">
        <f t="shared" si="43"/>
        <v>-70.108499999999992</v>
      </c>
      <c r="V433" s="159">
        <f t="shared" si="44"/>
        <v>-236.45849999999999</v>
      </c>
      <c r="W433" s="159">
        <f t="shared" si="45"/>
        <v>301.11</v>
      </c>
      <c r="X433" s="159">
        <f t="shared" si="46"/>
        <v>-5.4569999999999936</v>
      </c>
      <c r="Y433" s="159">
        <f t="shared" ca="1" si="42"/>
        <v>-9.327053436771962</v>
      </c>
      <c r="Z433" s="159">
        <f t="shared" ca="1" si="47"/>
        <v>-14.717576365048943</v>
      </c>
      <c r="AA433" s="161">
        <f t="shared" ca="1" si="48"/>
        <v>-1471.7576365048944</v>
      </c>
    </row>
    <row r="434" spans="5:27" x14ac:dyDescent="0.25">
      <c r="E434" s="142"/>
      <c r="F434" s="142"/>
      <c r="T434" s="165">
        <v>422</v>
      </c>
      <c r="U434" s="159">
        <f t="shared" si="43"/>
        <v>-70.108499999999992</v>
      </c>
      <c r="V434" s="159">
        <f t="shared" si="44"/>
        <v>-235.45849999999999</v>
      </c>
      <c r="W434" s="159">
        <f t="shared" si="45"/>
        <v>300.11</v>
      </c>
      <c r="X434" s="159">
        <f t="shared" si="46"/>
        <v>-5.4569999999999936</v>
      </c>
      <c r="Y434" s="159">
        <f t="shared" ca="1" si="42"/>
        <v>-9.327053436771962</v>
      </c>
      <c r="Z434" s="159">
        <f t="shared" ca="1" si="47"/>
        <v>-14.717576365048943</v>
      </c>
      <c r="AA434" s="161">
        <f t="shared" ca="1" si="48"/>
        <v>-1471.7576365048944</v>
      </c>
    </row>
    <row r="435" spans="5:27" x14ac:dyDescent="0.25">
      <c r="E435" s="142"/>
      <c r="F435" s="142"/>
      <c r="T435" s="165">
        <v>423</v>
      </c>
      <c r="U435" s="159">
        <f t="shared" si="43"/>
        <v>-70.108499999999992</v>
      </c>
      <c r="V435" s="159">
        <f t="shared" si="44"/>
        <v>-234.45849999999999</v>
      </c>
      <c r="W435" s="159">
        <f t="shared" si="45"/>
        <v>299.11</v>
      </c>
      <c r="X435" s="159">
        <f t="shared" si="46"/>
        <v>-5.4569999999999936</v>
      </c>
      <c r="Y435" s="159">
        <f t="shared" ca="1" si="42"/>
        <v>-9.327053436771962</v>
      </c>
      <c r="Z435" s="159">
        <f t="shared" ca="1" si="47"/>
        <v>-14.717576365048943</v>
      </c>
      <c r="AA435" s="161">
        <f t="shared" ca="1" si="48"/>
        <v>-1471.7576365048944</v>
      </c>
    </row>
    <row r="436" spans="5:27" x14ac:dyDescent="0.25">
      <c r="E436" s="142"/>
      <c r="F436" s="142"/>
      <c r="T436" s="165">
        <v>424</v>
      </c>
      <c r="U436" s="159">
        <f t="shared" si="43"/>
        <v>-70.108499999999992</v>
      </c>
      <c r="V436" s="159">
        <f t="shared" si="44"/>
        <v>-233.45849999999999</v>
      </c>
      <c r="W436" s="159">
        <f t="shared" si="45"/>
        <v>298.11</v>
      </c>
      <c r="X436" s="159">
        <f t="shared" si="46"/>
        <v>-5.4569999999999936</v>
      </c>
      <c r="Y436" s="159">
        <f t="shared" ca="1" si="42"/>
        <v>-9.327053436771962</v>
      </c>
      <c r="Z436" s="159">
        <f t="shared" ca="1" si="47"/>
        <v>-14.717576365048943</v>
      </c>
      <c r="AA436" s="161">
        <f t="shared" ca="1" si="48"/>
        <v>-1471.7576365048944</v>
      </c>
    </row>
    <row r="437" spans="5:27" x14ac:dyDescent="0.25">
      <c r="E437" s="142"/>
      <c r="F437" s="142"/>
      <c r="T437" s="165">
        <v>425</v>
      </c>
      <c r="U437" s="159">
        <f t="shared" si="43"/>
        <v>-70.108499999999992</v>
      </c>
      <c r="V437" s="159">
        <f t="shared" si="44"/>
        <v>-232.45849999999999</v>
      </c>
      <c r="W437" s="159">
        <f t="shared" si="45"/>
        <v>297.11</v>
      </c>
      <c r="X437" s="159">
        <f t="shared" si="46"/>
        <v>-5.4569999999999936</v>
      </c>
      <c r="Y437" s="159">
        <f t="shared" ca="1" si="42"/>
        <v>-9.327053436771962</v>
      </c>
      <c r="Z437" s="159">
        <f t="shared" ca="1" si="47"/>
        <v>-14.717576365048943</v>
      </c>
      <c r="AA437" s="161">
        <f t="shared" ca="1" si="48"/>
        <v>-1471.7576365048944</v>
      </c>
    </row>
    <row r="438" spans="5:27" x14ac:dyDescent="0.25">
      <c r="E438" s="142"/>
      <c r="F438" s="142"/>
      <c r="T438" s="165">
        <v>426</v>
      </c>
      <c r="U438" s="159">
        <f t="shared" si="43"/>
        <v>-70.108499999999992</v>
      </c>
      <c r="V438" s="159">
        <f t="shared" si="44"/>
        <v>-231.45849999999999</v>
      </c>
      <c r="W438" s="159">
        <f t="shared" si="45"/>
        <v>296.11</v>
      </c>
      <c r="X438" s="159">
        <f t="shared" si="46"/>
        <v>-5.4569999999999936</v>
      </c>
      <c r="Y438" s="159">
        <f t="shared" ca="1" si="42"/>
        <v>-9.327053436771962</v>
      </c>
      <c r="Z438" s="159">
        <f t="shared" ca="1" si="47"/>
        <v>-14.717576365048943</v>
      </c>
      <c r="AA438" s="161">
        <f t="shared" ca="1" si="48"/>
        <v>-1471.7576365048944</v>
      </c>
    </row>
    <row r="439" spans="5:27" x14ac:dyDescent="0.25">
      <c r="E439" s="142"/>
      <c r="F439" s="142"/>
      <c r="T439" s="165">
        <v>427</v>
      </c>
      <c r="U439" s="159">
        <f t="shared" si="43"/>
        <v>-70.108499999999992</v>
      </c>
      <c r="V439" s="159">
        <f t="shared" si="44"/>
        <v>-230.45849999999999</v>
      </c>
      <c r="W439" s="159">
        <f t="shared" si="45"/>
        <v>295.11</v>
      </c>
      <c r="X439" s="159">
        <f t="shared" si="46"/>
        <v>-5.4569999999999936</v>
      </c>
      <c r="Y439" s="159">
        <f t="shared" ca="1" si="42"/>
        <v>-9.327053436771962</v>
      </c>
      <c r="Z439" s="159">
        <f t="shared" ca="1" si="47"/>
        <v>-14.717576365048943</v>
      </c>
      <c r="AA439" s="161">
        <f t="shared" ca="1" si="48"/>
        <v>-1471.7576365048944</v>
      </c>
    </row>
    <row r="440" spans="5:27" x14ac:dyDescent="0.25">
      <c r="E440" s="142"/>
      <c r="F440" s="142"/>
      <c r="T440" s="165">
        <v>428</v>
      </c>
      <c r="U440" s="159">
        <f t="shared" si="43"/>
        <v>-70.108499999999992</v>
      </c>
      <c r="V440" s="159">
        <f t="shared" si="44"/>
        <v>-229.45849999999999</v>
      </c>
      <c r="W440" s="159">
        <f t="shared" si="45"/>
        <v>294.11</v>
      </c>
      <c r="X440" s="159">
        <f t="shared" si="46"/>
        <v>-5.4569999999999936</v>
      </c>
      <c r="Y440" s="159">
        <f t="shared" ca="1" si="42"/>
        <v>-9.327053436771962</v>
      </c>
      <c r="Z440" s="159">
        <f t="shared" ca="1" si="47"/>
        <v>-14.717576365048943</v>
      </c>
      <c r="AA440" s="161">
        <f t="shared" ca="1" si="48"/>
        <v>-1471.7576365048944</v>
      </c>
    </row>
    <row r="441" spans="5:27" x14ac:dyDescent="0.25">
      <c r="E441" s="142"/>
      <c r="F441" s="142"/>
      <c r="T441" s="165">
        <v>429</v>
      </c>
      <c r="U441" s="159">
        <f t="shared" si="43"/>
        <v>-70.108499999999992</v>
      </c>
      <c r="V441" s="159">
        <f t="shared" si="44"/>
        <v>-228.45849999999999</v>
      </c>
      <c r="W441" s="159">
        <f t="shared" si="45"/>
        <v>293.11</v>
      </c>
      <c r="X441" s="159">
        <f t="shared" si="46"/>
        <v>-5.4569999999999936</v>
      </c>
      <c r="Y441" s="159">
        <f t="shared" ca="1" si="42"/>
        <v>-9.327053436771962</v>
      </c>
      <c r="Z441" s="159">
        <f t="shared" ca="1" si="47"/>
        <v>-14.717576365048943</v>
      </c>
      <c r="AA441" s="161">
        <f t="shared" ca="1" si="48"/>
        <v>-1471.7576365048944</v>
      </c>
    </row>
    <row r="442" spans="5:27" x14ac:dyDescent="0.25">
      <c r="E442" s="142"/>
      <c r="F442" s="142"/>
      <c r="T442" s="165">
        <v>430</v>
      </c>
      <c r="U442" s="159">
        <f t="shared" si="43"/>
        <v>-70.108499999999992</v>
      </c>
      <c r="V442" s="159">
        <f t="shared" si="44"/>
        <v>-227.45849999999999</v>
      </c>
      <c r="W442" s="159">
        <f t="shared" si="45"/>
        <v>292.11</v>
      </c>
      <c r="X442" s="159">
        <f t="shared" si="46"/>
        <v>-5.4569999999999936</v>
      </c>
      <c r="Y442" s="159">
        <f t="shared" ca="1" si="42"/>
        <v>-9.327053436771962</v>
      </c>
      <c r="Z442" s="159">
        <f t="shared" ca="1" si="47"/>
        <v>-14.717576365048943</v>
      </c>
      <c r="AA442" s="161">
        <f t="shared" ca="1" si="48"/>
        <v>-1471.7576365048944</v>
      </c>
    </row>
    <row r="443" spans="5:27" x14ac:dyDescent="0.25">
      <c r="E443" s="142"/>
      <c r="F443" s="142"/>
      <c r="T443" s="165">
        <v>431</v>
      </c>
      <c r="U443" s="159">
        <f t="shared" si="43"/>
        <v>-70.108499999999992</v>
      </c>
      <c r="V443" s="159">
        <f t="shared" si="44"/>
        <v>-226.45849999999999</v>
      </c>
      <c r="W443" s="159">
        <f t="shared" si="45"/>
        <v>291.11</v>
      </c>
      <c r="X443" s="159">
        <f t="shared" si="46"/>
        <v>-5.4569999999999936</v>
      </c>
      <c r="Y443" s="159">
        <f t="shared" ca="1" si="42"/>
        <v>-9.327053436771962</v>
      </c>
      <c r="Z443" s="159">
        <f t="shared" ca="1" si="47"/>
        <v>-14.717576365048943</v>
      </c>
      <c r="AA443" s="161">
        <f t="shared" ca="1" si="48"/>
        <v>-1471.7576365048944</v>
      </c>
    </row>
    <row r="444" spans="5:27" x14ac:dyDescent="0.25">
      <c r="E444" s="142"/>
      <c r="F444" s="142"/>
      <c r="T444" s="165">
        <v>432</v>
      </c>
      <c r="U444" s="159">
        <f t="shared" si="43"/>
        <v>-70.108499999999992</v>
      </c>
      <c r="V444" s="159">
        <f t="shared" si="44"/>
        <v>-225.45849999999999</v>
      </c>
      <c r="W444" s="159">
        <f t="shared" si="45"/>
        <v>290.11</v>
      </c>
      <c r="X444" s="159">
        <f t="shared" si="46"/>
        <v>-5.4569999999999936</v>
      </c>
      <c r="Y444" s="159">
        <f t="shared" ca="1" si="42"/>
        <v>-9.327053436771962</v>
      </c>
      <c r="Z444" s="159">
        <f t="shared" ca="1" si="47"/>
        <v>-14.717576365048943</v>
      </c>
      <c r="AA444" s="161">
        <f t="shared" ca="1" si="48"/>
        <v>-1471.7576365048944</v>
      </c>
    </row>
    <row r="445" spans="5:27" x14ac:dyDescent="0.25">
      <c r="E445" s="142"/>
      <c r="F445" s="142"/>
      <c r="T445" s="165">
        <v>433</v>
      </c>
      <c r="U445" s="159">
        <f t="shared" si="43"/>
        <v>-70.108499999999992</v>
      </c>
      <c r="V445" s="159">
        <f t="shared" si="44"/>
        <v>-224.45849999999999</v>
      </c>
      <c r="W445" s="159">
        <f t="shared" si="45"/>
        <v>289.11</v>
      </c>
      <c r="X445" s="159">
        <f t="shared" si="46"/>
        <v>-5.4569999999999936</v>
      </c>
      <c r="Y445" s="159">
        <f t="shared" ca="1" si="42"/>
        <v>-9.327053436771962</v>
      </c>
      <c r="Z445" s="159">
        <f t="shared" ca="1" si="47"/>
        <v>-14.717576365048943</v>
      </c>
      <c r="AA445" s="161">
        <f t="shared" ca="1" si="48"/>
        <v>-1471.7576365048944</v>
      </c>
    </row>
    <row r="446" spans="5:27" x14ac:dyDescent="0.25">
      <c r="E446" s="142"/>
      <c r="F446" s="142"/>
      <c r="T446" s="165">
        <v>434</v>
      </c>
      <c r="U446" s="159">
        <f t="shared" si="43"/>
        <v>-70.108499999999992</v>
      </c>
      <c r="V446" s="159">
        <f t="shared" si="44"/>
        <v>-223.45849999999999</v>
      </c>
      <c r="W446" s="159">
        <f t="shared" si="45"/>
        <v>288.11</v>
      </c>
      <c r="X446" s="159">
        <f t="shared" si="46"/>
        <v>-5.4569999999999936</v>
      </c>
      <c r="Y446" s="159">
        <f t="shared" ca="1" si="42"/>
        <v>-9.327053436771962</v>
      </c>
      <c r="Z446" s="159">
        <f t="shared" ca="1" si="47"/>
        <v>-14.717576365048943</v>
      </c>
      <c r="AA446" s="161">
        <f t="shared" ca="1" si="48"/>
        <v>-1471.7576365048944</v>
      </c>
    </row>
    <row r="447" spans="5:27" x14ac:dyDescent="0.25">
      <c r="E447" s="142"/>
      <c r="F447" s="142"/>
      <c r="T447" s="165">
        <v>435</v>
      </c>
      <c r="U447" s="159">
        <f t="shared" si="43"/>
        <v>-70.108499999999992</v>
      </c>
      <c r="V447" s="159">
        <f t="shared" si="44"/>
        <v>-222.45849999999999</v>
      </c>
      <c r="W447" s="159">
        <f t="shared" si="45"/>
        <v>287.11</v>
      </c>
      <c r="X447" s="159">
        <f t="shared" si="46"/>
        <v>-5.4569999999999936</v>
      </c>
      <c r="Y447" s="159">
        <f t="shared" ca="1" si="42"/>
        <v>-9.327053436771962</v>
      </c>
      <c r="Z447" s="159">
        <f t="shared" ca="1" si="47"/>
        <v>-14.717576365048943</v>
      </c>
      <c r="AA447" s="161">
        <f t="shared" ca="1" si="48"/>
        <v>-1471.7576365048944</v>
      </c>
    </row>
    <row r="448" spans="5:27" x14ac:dyDescent="0.25">
      <c r="E448" s="142"/>
      <c r="F448" s="142"/>
      <c r="T448" s="165">
        <v>436</v>
      </c>
      <c r="U448" s="159">
        <f t="shared" si="43"/>
        <v>-70.108499999999992</v>
      </c>
      <c r="V448" s="159">
        <f t="shared" si="44"/>
        <v>-221.45849999999999</v>
      </c>
      <c r="W448" s="159">
        <f t="shared" si="45"/>
        <v>286.11</v>
      </c>
      <c r="X448" s="159">
        <f t="shared" si="46"/>
        <v>-5.4569999999999936</v>
      </c>
      <c r="Y448" s="159">
        <f t="shared" ca="1" si="42"/>
        <v>-9.327053436771962</v>
      </c>
      <c r="Z448" s="159">
        <f t="shared" ca="1" si="47"/>
        <v>-14.717576365048943</v>
      </c>
      <c r="AA448" s="161">
        <f t="shared" ca="1" si="48"/>
        <v>-1471.7576365048944</v>
      </c>
    </row>
    <row r="449" spans="5:27" x14ac:dyDescent="0.25">
      <c r="E449" s="142"/>
      <c r="F449" s="142"/>
      <c r="T449" s="165">
        <v>437</v>
      </c>
      <c r="U449" s="159">
        <f t="shared" si="43"/>
        <v>-70.108499999999992</v>
      </c>
      <c r="V449" s="159">
        <f t="shared" si="44"/>
        <v>-220.45849999999999</v>
      </c>
      <c r="W449" s="159">
        <f t="shared" si="45"/>
        <v>285.11</v>
      </c>
      <c r="X449" s="159">
        <f t="shared" si="46"/>
        <v>-5.4569999999999936</v>
      </c>
      <c r="Y449" s="159">
        <f t="shared" ca="1" si="42"/>
        <v>-9.327053436771962</v>
      </c>
      <c r="Z449" s="159">
        <f t="shared" ca="1" si="47"/>
        <v>-14.717576365048943</v>
      </c>
      <c r="AA449" s="161">
        <f t="shared" ca="1" si="48"/>
        <v>-1471.7576365048944</v>
      </c>
    </row>
    <row r="450" spans="5:27" x14ac:dyDescent="0.25">
      <c r="E450" s="142"/>
      <c r="F450" s="142"/>
      <c r="T450" s="165">
        <v>438</v>
      </c>
      <c r="U450" s="159">
        <f t="shared" si="43"/>
        <v>-70.108499999999992</v>
      </c>
      <c r="V450" s="159">
        <f t="shared" si="44"/>
        <v>-219.45849999999999</v>
      </c>
      <c r="W450" s="159">
        <f t="shared" si="45"/>
        <v>284.11</v>
      </c>
      <c r="X450" s="159">
        <f t="shared" si="46"/>
        <v>-5.4569999999999936</v>
      </c>
      <c r="Y450" s="159">
        <f t="shared" ca="1" si="42"/>
        <v>-9.327053436771962</v>
      </c>
      <c r="Z450" s="159">
        <f t="shared" ca="1" si="47"/>
        <v>-14.717576365048943</v>
      </c>
      <c r="AA450" s="161">
        <f t="shared" ca="1" si="48"/>
        <v>-1471.7576365048944</v>
      </c>
    </row>
    <row r="451" spans="5:27" x14ac:dyDescent="0.25">
      <c r="E451" s="142"/>
      <c r="F451" s="142"/>
      <c r="T451" s="165">
        <v>439</v>
      </c>
      <c r="U451" s="159">
        <f t="shared" si="43"/>
        <v>-70.108499999999992</v>
      </c>
      <c r="V451" s="159">
        <f t="shared" si="44"/>
        <v>-218.45849999999999</v>
      </c>
      <c r="W451" s="159">
        <f t="shared" si="45"/>
        <v>283.11</v>
      </c>
      <c r="X451" s="159">
        <f t="shared" si="46"/>
        <v>-5.4569999999999936</v>
      </c>
      <c r="Y451" s="159">
        <f t="shared" ca="1" si="42"/>
        <v>-9.327053436771962</v>
      </c>
      <c r="Z451" s="159">
        <f t="shared" ca="1" si="47"/>
        <v>-14.717576365048943</v>
      </c>
      <c r="AA451" s="161">
        <f t="shared" ca="1" si="48"/>
        <v>-1471.7576365048944</v>
      </c>
    </row>
    <row r="452" spans="5:27" x14ac:dyDescent="0.25">
      <c r="E452" s="142"/>
      <c r="F452" s="142"/>
      <c r="T452" s="165">
        <v>440</v>
      </c>
      <c r="U452" s="159">
        <f t="shared" si="43"/>
        <v>-70.108499999999992</v>
      </c>
      <c r="V452" s="159">
        <f t="shared" si="44"/>
        <v>-217.45849999999999</v>
      </c>
      <c r="W452" s="159">
        <f t="shared" si="45"/>
        <v>282.11</v>
      </c>
      <c r="X452" s="159">
        <f t="shared" si="46"/>
        <v>-5.4569999999999936</v>
      </c>
      <c r="Y452" s="159">
        <f t="shared" ca="1" si="42"/>
        <v>-9.327053436771962</v>
      </c>
      <c r="Z452" s="159">
        <f t="shared" ca="1" si="47"/>
        <v>-14.717576365048943</v>
      </c>
      <c r="AA452" s="161">
        <f t="shared" ca="1" si="48"/>
        <v>-1471.7576365048944</v>
      </c>
    </row>
    <row r="453" spans="5:27" x14ac:dyDescent="0.25">
      <c r="E453" s="142"/>
      <c r="F453" s="142"/>
      <c r="T453" s="165">
        <v>441</v>
      </c>
      <c r="U453" s="159">
        <f t="shared" si="43"/>
        <v>-70.108499999999992</v>
      </c>
      <c r="V453" s="159">
        <f t="shared" si="44"/>
        <v>-216.45849999999999</v>
      </c>
      <c r="W453" s="159">
        <f t="shared" si="45"/>
        <v>281.11</v>
      </c>
      <c r="X453" s="159">
        <f t="shared" si="46"/>
        <v>-5.4569999999999936</v>
      </c>
      <c r="Y453" s="159">
        <f t="shared" ca="1" si="42"/>
        <v>-9.327053436771962</v>
      </c>
      <c r="Z453" s="159">
        <f t="shared" ca="1" si="47"/>
        <v>-14.717576365048943</v>
      </c>
      <c r="AA453" s="161">
        <f t="shared" ca="1" si="48"/>
        <v>-1471.7576365048944</v>
      </c>
    </row>
    <row r="454" spans="5:27" x14ac:dyDescent="0.25">
      <c r="E454" s="142"/>
      <c r="F454" s="142"/>
      <c r="T454" s="165">
        <v>442</v>
      </c>
      <c r="U454" s="159">
        <f t="shared" si="43"/>
        <v>-70.108499999999992</v>
      </c>
      <c r="V454" s="159">
        <f t="shared" si="44"/>
        <v>-215.45849999999999</v>
      </c>
      <c r="W454" s="159">
        <f t="shared" si="45"/>
        <v>280.11</v>
      </c>
      <c r="X454" s="159">
        <f t="shared" si="46"/>
        <v>-5.4569999999999936</v>
      </c>
      <c r="Y454" s="159">
        <f t="shared" ca="1" si="42"/>
        <v>-9.327053436771962</v>
      </c>
      <c r="Z454" s="159">
        <f t="shared" ca="1" si="47"/>
        <v>-14.717576365048943</v>
      </c>
      <c r="AA454" s="161">
        <f t="shared" ca="1" si="48"/>
        <v>-1471.7576365048944</v>
      </c>
    </row>
    <row r="455" spans="5:27" x14ac:dyDescent="0.25">
      <c r="E455" s="142"/>
      <c r="F455" s="142"/>
      <c r="T455" s="165">
        <v>443</v>
      </c>
      <c r="U455" s="159">
        <f t="shared" si="43"/>
        <v>-70.108499999999992</v>
      </c>
      <c r="V455" s="159">
        <f t="shared" si="44"/>
        <v>-214.45849999999999</v>
      </c>
      <c r="W455" s="159">
        <f t="shared" si="45"/>
        <v>279.11</v>
      </c>
      <c r="X455" s="159">
        <f t="shared" si="46"/>
        <v>-5.4569999999999936</v>
      </c>
      <c r="Y455" s="159">
        <f t="shared" ca="1" si="42"/>
        <v>-9.327053436771962</v>
      </c>
      <c r="Z455" s="159">
        <f t="shared" ca="1" si="47"/>
        <v>-14.717576365048943</v>
      </c>
      <c r="AA455" s="161">
        <f t="shared" ca="1" si="48"/>
        <v>-1471.7576365048944</v>
      </c>
    </row>
    <row r="456" spans="5:27" x14ac:dyDescent="0.25">
      <c r="E456" s="142"/>
      <c r="F456" s="142"/>
      <c r="T456" s="165">
        <v>444</v>
      </c>
      <c r="U456" s="159">
        <f t="shared" si="43"/>
        <v>-70.108499999999992</v>
      </c>
      <c r="V456" s="159">
        <f t="shared" si="44"/>
        <v>-213.45849999999999</v>
      </c>
      <c r="W456" s="159">
        <f t="shared" si="45"/>
        <v>278.11</v>
      </c>
      <c r="X456" s="159">
        <f t="shared" si="46"/>
        <v>-5.4569999999999936</v>
      </c>
      <c r="Y456" s="159">
        <f t="shared" ca="1" si="42"/>
        <v>-9.327053436771962</v>
      </c>
      <c r="Z456" s="159">
        <f t="shared" ca="1" si="47"/>
        <v>-14.717576365048943</v>
      </c>
      <c r="AA456" s="161">
        <f t="shared" ca="1" si="48"/>
        <v>-1471.7576365048944</v>
      </c>
    </row>
    <row r="457" spans="5:27" x14ac:dyDescent="0.25">
      <c r="E457" s="142"/>
      <c r="F457" s="142"/>
      <c r="T457" s="165">
        <v>445</v>
      </c>
      <c r="U457" s="159">
        <f t="shared" si="43"/>
        <v>-70.108499999999992</v>
      </c>
      <c r="V457" s="159">
        <f t="shared" si="44"/>
        <v>-212.45849999999999</v>
      </c>
      <c r="W457" s="159">
        <f t="shared" si="45"/>
        <v>277.11</v>
      </c>
      <c r="X457" s="159">
        <f t="shared" si="46"/>
        <v>-5.4569999999999936</v>
      </c>
      <c r="Y457" s="159">
        <f t="shared" ca="1" si="42"/>
        <v>-9.327053436771962</v>
      </c>
      <c r="Z457" s="159">
        <f t="shared" ca="1" si="47"/>
        <v>-14.717576365048943</v>
      </c>
      <c r="AA457" s="161">
        <f t="shared" ca="1" si="48"/>
        <v>-1471.7576365048944</v>
      </c>
    </row>
    <row r="458" spans="5:27" x14ac:dyDescent="0.25">
      <c r="E458" s="142"/>
      <c r="F458" s="142"/>
      <c r="T458" s="165">
        <v>446</v>
      </c>
      <c r="U458" s="159">
        <f t="shared" si="43"/>
        <v>-70.108499999999992</v>
      </c>
      <c r="V458" s="159">
        <f t="shared" si="44"/>
        <v>-211.45849999999999</v>
      </c>
      <c r="W458" s="159">
        <f t="shared" si="45"/>
        <v>276.11</v>
      </c>
      <c r="X458" s="159">
        <f t="shared" si="46"/>
        <v>-5.4569999999999936</v>
      </c>
      <c r="Y458" s="159">
        <f t="shared" ca="1" si="42"/>
        <v>-9.327053436771962</v>
      </c>
      <c r="Z458" s="159">
        <f t="shared" ca="1" si="47"/>
        <v>-14.717576365048943</v>
      </c>
      <c r="AA458" s="161">
        <f t="shared" ca="1" si="48"/>
        <v>-1471.7576365048944</v>
      </c>
    </row>
    <row r="459" spans="5:27" x14ac:dyDescent="0.25">
      <c r="E459" s="142"/>
      <c r="F459" s="142"/>
      <c r="T459" s="165">
        <v>447</v>
      </c>
      <c r="U459" s="159">
        <f t="shared" si="43"/>
        <v>-70.108499999999992</v>
      </c>
      <c r="V459" s="159">
        <f t="shared" si="44"/>
        <v>-210.45849999999999</v>
      </c>
      <c r="W459" s="159">
        <f t="shared" si="45"/>
        <v>275.11</v>
      </c>
      <c r="X459" s="159">
        <f t="shared" si="46"/>
        <v>-5.4569999999999936</v>
      </c>
      <c r="Y459" s="159">
        <f t="shared" ca="1" si="42"/>
        <v>-9.327053436771962</v>
      </c>
      <c r="Z459" s="159">
        <f t="shared" ca="1" si="47"/>
        <v>-14.717576365048943</v>
      </c>
      <c r="AA459" s="161">
        <f t="shared" ca="1" si="48"/>
        <v>-1471.7576365048944</v>
      </c>
    </row>
    <row r="460" spans="5:27" x14ac:dyDescent="0.25">
      <c r="E460" s="142"/>
      <c r="F460" s="142"/>
      <c r="T460" s="165">
        <v>448</v>
      </c>
      <c r="U460" s="159">
        <f t="shared" si="43"/>
        <v>-70.108499999999992</v>
      </c>
      <c r="V460" s="159">
        <f t="shared" si="44"/>
        <v>-209.45849999999999</v>
      </c>
      <c r="W460" s="159">
        <f t="shared" si="45"/>
        <v>274.11</v>
      </c>
      <c r="X460" s="159">
        <f t="shared" si="46"/>
        <v>-5.4569999999999936</v>
      </c>
      <c r="Y460" s="159">
        <f t="shared" ref="Y460:Y523" ca="1" si="49">$Y$10*EXP($Y$7*$C$6)-$Y$10</f>
        <v>-9.327053436771962</v>
      </c>
      <c r="Z460" s="159">
        <f t="shared" ca="1" si="47"/>
        <v>-14.717576365048943</v>
      </c>
      <c r="AA460" s="161">
        <f t="shared" ca="1" si="48"/>
        <v>-1471.7576365048944</v>
      </c>
    </row>
    <row r="461" spans="5:27" x14ac:dyDescent="0.25">
      <c r="E461" s="142"/>
      <c r="F461" s="142"/>
      <c r="T461" s="165">
        <v>449</v>
      </c>
      <c r="U461" s="159">
        <f t="shared" ref="U461:U524" si="50">MAX(0,T461-$U$9)-$U$10-$U$11/100</f>
        <v>-70.108499999999992</v>
      </c>
      <c r="V461" s="159">
        <f t="shared" ref="V461:V524" si="51">$V$10-MAX(0,$V$9-T461)-$V$11/100</f>
        <v>-208.45849999999999</v>
      </c>
      <c r="W461" s="159">
        <f t="shared" ref="W461:W524" si="52">$W$10-T461</f>
        <v>273.11</v>
      </c>
      <c r="X461" s="159">
        <f t="shared" ref="X461:X524" si="53">SUM(U461:W461)</f>
        <v>-5.4569999999999936</v>
      </c>
      <c r="Y461" s="159">
        <f t="shared" ca="1" si="49"/>
        <v>-9.327053436771962</v>
      </c>
      <c r="Z461" s="159">
        <f t="shared" ref="Z461:Z524" ca="1" si="54">EXP(-$E$3*$C$6)*SUM(X461:Y461)</f>
        <v>-14.717576365048943</v>
      </c>
      <c r="AA461" s="161">
        <f t="shared" ref="AA461:AA524" ca="1" si="55">Z461*100</f>
        <v>-1471.7576365048944</v>
      </c>
    </row>
    <row r="462" spans="5:27" x14ac:dyDescent="0.25">
      <c r="E462" s="142"/>
      <c r="F462" s="142"/>
      <c r="T462" s="165">
        <v>450</v>
      </c>
      <c r="U462" s="159">
        <f t="shared" si="50"/>
        <v>-70.108499999999992</v>
      </c>
      <c r="V462" s="159">
        <f t="shared" si="51"/>
        <v>-207.45849999999999</v>
      </c>
      <c r="W462" s="159">
        <f t="shared" si="52"/>
        <v>272.11</v>
      </c>
      <c r="X462" s="159">
        <f t="shared" si="53"/>
        <v>-5.4569999999999936</v>
      </c>
      <c r="Y462" s="159">
        <f t="shared" ca="1" si="49"/>
        <v>-9.327053436771962</v>
      </c>
      <c r="Z462" s="159">
        <f t="shared" ca="1" si="54"/>
        <v>-14.717576365048943</v>
      </c>
      <c r="AA462" s="161">
        <f t="shared" ca="1" si="55"/>
        <v>-1471.7576365048944</v>
      </c>
    </row>
    <row r="463" spans="5:27" x14ac:dyDescent="0.25">
      <c r="E463" s="142"/>
      <c r="F463" s="142"/>
      <c r="T463" s="165">
        <v>451</v>
      </c>
      <c r="U463" s="159">
        <f t="shared" si="50"/>
        <v>-70.108499999999992</v>
      </c>
      <c r="V463" s="159">
        <f t="shared" si="51"/>
        <v>-206.45849999999999</v>
      </c>
      <c r="W463" s="159">
        <f t="shared" si="52"/>
        <v>271.11</v>
      </c>
      <c r="X463" s="159">
        <f t="shared" si="53"/>
        <v>-5.4569999999999936</v>
      </c>
      <c r="Y463" s="159">
        <f t="shared" ca="1" si="49"/>
        <v>-9.327053436771962</v>
      </c>
      <c r="Z463" s="159">
        <f t="shared" ca="1" si="54"/>
        <v>-14.717576365048943</v>
      </c>
      <c r="AA463" s="161">
        <f t="shared" ca="1" si="55"/>
        <v>-1471.7576365048944</v>
      </c>
    </row>
    <row r="464" spans="5:27" x14ac:dyDescent="0.25">
      <c r="E464" s="142"/>
      <c r="F464" s="142"/>
      <c r="T464" s="165">
        <v>452</v>
      </c>
      <c r="U464" s="159">
        <f t="shared" si="50"/>
        <v>-70.108499999999992</v>
      </c>
      <c r="V464" s="159">
        <f t="shared" si="51"/>
        <v>-205.45849999999999</v>
      </c>
      <c r="W464" s="159">
        <f t="shared" si="52"/>
        <v>270.11</v>
      </c>
      <c r="X464" s="159">
        <f t="shared" si="53"/>
        <v>-5.4569999999999936</v>
      </c>
      <c r="Y464" s="159">
        <f t="shared" ca="1" si="49"/>
        <v>-9.327053436771962</v>
      </c>
      <c r="Z464" s="159">
        <f t="shared" ca="1" si="54"/>
        <v>-14.717576365048943</v>
      </c>
      <c r="AA464" s="161">
        <f t="shared" ca="1" si="55"/>
        <v>-1471.7576365048944</v>
      </c>
    </row>
    <row r="465" spans="5:27" x14ac:dyDescent="0.25">
      <c r="E465" s="142"/>
      <c r="F465" s="142"/>
      <c r="T465" s="165">
        <v>453</v>
      </c>
      <c r="U465" s="159">
        <f t="shared" si="50"/>
        <v>-70.108499999999992</v>
      </c>
      <c r="V465" s="159">
        <f t="shared" si="51"/>
        <v>-204.45849999999999</v>
      </c>
      <c r="W465" s="159">
        <f t="shared" si="52"/>
        <v>269.11</v>
      </c>
      <c r="X465" s="159">
        <f t="shared" si="53"/>
        <v>-5.4569999999999936</v>
      </c>
      <c r="Y465" s="159">
        <f t="shared" ca="1" si="49"/>
        <v>-9.327053436771962</v>
      </c>
      <c r="Z465" s="159">
        <f t="shared" ca="1" si="54"/>
        <v>-14.717576365048943</v>
      </c>
      <c r="AA465" s="161">
        <f t="shared" ca="1" si="55"/>
        <v>-1471.7576365048944</v>
      </c>
    </row>
    <row r="466" spans="5:27" x14ac:dyDescent="0.25">
      <c r="E466" s="142"/>
      <c r="F466" s="142"/>
      <c r="T466" s="165">
        <v>454</v>
      </c>
      <c r="U466" s="159">
        <f t="shared" si="50"/>
        <v>-70.108499999999992</v>
      </c>
      <c r="V466" s="159">
        <f t="shared" si="51"/>
        <v>-203.45849999999999</v>
      </c>
      <c r="W466" s="159">
        <f t="shared" si="52"/>
        <v>268.11</v>
      </c>
      <c r="X466" s="159">
        <f t="shared" si="53"/>
        <v>-5.4569999999999936</v>
      </c>
      <c r="Y466" s="159">
        <f t="shared" ca="1" si="49"/>
        <v>-9.327053436771962</v>
      </c>
      <c r="Z466" s="159">
        <f t="shared" ca="1" si="54"/>
        <v>-14.717576365048943</v>
      </c>
      <c r="AA466" s="161">
        <f t="shared" ca="1" si="55"/>
        <v>-1471.7576365048944</v>
      </c>
    </row>
    <row r="467" spans="5:27" x14ac:dyDescent="0.25">
      <c r="E467" s="142"/>
      <c r="F467" s="142"/>
      <c r="T467" s="165">
        <v>455</v>
      </c>
      <c r="U467" s="159">
        <f t="shared" si="50"/>
        <v>-70.108499999999992</v>
      </c>
      <c r="V467" s="159">
        <f t="shared" si="51"/>
        <v>-202.45849999999999</v>
      </c>
      <c r="W467" s="159">
        <f t="shared" si="52"/>
        <v>267.11</v>
      </c>
      <c r="X467" s="159">
        <f t="shared" si="53"/>
        <v>-5.4569999999999936</v>
      </c>
      <c r="Y467" s="159">
        <f t="shared" ca="1" si="49"/>
        <v>-9.327053436771962</v>
      </c>
      <c r="Z467" s="159">
        <f t="shared" ca="1" si="54"/>
        <v>-14.717576365048943</v>
      </c>
      <c r="AA467" s="161">
        <f t="shared" ca="1" si="55"/>
        <v>-1471.7576365048944</v>
      </c>
    </row>
    <row r="468" spans="5:27" x14ac:dyDescent="0.25">
      <c r="E468" s="142"/>
      <c r="F468" s="142"/>
      <c r="T468" s="165">
        <v>456</v>
      </c>
      <c r="U468" s="159">
        <f t="shared" si="50"/>
        <v>-70.108499999999992</v>
      </c>
      <c r="V468" s="159">
        <f t="shared" si="51"/>
        <v>-201.45849999999999</v>
      </c>
      <c r="W468" s="159">
        <f t="shared" si="52"/>
        <v>266.11</v>
      </c>
      <c r="X468" s="159">
        <f t="shared" si="53"/>
        <v>-5.4569999999999936</v>
      </c>
      <c r="Y468" s="159">
        <f t="shared" ca="1" si="49"/>
        <v>-9.327053436771962</v>
      </c>
      <c r="Z468" s="159">
        <f t="shared" ca="1" si="54"/>
        <v>-14.717576365048943</v>
      </c>
      <c r="AA468" s="161">
        <f t="shared" ca="1" si="55"/>
        <v>-1471.7576365048944</v>
      </c>
    </row>
    <row r="469" spans="5:27" x14ac:dyDescent="0.25">
      <c r="E469" s="142"/>
      <c r="F469" s="142"/>
      <c r="T469" s="165">
        <v>457</v>
      </c>
      <c r="U469" s="159">
        <f t="shared" si="50"/>
        <v>-70.108499999999992</v>
      </c>
      <c r="V469" s="159">
        <f t="shared" si="51"/>
        <v>-200.45849999999999</v>
      </c>
      <c r="W469" s="159">
        <f t="shared" si="52"/>
        <v>265.11</v>
      </c>
      <c r="X469" s="159">
        <f t="shared" si="53"/>
        <v>-5.4569999999999936</v>
      </c>
      <c r="Y469" s="159">
        <f t="shared" ca="1" si="49"/>
        <v>-9.327053436771962</v>
      </c>
      <c r="Z469" s="159">
        <f t="shared" ca="1" si="54"/>
        <v>-14.717576365048943</v>
      </c>
      <c r="AA469" s="161">
        <f t="shared" ca="1" si="55"/>
        <v>-1471.7576365048944</v>
      </c>
    </row>
    <row r="470" spans="5:27" x14ac:dyDescent="0.25">
      <c r="E470" s="142"/>
      <c r="F470" s="142"/>
      <c r="T470" s="165">
        <v>458</v>
      </c>
      <c r="U470" s="159">
        <f t="shared" si="50"/>
        <v>-70.108499999999992</v>
      </c>
      <c r="V470" s="159">
        <f t="shared" si="51"/>
        <v>-199.45849999999999</v>
      </c>
      <c r="W470" s="159">
        <f t="shared" si="52"/>
        <v>264.11</v>
      </c>
      <c r="X470" s="159">
        <f t="shared" si="53"/>
        <v>-5.4569999999999936</v>
      </c>
      <c r="Y470" s="159">
        <f t="shared" ca="1" si="49"/>
        <v>-9.327053436771962</v>
      </c>
      <c r="Z470" s="159">
        <f t="shared" ca="1" si="54"/>
        <v>-14.717576365048943</v>
      </c>
      <c r="AA470" s="161">
        <f t="shared" ca="1" si="55"/>
        <v>-1471.7576365048944</v>
      </c>
    </row>
    <row r="471" spans="5:27" x14ac:dyDescent="0.25">
      <c r="E471" s="142"/>
      <c r="F471" s="142"/>
      <c r="T471" s="165">
        <v>459</v>
      </c>
      <c r="U471" s="159">
        <f t="shared" si="50"/>
        <v>-70.108499999999992</v>
      </c>
      <c r="V471" s="159">
        <f t="shared" si="51"/>
        <v>-198.45849999999999</v>
      </c>
      <c r="W471" s="159">
        <f t="shared" si="52"/>
        <v>263.11</v>
      </c>
      <c r="X471" s="159">
        <f t="shared" si="53"/>
        <v>-5.4569999999999936</v>
      </c>
      <c r="Y471" s="159">
        <f t="shared" ca="1" si="49"/>
        <v>-9.327053436771962</v>
      </c>
      <c r="Z471" s="159">
        <f t="shared" ca="1" si="54"/>
        <v>-14.717576365048943</v>
      </c>
      <c r="AA471" s="161">
        <f t="shared" ca="1" si="55"/>
        <v>-1471.7576365048944</v>
      </c>
    </row>
    <row r="472" spans="5:27" x14ac:dyDescent="0.25">
      <c r="E472" s="142"/>
      <c r="F472" s="142"/>
      <c r="T472" s="165">
        <v>460</v>
      </c>
      <c r="U472" s="159">
        <f t="shared" si="50"/>
        <v>-70.108499999999992</v>
      </c>
      <c r="V472" s="159">
        <f t="shared" si="51"/>
        <v>-197.45849999999999</v>
      </c>
      <c r="W472" s="159">
        <f t="shared" si="52"/>
        <v>262.11</v>
      </c>
      <c r="X472" s="159">
        <f t="shared" si="53"/>
        <v>-5.4569999999999936</v>
      </c>
      <c r="Y472" s="159">
        <f t="shared" ca="1" si="49"/>
        <v>-9.327053436771962</v>
      </c>
      <c r="Z472" s="159">
        <f t="shared" ca="1" si="54"/>
        <v>-14.717576365048943</v>
      </c>
      <c r="AA472" s="161">
        <f t="shared" ca="1" si="55"/>
        <v>-1471.7576365048944</v>
      </c>
    </row>
    <row r="473" spans="5:27" x14ac:dyDescent="0.25">
      <c r="E473" s="142"/>
      <c r="F473" s="142"/>
      <c r="T473" s="165">
        <v>461</v>
      </c>
      <c r="U473" s="159">
        <f t="shared" si="50"/>
        <v>-70.108499999999992</v>
      </c>
      <c r="V473" s="159">
        <f t="shared" si="51"/>
        <v>-196.45849999999999</v>
      </c>
      <c r="W473" s="159">
        <f t="shared" si="52"/>
        <v>261.11</v>
      </c>
      <c r="X473" s="159">
        <f t="shared" si="53"/>
        <v>-5.4569999999999936</v>
      </c>
      <c r="Y473" s="159">
        <f t="shared" ca="1" si="49"/>
        <v>-9.327053436771962</v>
      </c>
      <c r="Z473" s="159">
        <f t="shared" ca="1" si="54"/>
        <v>-14.717576365048943</v>
      </c>
      <c r="AA473" s="161">
        <f t="shared" ca="1" si="55"/>
        <v>-1471.7576365048944</v>
      </c>
    </row>
    <row r="474" spans="5:27" x14ac:dyDescent="0.25">
      <c r="E474" s="142"/>
      <c r="F474" s="142"/>
      <c r="T474" s="165">
        <v>462</v>
      </c>
      <c r="U474" s="159">
        <f t="shared" si="50"/>
        <v>-70.108499999999992</v>
      </c>
      <c r="V474" s="159">
        <f t="shared" si="51"/>
        <v>-195.45849999999999</v>
      </c>
      <c r="W474" s="159">
        <f t="shared" si="52"/>
        <v>260.11</v>
      </c>
      <c r="X474" s="159">
        <f t="shared" si="53"/>
        <v>-5.4569999999999936</v>
      </c>
      <c r="Y474" s="159">
        <f t="shared" ca="1" si="49"/>
        <v>-9.327053436771962</v>
      </c>
      <c r="Z474" s="159">
        <f t="shared" ca="1" si="54"/>
        <v>-14.717576365048943</v>
      </c>
      <c r="AA474" s="161">
        <f t="shared" ca="1" si="55"/>
        <v>-1471.7576365048944</v>
      </c>
    </row>
    <row r="475" spans="5:27" x14ac:dyDescent="0.25">
      <c r="E475" s="142"/>
      <c r="F475" s="142"/>
      <c r="T475" s="165">
        <v>463</v>
      </c>
      <c r="U475" s="159">
        <f t="shared" si="50"/>
        <v>-70.108499999999992</v>
      </c>
      <c r="V475" s="159">
        <f t="shared" si="51"/>
        <v>-194.45849999999999</v>
      </c>
      <c r="W475" s="159">
        <f t="shared" si="52"/>
        <v>259.11</v>
      </c>
      <c r="X475" s="159">
        <f t="shared" si="53"/>
        <v>-5.4569999999999936</v>
      </c>
      <c r="Y475" s="159">
        <f t="shared" ca="1" si="49"/>
        <v>-9.327053436771962</v>
      </c>
      <c r="Z475" s="159">
        <f t="shared" ca="1" si="54"/>
        <v>-14.717576365048943</v>
      </c>
      <c r="AA475" s="161">
        <f t="shared" ca="1" si="55"/>
        <v>-1471.7576365048944</v>
      </c>
    </row>
    <row r="476" spans="5:27" x14ac:dyDescent="0.25">
      <c r="E476" s="142"/>
      <c r="F476" s="142"/>
      <c r="T476" s="165">
        <v>464</v>
      </c>
      <c r="U476" s="159">
        <f t="shared" si="50"/>
        <v>-70.108499999999992</v>
      </c>
      <c r="V476" s="159">
        <f t="shared" si="51"/>
        <v>-193.45849999999999</v>
      </c>
      <c r="W476" s="159">
        <f t="shared" si="52"/>
        <v>258.11</v>
      </c>
      <c r="X476" s="159">
        <f t="shared" si="53"/>
        <v>-5.4569999999999936</v>
      </c>
      <c r="Y476" s="159">
        <f t="shared" ca="1" si="49"/>
        <v>-9.327053436771962</v>
      </c>
      <c r="Z476" s="159">
        <f t="shared" ca="1" si="54"/>
        <v>-14.717576365048943</v>
      </c>
      <c r="AA476" s="161">
        <f t="shared" ca="1" si="55"/>
        <v>-1471.7576365048944</v>
      </c>
    </row>
    <row r="477" spans="5:27" x14ac:dyDescent="0.25">
      <c r="E477" s="142"/>
      <c r="F477" s="142"/>
      <c r="T477" s="165">
        <v>465</v>
      </c>
      <c r="U477" s="159">
        <f t="shared" si="50"/>
        <v>-70.108499999999992</v>
      </c>
      <c r="V477" s="159">
        <f t="shared" si="51"/>
        <v>-192.45849999999999</v>
      </c>
      <c r="W477" s="159">
        <f t="shared" si="52"/>
        <v>257.11</v>
      </c>
      <c r="X477" s="159">
        <f t="shared" si="53"/>
        <v>-5.4569999999999936</v>
      </c>
      <c r="Y477" s="159">
        <f t="shared" ca="1" si="49"/>
        <v>-9.327053436771962</v>
      </c>
      <c r="Z477" s="159">
        <f t="shared" ca="1" si="54"/>
        <v>-14.717576365048943</v>
      </c>
      <c r="AA477" s="161">
        <f t="shared" ca="1" si="55"/>
        <v>-1471.7576365048944</v>
      </c>
    </row>
    <row r="478" spans="5:27" x14ac:dyDescent="0.25">
      <c r="E478" s="142"/>
      <c r="F478" s="142"/>
      <c r="T478" s="165">
        <v>466</v>
      </c>
      <c r="U478" s="159">
        <f t="shared" si="50"/>
        <v>-70.108499999999992</v>
      </c>
      <c r="V478" s="159">
        <f t="shared" si="51"/>
        <v>-191.45849999999999</v>
      </c>
      <c r="W478" s="159">
        <f t="shared" si="52"/>
        <v>256.11</v>
      </c>
      <c r="X478" s="159">
        <f t="shared" si="53"/>
        <v>-5.4569999999999936</v>
      </c>
      <c r="Y478" s="159">
        <f t="shared" ca="1" si="49"/>
        <v>-9.327053436771962</v>
      </c>
      <c r="Z478" s="159">
        <f t="shared" ca="1" si="54"/>
        <v>-14.717576365048943</v>
      </c>
      <c r="AA478" s="161">
        <f t="shared" ca="1" si="55"/>
        <v>-1471.7576365048944</v>
      </c>
    </row>
    <row r="479" spans="5:27" x14ac:dyDescent="0.25">
      <c r="E479" s="142"/>
      <c r="F479" s="142"/>
      <c r="T479" s="165">
        <v>467</v>
      </c>
      <c r="U479" s="159">
        <f t="shared" si="50"/>
        <v>-70.108499999999992</v>
      </c>
      <c r="V479" s="159">
        <f t="shared" si="51"/>
        <v>-190.45849999999999</v>
      </c>
      <c r="W479" s="159">
        <f t="shared" si="52"/>
        <v>255.11</v>
      </c>
      <c r="X479" s="159">
        <f t="shared" si="53"/>
        <v>-5.4569999999999936</v>
      </c>
      <c r="Y479" s="159">
        <f t="shared" ca="1" si="49"/>
        <v>-9.327053436771962</v>
      </c>
      <c r="Z479" s="159">
        <f t="shared" ca="1" si="54"/>
        <v>-14.717576365048943</v>
      </c>
      <c r="AA479" s="161">
        <f t="shared" ca="1" si="55"/>
        <v>-1471.7576365048944</v>
      </c>
    </row>
    <row r="480" spans="5:27" x14ac:dyDescent="0.25">
      <c r="E480" s="142"/>
      <c r="F480" s="142"/>
      <c r="T480" s="165">
        <v>468</v>
      </c>
      <c r="U480" s="159">
        <f t="shared" si="50"/>
        <v>-70.108499999999992</v>
      </c>
      <c r="V480" s="159">
        <f t="shared" si="51"/>
        <v>-189.45849999999999</v>
      </c>
      <c r="W480" s="159">
        <f t="shared" si="52"/>
        <v>254.11</v>
      </c>
      <c r="X480" s="159">
        <f t="shared" si="53"/>
        <v>-5.4569999999999936</v>
      </c>
      <c r="Y480" s="159">
        <f t="shared" ca="1" si="49"/>
        <v>-9.327053436771962</v>
      </c>
      <c r="Z480" s="159">
        <f t="shared" ca="1" si="54"/>
        <v>-14.717576365048943</v>
      </c>
      <c r="AA480" s="161">
        <f t="shared" ca="1" si="55"/>
        <v>-1471.7576365048944</v>
      </c>
    </row>
    <row r="481" spans="5:27" x14ac:dyDescent="0.25">
      <c r="E481" s="142"/>
      <c r="F481" s="142"/>
      <c r="T481" s="165">
        <v>469</v>
      </c>
      <c r="U481" s="159">
        <f t="shared" si="50"/>
        <v>-70.108499999999992</v>
      </c>
      <c r="V481" s="159">
        <f t="shared" si="51"/>
        <v>-188.45849999999999</v>
      </c>
      <c r="W481" s="159">
        <f t="shared" si="52"/>
        <v>253.11</v>
      </c>
      <c r="X481" s="159">
        <f t="shared" si="53"/>
        <v>-5.4569999999999936</v>
      </c>
      <c r="Y481" s="159">
        <f t="shared" ca="1" si="49"/>
        <v>-9.327053436771962</v>
      </c>
      <c r="Z481" s="159">
        <f t="shared" ca="1" si="54"/>
        <v>-14.717576365048943</v>
      </c>
      <c r="AA481" s="161">
        <f t="shared" ca="1" si="55"/>
        <v>-1471.7576365048944</v>
      </c>
    </row>
    <row r="482" spans="5:27" x14ac:dyDescent="0.25">
      <c r="E482" s="142"/>
      <c r="F482" s="142"/>
      <c r="T482" s="165">
        <v>470</v>
      </c>
      <c r="U482" s="159">
        <f t="shared" si="50"/>
        <v>-70.108499999999992</v>
      </c>
      <c r="V482" s="159">
        <f t="shared" si="51"/>
        <v>-187.45849999999999</v>
      </c>
      <c r="W482" s="159">
        <f t="shared" si="52"/>
        <v>252.11</v>
      </c>
      <c r="X482" s="159">
        <f t="shared" si="53"/>
        <v>-5.4569999999999936</v>
      </c>
      <c r="Y482" s="159">
        <f t="shared" ca="1" si="49"/>
        <v>-9.327053436771962</v>
      </c>
      <c r="Z482" s="159">
        <f t="shared" ca="1" si="54"/>
        <v>-14.717576365048943</v>
      </c>
      <c r="AA482" s="161">
        <f t="shared" ca="1" si="55"/>
        <v>-1471.7576365048944</v>
      </c>
    </row>
    <row r="483" spans="5:27" x14ac:dyDescent="0.25">
      <c r="E483" s="142"/>
      <c r="F483" s="142"/>
      <c r="T483" s="165">
        <v>471</v>
      </c>
      <c r="U483" s="159">
        <f t="shared" si="50"/>
        <v>-70.108499999999992</v>
      </c>
      <c r="V483" s="159">
        <f t="shared" si="51"/>
        <v>-186.45849999999999</v>
      </c>
      <c r="W483" s="159">
        <f t="shared" si="52"/>
        <v>251.11</v>
      </c>
      <c r="X483" s="159">
        <f t="shared" si="53"/>
        <v>-5.4569999999999936</v>
      </c>
      <c r="Y483" s="159">
        <f t="shared" ca="1" si="49"/>
        <v>-9.327053436771962</v>
      </c>
      <c r="Z483" s="159">
        <f t="shared" ca="1" si="54"/>
        <v>-14.717576365048943</v>
      </c>
      <c r="AA483" s="161">
        <f t="shared" ca="1" si="55"/>
        <v>-1471.7576365048944</v>
      </c>
    </row>
    <row r="484" spans="5:27" x14ac:dyDescent="0.25">
      <c r="E484" s="142"/>
      <c r="F484" s="142"/>
      <c r="T484" s="165">
        <v>472</v>
      </c>
      <c r="U484" s="159">
        <f t="shared" si="50"/>
        <v>-70.108499999999992</v>
      </c>
      <c r="V484" s="159">
        <f t="shared" si="51"/>
        <v>-185.45849999999999</v>
      </c>
      <c r="W484" s="159">
        <f t="shared" si="52"/>
        <v>250.11</v>
      </c>
      <c r="X484" s="159">
        <f t="shared" si="53"/>
        <v>-5.4569999999999652</v>
      </c>
      <c r="Y484" s="159">
        <f t="shared" ca="1" si="49"/>
        <v>-9.327053436771962</v>
      </c>
      <c r="Z484" s="159">
        <f t="shared" ca="1" si="54"/>
        <v>-14.717576365048915</v>
      </c>
      <c r="AA484" s="161">
        <f t="shared" ca="1" si="55"/>
        <v>-1471.7576365048915</v>
      </c>
    </row>
    <row r="485" spans="5:27" x14ac:dyDescent="0.25">
      <c r="E485" s="142"/>
      <c r="F485" s="142"/>
      <c r="T485" s="165">
        <v>473</v>
      </c>
      <c r="U485" s="159">
        <f t="shared" si="50"/>
        <v>-70.108499999999992</v>
      </c>
      <c r="V485" s="159">
        <f t="shared" si="51"/>
        <v>-184.45849999999999</v>
      </c>
      <c r="W485" s="159">
        <f t="shared" si="52"/>
        <v>249.11</v>
      </c>
      <c r="X485" s="159">
        <f t="shared" si="53"/>
        <v>-5.4569999999999652</v>
      </c>
      <c r="Y485" s="159">
        <f t="shared" ca="1" si="49"/>
        <v>-9.327053436771962</v>
      </c>
      <c r="Z485" s="159">
        <f t="shared" ca="1" si="54"/>
        <v>-14.717576365048915</v>
      </c>
      <c r="AA485" s="161">
        <f t="shared" ca="1" si="55"/>
        <v>-1471.7576365048915</v>
      </c>
    </row>
    <row r="486" spans="5:27" x14ac:dyDescent="0.25">
      <c r="E486" s="142"/>
      <c r="F486" s="142"/>
      <c r="T486" s="165">
        <v>474</v>
      </c>
      <c r="U486" s="159">
        <f t="shared" si="50"/>
        <v>-70.108499999999992</v>
      </c>
      <c r="V486" s="159">
        <f t="shared" si="51"/>
        <v>-183.45849999999999</v>
      </c>
      <c r="W486" s="159">
        <f t="shared" si="52"/>
        <v>248.11</v>
      </c>
      <c r="X486" s="159">
        <f t="shared" si="53"/>
        <v>-5.4569999999999652</v>
      </c>
      <c r="Y486" s="159">
        <f t="shared" ca="1" si="49"/>
        <v>-9.327053436771962</v>
      </c>
      <c r="Z486" s="159">
        <f t="shared" ca="1" si="54"/>
        <v>-14.717576365048915</v>
      </c>
      <c r="AA486" s="161">
        <f t="shared" ca="1" si="55"/>
        <v>-1471.7576365048915</v>
      </c>
    </row>
    <row r="487" spans="5:27" x14ac:dyDescent="0.25">
      <c r="E487" s="142"/>
      <c r="F487" s="142"/>
      <c r="T487" s="165">
        <v>475</v>
      </c>
      <c r="U487" s="159">
        <f t="shared" si="50"/>
        <v>-70.108499999999992</v>
      </c>
      <c r="V487" s="159">
        <f t="shared" si="51"/>
        <v>-182.45849999999999</v>
      </c>
      <c r="W487" s="159">
        <f t="shared" si="52"/>
        <v>247.11</v>
      </c>
      <c r="X487" s="159">
        <f t="shared" si="53"/>
        <v>-5.4569999999999652</v>
      </c>
      <c r="Y487" s="159">
        <f t="shared" ca="1" si="49"/>
        <v>-9.327053436771962</v>
      </c>
      <c r="Z487" s="159">
        <f t="shared" ca="1" si="54"/>
        <v>-14.717576365048915</v>
      </c>
      <c r="AA487" s="161">
        <f t="shared" ca="1" si="55"/>
        <v>-1471.7576365048915</v>
      </c>
    </row>
    <row r="488" spans="5:27" x14ac:dyDescent="0.25">
      <c r="E488" s="142"/>
      <c r="F488" s="142"/>
      <c r="T488" s="165">
        <v>476</v>
      </c>
      <c r="U488" s="159">
        <f t="shared" si="50"/>
        <v>-70.108499999999992</v>
      </c>
      <c r="V488" s="159">
        <f t="shared" si="51"/>
        <v>-181.45849999999999</v>
      </c>
      <c r="W488" s="159">
        <f t="shared" si="52"/>
        <v>246.11</v>
      </c>
      <c r="X488" s="159">
        <f t="shared" si="53"/>
        <v>-5.4569999999999652</v>
      </c>
      <c r="Y488" s="159">
        <f t="shared" ca="1" si="49"/>
        <v>-9.327053436771962</v>
      </c>
      <c r="Z488" s="159">
        <f t="shared" ca="1" si="54"/>
        <v>-14.717576365048915</v>
      </c>
      <c r="AA488" s="161">
        <f t="shared" ca="1" si="55"/>
        <v>-1471.7576365048915</v>
      </c>
    </row>
    <row r="489" spans="5:27" x14ac:dyDescent="0.25">
      <c r="E489" s="142"/>
      <c r="F489" s="142"/>
      <c r="T489" s="165">
        <v>477</v>
      </c>
      <c r="U489" s="159">
        <f t="shared" si="50"/>
        <v>-70.108499999999992</v>
      </c>
      <c r="V489" s="159">
        <f t="shared" si="51"/>
        <v>-180.45849999999999</v>
      </c>
      <c r="W489" s="159">
        <f t="shared" si="52"/>
        <v>245.11</v>
      </c>
      <c r="X489" s="159">
        <f t="shared" si="53"/>
        <v>-5.4569999999999652</v>
      </c>
      <c r="Y489" s="159">
        <f t="shared" ca="1" si="49"/>
        <v>-9.327053436771962</v>
      </c>
      <c r="Z489" s="159">
        <f t="shared" ca="1" si="54"/>
        <v>-14.717576365048915</v>
      </c>
      <c r="AA489" s="161">
        <f t="shared" ca="1" si="55"/>
        <v>-1471.7576365048915</v>
      </c>
    </row>
    <row r="490" spans="5:27" x14ac:dyDescent="0.25">
      <c r="E490" s="142"/>
      <c r="F490" s="142"/>
      <c r="T490" s="165">
        <v>478</v>
      </c>
      <c r="U490" s="159">
        <f t="shared" si="50"/>
        <v>-70.108499999999992</v>
      </c>
      <c r="V490" s="159">
        <f t="shared" si="51"/>
        <v>-179.45849999999999</v>
      </c>
      <c r="W490" s="159">
        <f t="shared" si="52"/>
        <v>244.11</v>
      </c>
      <c r="X490" s="159">
        <f t="shared" si="53"/>
        <v>-5.4569999999999652</v>
      </c>
      <c r="Y490" s="159">
        <f t="shared" ca="1" si="49"/>
        <v>-9.327053436771962</v>
      </c>
      <c r="Z490" s="159">
        <f t="shared" ca="1" si="54"/>
        <v>-14.717576365048915</v>
      </c>
      <c r="AA490" s="161">
        <f t="shared" ca="1" si="55"/>
        <v>-1471.7576365048915</v>
      </c>
    </row>
    <row r="491" spans="5:27" x14ac:dyDescent="0.25">
      <c r="E491" s="142"/>
      <c r="F491" s="142"/>
      <c r="T491" s="165">
        <v>479</v>
      </c>
      <c r="U491" s="159">
        <f t="shared" si="50"/>
        <v>-70.108499999999992</v>
      </c>
      <c r="V491" s="159">
        <f t="shared" si="51"/>
        <v>-178.45849999999999</v>
      </c>
      <c r="W491" s="159">
        <f t="shared" si="52"/>
        <v>243.11</v>
      </c>
      <c r="X491" s="159">
        <f t="shared" si="53"/>
        <v>-5.4569999999999652</v>
      </c>
      <c r="Y491" s="159">
        <f t="shared" ca="1" si="49"/>
        <v>-9.327053436771962</v>
      </c>
      <c r="Z491" s="159">
        <f t="shared" ca="1" si="54"/>
        <v>-14.717576365048915</v>
      </c>
      <c r="AA491" s="161">
        <f t="shared" ca="1" si="55"/>
        <v>-1471.7576365048915</v>
      </c>
    </row>
    <row r="492" spans="5:27" x14ac:dyDescent="0.25">
      <c r="E492" s="142"/>
      <c r="F492" s="142"/>
      <c r="T492" s="165">
        <v>480</v>
      </c>
      <c r="U492" s="159">
        <f t="shared" si="50"/>
        <v>-70.108499999999992</v>
      </c>
      <c r="V492" s="159">
        <f t="shared" si="51"/>
        <v>-177.45849999999999</v>
      </c>
      <c r="W492" s="159">
        <f t="shared" si="52"/>
        <v>242.11</v>
      </c>
      <c r="X492" s="159">
        <f t="shared" si="53"/>
        <v>-5.4569999999999652</v>
      </c>
      <c r="Y492" s="159">
        <f t="shared" ca="1" si="49"/>
        <v>-9.327053436771962</v>
      </c>
      <c r="Z492" s="159">
        <f t="shared" ca="1" si="54"/>
        <v>-14.717576365048915</v>
      </c>
      <c r="AA492" s="161">
        <f t="shared" ca="1" si="55"/>
        <v>-1471.7576365048915</v>
      </c>
    </row>
    <row r="493" spans="5:27" x14ac:dyDescent="0.25">
      <c r="E493" s="142"/>
      <c r="F493" s="142"/>
      <c r="T493" s="165">
        <v>481</v>
      </c>
      <c r="U493" s="159">
        <f t="shared" si="50"/>
        <v>-70.108499999999992</v>
      </c>
      <c r="V493" s="159">
        <f t="shared" si="51"/>
        <v>-176.45849999999999</v>
      </c>
      <c r="W493" s="159">
        <f t="shared" si="52"/>
        <v>241.11</v>
      </c>
      <c r="X493" s="159">
        <f t="shared" si="53"/>
        <v>-5.4569999999999652</v>
      </c>
      <c r="Y493" s="159">
        <f t="shared" ca="1" si="49"/>
        <v>-9.327053436771962</v>
      </c>
      <c r="Z493" s="159">
        <f t="shared" ca="1" si="54"/>
        <v>-14.717576365048915</v>
      </c>
      <c r="AA493" s="161">
        <f t="shared" ca="1" si="55"/>
        <v>-1471.7576365048915</v>
      </c>
    </row>
    <row r="494" spans="5:27" x14ac:dyDescent="0.25">
      <c r="E494" s="142"/>
      <c r="F494" s="142"/>
      <c r="T494" s="165">
        <v>482</v>
      </c>
      <c r="U494" s="159">
        <f t="shared" si="50"/>
        <v>-70.108499999999992</v>
      </c>
      <c r="V494" s="159">
        <f t="shared" si="51"/>
        <v>-175.45849999999999</v>
      </c>
      <c r="W494" s="159">
        <f t="shared" si="52"/>
        <v>240.11</v>
      </c>
      <c r="X494" s="159">
        <f t="shared" si="53"/>
        <v>-5.4569999999999652</v>
      </c>
      <c r="Y494" s="159">
        <f t="shared" ca="1" si="49"/>
        <v>-9.327053436771962</v>
      </c>
      <c r="Z494" s="159">
        <f t="shared" ca="1" si="54"/>
        <v>-14.717576365048915</v>
      </c>
      <c r="AA494" s="161">
        <f t="shared" ca="1" si="55"/>
        <v>-1471.7576365048915</v>
      </c>
    </row>
    <row r="495" spans="5:27" x14ac:dyDescent="0.25">
      <c r="E495" s="142"/>
      <c r="F495" s="142"/>
      <c r="T495" s="165">
        <v>483</v>
      </c>
      <c r="U495" s="159">
        <f t="shared" si="50"/>
        <v>-70.108499999999992</v>
      </c>
      <c r="V495" s="159">
        <f t="shared" si="51"/>
        <v>-174.45849999999999</v>
      </c>
      <c r="W495" s="159">
        <f t="shared" si="52"/>
        <v>239.11</v>
      </c>
      <c r="X495" s="159">
        <f t="shared" si="53"/>
        <v>-5.4569999999999652</v>
      </c>
      <c r="Y495" s="159">
        <f t="shared" ca="1" si="49"/>
        <v>-9.327053436771962</v>
      </c>
      <c r="Z495" s="159">
        <f t="shared" ca="1" si="54"/>
        <v>-14.717576365048915</v>
      </c>
      <c r="AA495" s="161">
        <f t="shared" ca="1" si="55"/>
        <v>-1471.7576365048915</v>
      </c>
    </row>
    <row r="496" spans="5:27" x14ac:dyDescent="0.25">
      <c r="E496" s="142"/>
      <c r="F496" s="142"/>
      <c r="T496" s="165">
        <v>484</v>
      </c>
      <c r="U496" s="159">
        <f t="shared" si="50"/>
        <v>-70.108499999999992</v>
      </c>
      <c r="V496" s="159">
        <f t="shared" si="51"/>
        <v>-173.45849999999999</v>
      </c>
      <c r="W496" s="159">
        <f t="shared" si="52"/>
        <v>238.11</v>
      </c>
      <c r="X496" s="159">
        <f t="shared" si="53"/>
        <v>-5.4569999999999652</v>
      </c>
      <c r="Y496" s="159">
        <f t="shared" ca="1" si="49"/>
        <v>-9.327053436771962</v>
      </c>
      <c r="Z496" s="159">
        <f t="shared" ca="1" si="54"/>
        <v>-14.717576365048915</v>
      </c>
      <c r="AA496" s="161">
        <f t="shared" ca="1" si="55"/>
        <v>-1471.7576365048915</v>
      </c>
    </row>
    <row r="497" spans="5:27" x14ac:dyDescent="0.25">
      <c r="E497" s="142"/>
      <c r="F497" s="142"/>
      <c r="T497" s="165">
        <v>485</v>
      </c>
      <c r="U497" s="159">
        <f t="shared" si="50"/>
        <v>-70.108499999999992</v>
      </c>
      <c r="V497" s="159">
        <f t="shared" si="51"/>
        <v>-172.45849999999999</v>
      </c>
      <c r="W497" s="159">
        <f t="shared" si="52"/>
        <v>237.11</v>
      </c>
      <c r="X497" s="159">
        <f t="shared" si="53"/>
        <v>-5.4569999999999652</v>
      </c>
      <c r="Y497" s="159">
        <f t="shared" ca="1" si="49"/>
        <v>-9.327053436771962</v>
      </c>
      <c r="Z497" s="159">
        <f t="shared" ca="1" si="54"/>
        <v>-14.717576365048915</v>
      </c>
      <c r="AA497" s="161">
        <f t="shared" ca="1" si="55"/>
        <v>-1471.7576365048915</v>
      </c>
    </row>
    <row r="498" spans="5:27" x14ac:dyDescent="0.25">
      <c r="E498" s="142"/>
      <c r="F498" s="142"/>
      <c r="T498" s="165">
        <v>486</v>
      </c>
      <c r="U498" s="159">
        <f t="shared" si="50"/>
        <v>-70.108499999999992</v>
      </c>
      <c r="V498" s="159">
        <f t="shared" si="51"/>
        <v>-171.45849999999999</v>
      </c>
      <c r="W498" s="159">
        <f t="shared" si="52"/>
        <v>236.11</v>
      </c>
      <c r="X498" s="159">
        <f t="shared" si="53"/>
        <v>-5.4569999999999652</v>
      </c>
      <c r="Y498" s="159">
        <f t="shared" ca="1" si="49"/>
        <v>-9.327053436771962</v>
      </c>
      <c r="Z498" s="159">
        <f t="shared" ca="1" si="54"/>
        <v>-14.717576365048915</v>
      </c>
      <c r="AA498" s="161">
        <f t="shared" ca="1" si="55"/>
        <v>-1471.7576365048915</v>
      </c>
    </row>
    <row r="499" spans="5:27" x14ac:dyDescent="0.25">
      <c r="E499" s="142"/>
      <c r="F499" s="142"/>
      <c r="T499" s="165">
        <v>487</v>
      </c>
      <c r="U499" s="159">
        <f t="shared" si="50"/>
        <v>-70.108499999999992</v>
      </c>
      <c r="V499" s="159">
        <f t="shared" si="51"/>
        <v>-170.45849999999999</v>
      </c>
      <c r="W499" s="159">
        <f t="shared" si="52"/>
        <v>235.11</v>
      </c>
      <c r="X499" s="159">
        <f t="shared" si="53"/>
        <v>-5.4569999999999652</v>
      </c>
      <c r="Y499" s="159">
        <f t="shared" ca="1" si="49"/>
        <v>-9.327053436771962</v>
      </c>
      <c r="Z499" s="159">
        <f t="shared" ca="1" si="54"/>
        <v>-14.717576365048915</v>
      </c>
      <c r="AA499" s="161">
        <f t="shared" ca="1" si="55"/>
        <v>-1471.7576365048915</v>
      </c>
    </row>
    <row r="500" spans="5:27" x14ac:dyDescent="0.25">
      <c r="E500" s="142"/>
      <c r="F500" s="142"/>
      <c r="T500" s="165">
        <v>488</v>
      </c>
      <c r="U500" s="159">
        <f t="shared" si="50"/>
        <v>-70.108499999999992</v>
      </c>
      <c r="V500" s="159">
        <f t="shared" si="51"/>
        <v>-169.45849999999999</v>
      </c>
      <c r="W500" s="159">
        <f t="shared" si="52"/>
        <v>234.11</v>
      </c>
      <c r="X500" s="159">
        <f t="shared" si="53"/>
        <v>-5.4569999999999652</v>
      </c>
      <c r="Y500" s="159">
        <f t="shared" ca="1" si="49"/>
        <v>-9.327053436771962</v>
      </c>
      <c r="Z500" s="159">
        <f t="shared" ca="1" si="54"/>
        <v>-14.717576365048915</v>
      </c>
      <c r="AA500" s="161">
        <f t="shared" ca="1" si="55"/>
        <v>-1471.7576365048915</v>
      </c>
    </row>
    <row r="501" spans="5:27" x14ac:dyDescent="0.25">
      <c r="E501" s="142"/>
      <c r="F501" s="142"/>
      <c r="T501" s="165">
        <v>489</v>
      </c>
      <c r="U501" s="159">
        <f t="shared" si="50"/>
        <v>-70.108499999999992</v>
      </c>
      <c r="V501" s="159">
        <f t="shared" si="51"/>
        <v>-168.45849999999999</v>
      </c>
      <c r="W501" s="159">
        <f t="shared" si="52"/>
        <v>233.11</v>
      </c>
      <c r="X501" s="159">
        <f t="shared" si="53"/>
        <v>-5.4569999999999652</v>
      </c>
      <c r="Y501" s="159">
        <f t="shared" ca="1" si="49"/>
        <v>-9.327053436771962</v>
      </c>
      <c r="Z501" s="159">
        <f t="shared" ca="1" si="54"/>
        <v>-14.717576365048915</v>
      </c>
      <c r="AA501" s="161">
        <f t="shared" ca="1" si="55"/>
        <v>-1471.7576365048915</v>
      </c>
    </row>
    <row r="502" spans="5:27" x14ac:dyDescent="0.25">
      <c r="E502" s="142"/>
      <c r="F502" s="142"/>
      <c r="T502" s="165">
        <v>490</v>
      </c>
      <c r="U502" s="159">
        <f t="shared" si="50"/>
        <v>-70.108499999999992</v>
      </c>
      <c r="V502" s="159">
        <f t="shared" si="51"/>
        <v>-167.45849999999999</v>
      </c>
      <c r="W502" s="159">
        <f t="shared" si="52"/>
        <v>232.11</v>
      </c>
      <c r="X502" s="159">
        <f t="shared" si="53"/>
        <v>-5.4569999999999652</v>
      </c>
      <c r="Y502" s="159">
        <f t="shared" ca="1" si="49"/>
        <v>-9.327053436771962</v>
      </c>
      <c r="Z502" s="159">
        <f t="shared" ca="1" si="54"/>
        <v>-14.717576365048915</v>
      </c>
      <c r="AA502" s="161">
        <f t="shared" ca="1" si="55"/>
        <v>-1471.7576365048915</v>
      </c>
    </row>
    <row r="503" spans="5:27" x14ac:dyDescent="0.25">
      <c r="E503" s="142"/>
      <c r="F503" s="142"/>
      <c r="T503" s="165">
        <v>491</v>
      </c>
      <c r="U503" s="159">
        <f t="shared" si="50"/>
        <v>-70.108499999999992</v>
      </c>
      <c r="V503" s="159">
        <f t="shared" si="51"/>
        <v>-166.45849999999999</v>
      </c>
      <c r="W503" s="159">
        <f t="shared" si="52"/>
        <v>231.11</v>
      </c>
      <c r="X503" s="159">
        <f t="shared" si="53"/>
        <v>-5.4569999999999652</v>
      </c>
      <c r="Y503" s="159">
        <f t="shared" ca="1" si="49"/>
        <v>-9.327053436771962</v>
      </c>
      <c r="Z503" s="159">
        <f t="shared" ca="1" si="54"/>
        <v>-14.717576365048915</v>
      </c>
      <c r="AA503" s="161">
        <f t="shared" ca="1" si="55"/>
        <v>-1471.7576365048915</v>
      </c>
    </row>
    <row r="504" spans="5:27" x14ac:dyDescent="0.25">
      <c r="E504" s="142"/>
      <c r="F504" s="142"/>
      <c r="T504" s="165">
        <v>492</v>
      </c>
      <c r="U504" s="159">
        <f t="shared" si="50"/>
        <v>-70.108499999999992</v>
      </c>
      <c r="V504" s="159">
        <f t="shared" si="51"/>
        <v>-165.45849999999999</v>
      </c>
      <c r="W504" s="159">
        <f t="shared" si="52"/>
        <v>230.11</v>
      </c>
      <c r="X504" s="159">
        <f t="shared" si="53"/>
        <v>-5.4569999999999652</v>
      </c>
      <c r="Y504" s="159">
        <f t="shared" ca="1" si="49"/>
        <v>-9.327053436771962</v>
      </c>
      <c r="Z504" s="159">
        <f t="shared" ca="1" si="54"/>
        <v>-14.717576365048915</v>
      </c>
      <c r="AA504" s="161">
        <f t="shared" ca="1" si="55"/>
        <v>-1471.7576365048915</v>
      </c>
    </row>
    <row r="505" spans="5:27" x14ac:dyDescent="0.25">
      <c r="E505" s="142"/>
      <c r="F505" s="142"/>
      <c r="T505" s="165">
        <v>493</v>
      </c>
      <c r="U505" s="159">
        <f t="shared" si="50"/>
        <v>-70.108499999999992</v>
      </c>
      <c r="V505" s="159">
        <f t="shared" si="51"/>
        <v>-164.45849999999999</v>
      </c>
      <c r="W505" s="159">
        <f t="shared" si="52"/>
        <v>229.11</v>
      </c>
      <c r="X505" s="159">
        <f t="shared" si="53"/>
        <v>-5.4569999999999652</v>
      </c>
      <c r="Y505" s="159">
        <f t="shared" ca="1" si="49"/>
        <v>-9.327053436771962</v>
      </c>
      <c r="Z505" s="159">
        <f t="shared" ca="1" si="54"/>
        <v>-14.717576365048915</v>
      </c>
      <c r="AA505" s="161">
        <f t="shared" ca="1" si="55"/>
        <v>-1471.7576365048915</v>
      </c>
    </row>
    <row r="506" spans="5:27" x14ac:dyDescent="0.25">
      <c r="E506" s="142"/>
      <c r="F506" s="142"/>
      <c r="T506" s="165">
        <v>494</v>
      </c>
      <c r="U506" s="159">
        <f t="shared" si="50"/>
        <v>-70.108499999999992</v>
      </c>
      <c r="V506" s="159">
        <f t="shared" si="51"/>
        <v>-163.45849999999999</v>
      </c>
      <c r="W506" s="159">
        <f t="shared" si="52"/>
        <v>228.11</v>
      </c>
      <c r="X506" s="159">
        <f t="shared" si="53"/>
        <v>-5.4569999999999652</v>
      </c>
      <c r="Y506" s="159">
        <f t="shared" ca="1" si="49"/>
        <v>-9.327053436771962</v>
      </c>
      <c r="Z506" s="159">
        <f t="shared" ca="1" si="54"/>
        <v>-14.717576365048915</v>
      </c>
      <c r="AA506" s="161">
        <f t="shared" ca="1" si="55"/>
        <v>-1471.7576365048915</v>
      </c>
    </row>
    <row r="507" spans="5:27" x14ac:dyDescent="0.25">
      <c r="E507" s="142"/>
      <c r="F507" s="142"/>
      <c r="T507" s="165">
        <v>495</v>
      </c>
      <c r="U507" s="159">
        <f t="shared" si="50"/>
        <v>-70.108499999999992</v>
      </c>
      <c r="V507" s="159">
        <f t="shared" si="51"/>
        <v>-162.45849999999999</v>
      </c>
      <c r="W507" s="159">
        <f t="shared" si="52"/>
        <v>227.11</v>
      </c>
      <c r="X507" s="159">
        <f t="shared" si="53"/>
        <v>-5.4569999999999652</v>
      </c>
      <c r="Y507" s="159">
        <f t="shared" ca="1" si="49"/>
        <v>-9.327053436771962</v>
      </c>
      <c r="Z507" s="159">
        <f t="shared" ca="1" si="54"/>
        <v>-14.717576365048915</v>
      </c>
      <c r="AA507" s="161">
        <f t="shared" ca="1" si="55"/>
        <v>-1471.7576365048915</v>
      </c>
    </row>
    <row r="508" spans="5:27" x14ac:dyDescent="0.25">
      <c r="E508" s="142"/>
      <c r="F508" s="142"/>
      <c r="T508" s="165">
        <v>496</v>
      </c>
      <c r="U508" s="159">
        <f t="shared" si="50"/>
        <v>-70.108499999999992</v>
      </c>
      <c r="V508" s="159">
        <f t="shared" si="51"/>
        <v>-161.45849999999999</v>
      </c>
      <c r="W508" s="159">
        <f t="shared" si="52"/>
        <v>226.11</v>
      </c>
      <c r="X508" s="159">
        <f t="shared" si="53"/>
        <v>-5.4569999999999652</v>
      </c>
      <c r="Y508" s="159">
        <f t="shared" ca="1" si="49"/>
        <v>-9.327053436771962</v>
      </c>
      <c r="Z508" s="159">
        <f t="shared" ca="1" si="54"/>
        <v>-14.717576365048915</v>
      </c>
      <c r="AA508" s="161">
        <f t="shared" ca="1" si="55"/>
        <v>-1471.7576365048915</v>
      </c>
    </row>
    <row r="509" spans="5:27" x14ac:dyDescent="0.25">
      <c r="E509" s="142"/>
      <c r="F509" s="142"/>
      <c r="T509" s="165">
        <v>497</v>
      </c>
      <c r="U509" s="159">
        <f t="shared" si="50"/>
        <v>-70.108499999999992</v>
      </c>
      <c r="V509" s="159">
        <f t="shared" si="51"/>
        <v>-160.45849999999999</v>
      </c>
      <c r="W509" s="159">
        <f t="shared" si="52"/>
        <v>225.11</v>
      </c>
      <c r="X509" s="159">
        <f t="shared" si="53"/>
        <v>-5.4569999999999652</v>
      </c>
      <c r="Y509" s="159">
        <f t="shared" ca="1" si="49"/>
        <v>-9.327053436771962</v>
      </c>
      <c r="Z509" s="159">
        <f t="shared" ca="1" si="54"/>
        <v>-14.717576365048915</v>
      </c>
      <c r="AA509" s="161">
        <f t="shared" ca="1" si="55"/>
        <v>-1471.7576365048915</v>
      </c>
    </row>
    <row r="510" spans="5:27" x14ac:dyDescent="0.25">
      <c r="E510" s="142"/>
      <c r="F510" s="142"/>
      <c r="T510" s="165">
        <v>498</v>
      </c>
      <c r="U510" s="159">
        <f t="shared" si="50"/>
        <v>-70.108499999999992</v>
      </c>
      <c r="V510" s="159">
        <f t="shared" si="51"/>
        <v>-159.45849999999999</v>
      </c>
      <c r="W510" s="159">
        <f t="shared" si="52"/>
        <v>224.11</v>
      </c>
      <c r="X510" s="159">
        <f t="shared" si="53"/>
        <v>-5.4569999999999652</v>
      </c>
      <c r="Y510" s="159">
        <f t="shared" ca="1" si="49"/>
        <v>-9.327053436771962</v>
      </c>
      <c r="Z510" s="159">
        <f t="shared" ca="1" si="54"/>
        <v>-14.717576365048915</v>
      </c>
      <c r="AA510" s="161">
        <f t="shared" ca="1" si="55"/>
        <v>-1471.7576365048915</v>
      </c>
    </row>
    <row r="511" spans="5:27" x14ac:dyDescent="0.25">
      <c r="E511" s="142"/>
      <c r="F511" s="142"/>
      <c r="T511" s="165">
        <v>499</v>
      </c>
      <c r="U511" s="159">
        <f t="shared" si="50"/>
        <v>-70.108499999999992</v>
      </c>
      <c r="V511" s="159">
        <f t="shared" si="51"/>
        <v>-158.45849999999999</v>
      </c>
      <c r="W511" s="159">
        <f t="shared" si="52"/>
        <v>223.11</v>
      </c>
      <c r="X511" s="159">
        <f t="shared" si="53"/>
        <v>-5.4569999999999652</v>
      </c>
      <c r="Y511" s="159">
        <f t="shared" ca="1" si="49"/>
        <v>-9.327053436771962</v>
      </c>
      <c r="Z511" s="159">
        <f t="shared" ca="1" si="54"/>
        <v>-14.717576365048915</v>
      </c>
      <c r="AA511" s="161">
        <f t="shared" ca="1" si="55"/>
        <v>-1471.7576365048915</v>
      </c>
    </row>
    <row r="512" spans="5:27" x14ac:dyDescent="0.25">
      <c r="E512" s="142"/>
      <c r="F512" s="142"/>
      <c r="T512" s="165">
        <v>500</v>
      </c>
      <c r="U512" s="159">
        <f t="shared" si="50"/>
        <v>-70.108499999999992</v>
      </c>
      <c r="V512" s="159">
        <f t="shared" si="51"/>
        <v>-157.45849999999999</v>
      </c>
      <c r="W512" s="159">
        <f t="shared" si="52"/>
        <v>222.11</v>
      </c>
      <c r="X512" s="159">
        <f t="shared" si="53"/>
        <v>-5.4569999999999652</v>
      </c>
      <c r="Y512" s="159">
        <f t="shared" ca="1" si="49"/>
        <v>-9.327053436771962</v>
      </c>
      <c r="Z512" s="159">
        <f t="shared" ca="1" si="54"/>
        <v>-14.717576365048915</v>
      </c>
      <c r="AA512" s="161">
        <f t="shared" ca="1" si="55"/>
        <v>-1471.7576365048915</v>
      </c>
    </row>
    <row r="513" spans="5:27" x14ac:dyDescent="0.25">
      <c r="E513" s="142"/>
      <c r="F513" s="142"/>
      <c r="T513" s="165">
        <v>501</v>
      </c>
      <c r="U513" s="159">
        <f t="shared" si="50"/>
        <v>-70.108499999999992</v>
      </c>
      <c r="V513" s="159">
        <f t="shared" si="51"/>
        <v>-156.45849999999999</v>
      </c>
      <c r="W513" s="159">
        <f t="shared" si="52"/>
        <v>221.11</v>
      </c>
      <c r="X513" s="159">
        <f t="shared" si="53"/>
        <v>-5.4569999999999652</v>
      </c>
      <c r="Y513" s="159">
        <f t="shared" ca="1" si="49"/>
        <v>-9.327053436771962</v>
      </c>
      <c r="Z513" s="159">
        <f t="shared" ca="1" si="54"/>
        <v>-14.717576365048915</v>
      </c>
      <c r="AA513" s="161">
        <f t="shared" ca="1" si="55"/>
        <v>-1471.7576365048915</v>
      </c>
    </row>
    <row r="514" spans="5:27" x14ac:dyDescent="0.25">
      <c r="E514" s="142"/>
      <c r="F514" s="142"/>
      <c r="T514" s="165">
        <v>502</v>
      </c>
      <c r="U514" s="159">
        <f t="shared" si="50"/>
        <v>-70.108499999999992</v>
      </c>
      <c r="V514" s="159">
        <f t="shared" si="51"/>
        <v>-155.45849999999999</v>
      </c>
      <c r="W514" s="159">
        <f t="shared" si="52"/>
        <v>220.11</v>
      </c>
      <c r="X514" s="159">
        <f t="shared" si="53"/>
        <v>-5.4569999999999652</v>
      </c>
      <c r="Y514" s="159">
        <f t="shared" ca="1" si="49"/>
        <v>-9.327053436771962</v>
      </c>
      <c r="Z514" s="159">
        <f t="shared" ca="1" si="54"/>
        <v>-14.717576365048915</v>
      </c>
      <c r="AA514" s="161">
        <f t="shared" ca="1" si="55"/>
        <v>-1471.7576365048915</v>
      </c>
    </row>
    <row r="515" spans="5:27" x14ac:dyDescent="0.25">
      <c r="E515" s="142"/>
      <c r="F515" s="142"/>
      <c r="T515" s="165">
        <v>503</v>
      </c>
      <c r="U515" s="159">
        <f t="shared" si="50"/>
        <v>-70.108499999999992</v>
      </c>
      <c r="V515" s="159">
        <f t="shared" si="51"/>
        <v>-154.45849999999999</v>
      </c>
      <c r="W515" s="159">
        <f t="shared" si="52"/>
        <v>219.11</v>
      </c>
      <c r="X515" s="159">
        <f t="shared" si="53"/>
        <v>-5.4569999999999652</v>
      </c>
      <c r="Y515" s="159">
        <f t="shared" ca="1" si="49"/>
        <v>-9.327053436771962</v>
      </c>
      <c r="Z515" s="159">
        <f t="shared" ca="1" si="54"/>
        <v>-14.717576365048915</v>
      </c>
      <c r="AA515" s="161">
        <f t="shared" ca="1" si="55"/>
        <v>-1471.7576365048915</v>
      </c>
    </row>
    <row r="516" spans="5:27" x14ac:dyDescent="0.25">
      <c r="E516" s="142"/>
      <c r="F516" s="142"/>
      <c r="T516" s="165">
        <v>504</v>
      </c>
      <c r="U516" s="159">
        <f t="shared" si="50"/>
        <v>-70.108499999999992</v>
      </c>
      <c r="V516" s="159">
        <f t="shared" si="51"/>
        <v>-153.45849999999999</v>
      </c>
      <c r="W516" s="159">
        <f t="shared" si="52"/>
        <v>218.11</v>
      </c>
      <c r="X516" s="159">
        <f t="shared" si="53"/>
        <v>-5.4569999999999652</v>
      </c>
      <c r="Y516" s="159">
        <f t="shared" ca="1" si="49"/>
        <v>-9.327053436771962</v>
      </c>
      <c r="Z516" s="159">
        <f t="shared" ca="1" si="54"/>
        <v>-14.717576365048915</v>
      </c>
      <c r="AA516" s="161">
        <f t="shared" ca="1" si="55"/>
        <v>-1471.7576365048915</v>
      </c>
    </row>
    <row r="517" spans="5:27" x14ac:dyDescent="0.25">
      <c r="E517" s="142"/>
      <c r="F517" s="142"/>
      <c r="T517" s="165">
        <v>505</v>
      </c>
      <c r="U517" s="159">
        <f t="shared" si="50"/>
        <v>-70.108499999999992</v>
      </c>
      <c r="V517" s="159">
        <f t="shared" si="51"/>
        <v>-152.45849999999999</v>
      </c>
      <c r="W517" s="159">
        <f t="shared" si="52"/>
        <v>217.11</v>
      </c>
      <c r="X517" s="159">
        <f t="shared" si="53"/>
        <v>-5.4569999999999652</v>
      </c>
      <c r="Y517" s="159">
        <f t="shared" ca="1" si="49"/>
        <v>-9.327053436771962</v>
      </c>
      <c r="Z517" s="159">
        <f t="shared" ca="1" si="54"/>
        <v>-14.717576365048915</v>
      </c>
      <c r="AA517" s="161">
        <f t="shared" ca="1" si="55"/>
        <v>-1471.7576365048915</v>
      </c>
    </row>
    <row r="518" spans="5:27" x14ac:dyDescent="0.25">
      <c r="E518" s="142"/>
      <c r="F518" s="142"/>
      <c r="T518" s="165">
        <v>506</v>
      </c>
      <c r="U518" s="159">
        <f t="shared" si="50"/>
        <v>-70.108499999999992</v>
      </c>
      <c r="V518" s="159">
        <f t="shared" si="51"/>
        <v>-151.45849999999999</v>
      </c>
      <c r="W518" s="159">
        <f t="shared" si="52"/>
        <v>216.11</v>
      </c>
      <c r="X518" s="159">
        <f t="shared" si="53"/>
        <v>-5.4569999999999652</v>
      </c>
      <c r="Y518" s="159">
        <f t="shared" ca="1" si="49"/>
        <v>-9.327053436771962</v>
      </c>
      <c r="Z518" s="159">
        <f t="shared" ca="1" si="54"/>
        <v>-14.717576365048915</v>
      </c>
      <c r="AA518" s="161">
        <f t="shared" ca="1" si="55"/>
        <v>-1471.7576365048915</v>
      </c>
    </row>
    <row r="519" spans="5:27" x14ac:dyDescent="0.25">
      <c r="E519" s="142"/>
      <c r="F519" s="142"/>
      <c r="T519" s="165">
        <v>507</v>
      </c>
      <c r="U519" s="159">
        <f t="shared" si="50"/>
        <v>-70.108499999999992</v>
      </c>
      <c r="V519" s="159">
        <f t="shared" si="51"/>
        <v>-150.45849999999999</v>
      </c>
      <c r="W519" s="159">
        <f t="shared" si="52"/>
        <v>215.11</v>
      </c>
      <c r="X519" s="159">
        <f t="shared" si="53"/>
        <v>-5.4569999999999652</v>
      </c>
      <c r="Y519" s="159">
        <f t="shared" ca="1" si="49"/>
        <v>-9.327053436771962</v>
      </c>
      <c r="Z519" s="159">
        <f t="shared" ca="1" si="54"/>
        <v>-14.717576365048915</v>
      </c>
      <c r="AA519" s="161">
        <f t="shared" ca="1" si="55"/>
        <v>-1471.7576365048915</v>
      </c>
    </row>
    <row r="520" spans="5:27" x14ac:dyDescent="0.25">
      <c r="E520" s="142"/>
      <c r="F520" s="142"/>
      <c r="T520" s="165">
        <v>508</v>
      </c>
      <c r="U520" s="159">
        <f t="shared" si="50"/>
        <v>-70.108499999999992</v>
      </c>
      <c r="V520" s="159">
        <f t="shared" si="51"/>
        <v>-149.45849999999999</v>
      </c>
      <c r="W520" s="159">
        <f t="shared" si="52"/>
        <v>214.11</v>
      </c>
      <c r="X520" s="159">
        <f t="shared" si="53"/>
        <v>-5.4569999999999652</v>
      </c>
      <c r="Y520" s="159">
        <f t="shared" ca="1" si="49"/>
        <v>-9.327053436771962</v>
      </c>
      <c r="Z520" s="159">
        <f t="shared" ca="1" si="54"/>
        <v>-14.717576365048915</v>
      </c>
      <c r="AA520" s="161">
        <f t="shared" ca="1" si="55"/>
        <v>-1471.7576365048915</v>
      </c>
    </row>
    <row r="521" spans="5:27" x14ac:dyDescent="0.25">
      <c r="E521" s="142"/>
      <c r="F521" s="142"/>
      <c r="T521" s="165">
        <v>509</v>
      </c>
      <c r="U521" s="159">
        <f t="shared" si="50"/>
        <v>-70.108499999999992</v>
      </c>
      <c r="V521" s="159">
        <f t="shared" si="51"/>
        <v>-148.45849999999999</v>
      </c>
      <c r="W521" s="159">
        <f t="shared" si="52"/>
        <v>213.11</v>
      </c>
      <c r="X521" s="159">
        <f t="shared" si="53"/>
        <v>-5.4569999999999652</v>
      </c>
      <c r="Y521" s="159">
        <f t="shared" ca="1" si="49"/>
        <v>-9.327053436771962</v>
      </c>
      <c r="Z521" s="159">
        <f t="shared" ca="1" si="54"/>
        <v>-14.717576365048915</v>
      </c>
      <c r="AA521" s="161">
        <f t="shared" ca="1" si="55"/>
        <v>-1471.7576365048915</v>
      </c>
    </row>
    <row r="522" spans="5:27" x14ac:dyDescent="0.25">
      <c r="E522" s="142"/>
      <c r="F522" s="142"/>
      <c r="T522" s="165">
        <v>510</v>
      </c>
      <c r="U522" s="159">
        <f t="shared" si="50"/>
        <v>-70.108499999999992</v>
      </c>
      <c r="V522" s="159">
        <f t="shared" si="51"/>
        <v>-147.45849999999999</v>
      </c>
      <c r="W522" s="159">
        <f t="shared" si="52"/>
        <v>212.11</v>
      </c>
      <c r="X522" s="159">
        <f t="shared" si="53"/>
        <v>-5.4569999999999652</v>
      </c>
      <c r="Y522" s="159">
        <f t="shared" ca="1" si="49"/>
        <v>-9.327053436771962</v>
      </c>
      <c r="Z522" s="159">
        <f t="shared" ca="1" si="54"/>
        <v>-14.717576365048915</v>
      </c>
      <c r="AA522" s="161">
        <f t="shared" ca="1" si="55"/>
        <v>-1471.7576365048915</v>
      </c>
    </row>
    <row r="523" spans="5:27" x14ac:dyDescent="0.25">
      <c r="E523" s="142"/>
      <c r="F523" s="142"/>
      <c r="T523" s="165">
        <v>511</v>
      </c>
      <c r="U523" s="159">
        <f t="shared" si="50"/>
        <v>-70.108499999999992</v>
      </c>
      <c r="V523" s="159">
        <f t="shared" si="51"/>
        <v>-146.45849999999999</v>
      </c>
      <c r="W523" s="159">
        <f t="shared" si="52"/>
        <v>211.11</v>
      </c>
      <c r="X523" s="159">
        <f t="shared" si="53"/>
        <v>-5.4569999999999652</v>
      </c>
      <c r="Y523" s="159">
        <f t="shared" ca="1" si="49"/>
        <v>-9.327053436771962</v>
      </c>
      <c r="Z523" s="159">
        <f t="shared" ca="1" si="54"/>
        <v>-14.717576365048915</v>
      </c>
      <c r="AA523" s="161">
        <f t="shared" ca="1" si="55"/>
        <v>-1471.7576365048915</v>
      </c>
    </row>
    <row r="524" spans="5:27" x14ac:dyDescent="0.25">
      <c r="E524" s="142"/>
      <c r="F524" s="142"/>
      <c r="T524" s="165">
        <v>512</v>
      </c>
      <c r="U524" s="159">
        <f t="shared" si="50"/>
        <v>-70.108499999999992</v>
      </c>
      <c r="V524" s="159">
        <f t="shared" si="51"/>
        <v>-145.45849999999999</v>
      </c>
      <c r="W524" s="159">
        <f t="shared" si="52"/>
        <v>210.11</v>
      </c>
      <c r="X524" s="159">
        <f t="shared" si="53"/>
        <v>-5.4569999999999652</v>
      </c>
      <c r="Y524" s="159">
        <f t="shared" ref="Y524:Y587" ca="1" si="56">$Y$10*EXP($Y$7*$C$6)-$Y$10</f>
        <v>-9.327053436771962</v>
      </c>
      <c r="Z524" s="159">
        <f t="shared" ca="1" si="54"/>
        <v>-14.717576365048915</v>
      </c>
      <c r="AA524" s="161">
        <f t="shared" ca="1" si="55"/>
        <v>-1471.7576365048915</v>
      </c>
    </row>
    <row r="525" spans="5:27" x14ac:dyDescent="0.25">
      <c r="E525" s="142"/>
      <c r="F525" s="142"/>
      <c r="T525" s="165">
        <v>513</v>
      </c>
      <c r="U525" s="159">
        <f t="shared" ref="U525:U588" si="57">MAX(0,T525-$U$9)-$U$10-$U$11/100</f>
        <v>-70.108499999999992</v>
      </c>
      <c r="V525" s="159">
        <f t="shared" ref="V525:V588" si="58">$V$10-MAX(0,$V$9-T525)-$V$11/100</f>
        <v>-144.45849999999999</v>
      </c>
      <c r="W525" s="159">
        <f t="shared" ref="W525:W588" si="59">$W$10-T525</f>
        <v>209.11</v>
      </c>
      <c r="X525" s="159">
        <f t="shared" ref="X525:X588" si="60">SUM(U525:W525)</f>
        <v>-5.4569999999999652</v>
      </c>
      <c r="Y525" s="159">
        <f t="shared" ca="1" si="56"/>
        <v>-9.327053436771962</v>
      </c>
      <c r="Z525" s="159">
        <f t="shared" ref="Z525:Z588" ca="1" si="61">EXP(-$E$3*$C$6)*SUM(X525:Y525)</f>
        <v>-14.717576365048915</v>
      </c>
      <c r="AA525" s="161">
        <f t="shared" ref="AA525:AA588" ca="1" si="62">Z525*100</f>
        <v>-1471.7576365048915</v>
      </c>
    </row>
    <row r="526" spans="5:27" x14ac:dyDescent="0.25">
      <c r="E526" s="142"/>
      <c r="F526" s="142"/>
      <c r="T526" s="165">
        <v>514</v>
      </c>
      <c r="U526" s="159">
        <f t="shared" si="57"/>
        <v>-70.108499999999992</v>
      </c>
      <c r="V526" s="159">
        <f t="shared" si="58"/>
        <v>-143.45849999999999</v>
      </c>
      <c r="W526" s="159">
        <f t="shared" si="59"/>
        <v>208.11</v>
      </c>
      <c r="X526" s="159">
        <f t="shared" si="60"/>
        <v>-5.4569999999999652</v>
      </c>
      <c r="Y526" s="159">
        <f t="shared" ca="1" si="56"/>
        <v>-9.327053436771962</v>
      </c>
      <c r="Z526" s="159">
        <f t="shared" ca="1" si="61"/>
        <v>-14.717576365048915</v>
      </c>
      <c r="AA526" s="161">
        <f t="shared" ca="1" si="62"/>
        <v>-1471.7576365048915</v>
      </c>
    </row>
    <row r="527" spans="5:27" x14ac:dyDescent="0.25">
      <c r="E527" s="142"/>
      <c r="F527" s="142"/>
      <c r="T527" s="165">
        <v>515</v>
      </c>
      <c r="U527" s="159">
        <f t="shared" si="57"/>
        <v>-70.108499999999992</v>
      </c>
      <c r="V527" s="159">
        <f t="shared" si="58"/>
        <v>-142.45849999999999</v>
      </c>
      <c r="W527" s="159">
        <f t="shared" si="59"/>
        <v>207.11</v>
      </c>
      <c r="X527" s="159">
        <f t="shared" si="60"/>
        <v>-5.4569999999999652</v>
      </c>
      <c r="Y527" s="159">
        <f t="shared" ca="1" si="56"/>
        <v>-9.327053436771962</v>
      </c>
      <c r="Z527" s="159">
        <f t="shared" ca="1" si="61"/>
        <v>-14.717576365048915</v>
      </c>
      <c r="AA527" s="161">
        <f t="shared" ca="1" si="62"/>
        <v>-1471.7576365048915</v>
      </c>
    </row>
    <row r="528" spans="5:27" x14ac:dyDescent="0.25">
      <c r="E528" s="142"/>
      <c r="F528" s="142"/>
      <c r="T528" s="165">
        <v>516</v>
      </c>
      <c r="U528" s="159">
        <f t="shared" si="57"/>
        <v>-70.108499999999992</v>
      </c>
      <c r="V528" s="159">
        <f t="shared" si="58"/>
        <v>-141.45849999999999</v>
      </c>
      <c r="W528" s="159">
        <f t="shared" si="59"/>
        <v>206.11</v>
      </c>
      <c r="X528" s="159">
        <f t="shared" si="60"/>
        <v>-5.4569999999999652</v>
      </c>
      <c r="Y528" s="159">
        <f t="shared" ca="1" si="56"/>
        <v>-9.327053436771962</v>
      </c>
      <c r="Z528" s="159">
        <f t="shared" ca="1" si="61"/>
        <v>-14.717576365048915</v>
      </c>
      <c r="AA528" s="161">
        <f t="shared" ca="1" si="62"/>
        <v>-1471.7576365048915</v>
      </c>
    </row>
    <row r="529" spans="5:27" x14ac:dyDescent="0.25">
      <c r="E529" s="142"/>
      <c r="F529" s="142"/>
      <c r="T529" s="165">
        <v>517</v>
      </c>
      <c r="U529" s="159">
        <f t="shared" si="57"/>
        <v>-70.108499999999992</v>
      </c>
      <c r="V529" s="159">
        <f t="shared" si="58"/>
        <v>-140.45849999999999</v>
      </c>
      <c r="W529" s="159">
        <f t="shared" si="59"/>
        <v>205.11</v>
      </c>
      <c r="X529" s="159">
        <f t="shared" si="60"/>
        <v>-5.4569999999999652</v>
      </c>
      <c r="Y529" s="159">
        <f t="shared" ca="1" si="56"/>
        <v>-9.327053436771962</v>
      </c>
      <c r="Z529" s="159">
        <f t="shared" ca="1" si="61"/>
        <v>-14.717576365048915</v>
      </c>
      <c r="AA529" s="161">
        <f t="shared" ca="1" si="62"/>
        <v>-1471.7576365048915</v>
      </c>
    </row>
    <row r="530" spans="5:27" x14ac:dyDescent="0.25">
      <c r="E530" s="142"/>
      <c r="F530" s="142"/>
      <c r="T530" s="165">
        <v>518</v>
      </c>
      <c r="U530" s="159">
        <f t="shared" si="57"/>
        <v>-70.108499999999992</v>
      </c>
      <c r="V530" s="159">
        <f t="shared" si="58"/>
        <v>-139.45849999999999</v>
      </c>
      <c r="W530" s="159">
        <f t="shared" si="59"/>
        <v>204.11</v>
      </c>
      <c r="X530" s="159">
        <f t="shared" si="60"/>
        <v>-5.4569999999999652</v>
      </c>
      <c r="Y530" s="159">
        <f t="shared" ca="1" si="56"/>
        <v>-9.327053436771962</v>
      </c>
      <c r="Z530" s="159">
        <f t="shared" ca="1" si="61"/>
        <v>-14.717576365048915</v>
      </c>
      <c r="AA530" s="161">
        <f t="shared" ca="1" si="62"/>
        <v>-1471.7576365048915</v>
      </c>
    </row>
    <row r="531" spans="5:27" x14ac:dyDescent="0.25">
      <c r="E531" s="142"/>
      <c r="F531" s="142"/>
      <c r="T531" s="165">
        <v>519</v>
      </c>
      <c r="U531" s="159">
        <f t="shared" si="57"/>
        <v>-70.108499999999992</v>
      </c>
      <c r="V531" s="159">
        <f t="shared" si="58"/>
        <v>-138.45849999999999</v>
      </c>
      <c r="W531" s="159">
        <f t="shared" si="59"/>
        <v>203.11</v>
      </c>
      <c r="X531" s="159">
        <f t="shared" si="60"/>
        <v>-5.4569999999999652</v>
      </c>
      <c r="Y531" s="159">
        <f t="shared" ca="1" si="56"/>
        <v>-9.327053436771962</v>
      </c>
      <c r="Z531" s="159">
        <f t="shared" ca="1" si="61"/>
        <v>-14.717576365048915</v>
      </c>
      <c r="AA531" s="161">
        <f t="shared" ca="1" si="62"/>
        <v>-1471.7576365048915</v>
      </c>
    </row>
    <row r="532" spans="5:27" x14ac:dyDescent="0.25">
      <c r="E532" s="142"/>
      <c r="F532" s="142"/>
      <c r="T532" s="165">
        <v>520</v>
      </c>
      <c r="U532" s="159">
        <f t="shared" si="57"/>
        <v>-70.108499999999992</v>
      </c>
      <c r="V532" s="159">
        <f t="shared" si="58"/>
        <v>-137.45849999999999</v>
      </c>
      <c r="W532" s="159">
        <f t="shared" si="59"/>
        <v>202.11</v>
      </c>
      <c r="X532" s="159">
        <f t="shared" si="60"/>
        <v>-5.4569999999999652</v>
      </c>
      <c r="Y532" s="159">
        <f t="shared" ca="1" si="56"/>
        <v>-9.327053436771962</v>
      </c>
      <c r="Z532" s="159">
        <f t="shared" ca="1" si="61"/>
        <v>-14.717576365048915</v>
      </c>
      <c r="AA532" s="161">
        <f t="shared" ca="1" si="62"/>
        <v>-1471.7576365048915</v>
      </c>
    </row>
    <row r="533" spans="5:27" x14ac:dyDescent="0.25">
      <c r="E533" s="142"/>
      <c r="F533" s="142"/>
      <c r="T533" s="165">
        <v>521</v>
      </c>
      <c r="U533" s="159">
        <f t="shared" si="57"/>
        <v>-70.108499999999992</v>
      </c>
      <c r="V533" s="159">
        <f t="shared" si="58"/>
        <v>-136.45849999999999</v>
      </c>
      <c r="W533" s="159">
        <f t="shared" si="59"/>
        <v>201.11</v>
      </c>
      <c r="X533" s="159">
        <f t="shared" si="60"/>
        <v>-5.4569999999999652</v>
      </c>
      <c r="Y533" s="159">
        <f t="shared" ca="1" si="56"/>
        <v>-9.327053436771962</v>
      </c>
      <c r="Z533" s="159">
        <f t="shared" ca="1" si="61"/>
        <v>-14.717576365048915</v>
      </c>
      <c r="AA533" s="161">
        <f t="shared" ca="1" si="62"/>
        <v>-1471.7576365048915</v>
      </c>
    </row>
    <row r="534" spans="5:27" x14ac:dyDescent="0.25">
      <c r="E534" s="142"/>
      <c r="F534" s="142"/>
      <c r="T534" s="165">
        <v>522</v>
      </c>
      <c r="U534" s="159">
        <f t="shared" si="57"/>
        <v>-70.108499999999992</v>
      </c>
      <c r="V534" s="159">
        <f t="shared" si="58"/>
        <v>-135.45849999999999</v>
      </c>
      <c r="W534" s="159">
        <f t="shared" si="59"/>
        <v>200.11</v>
      </c>
      <c r="X534" s="159">
        <f t="shared" si="60"/>
        <v>-5.4569999999999652</v>
      </c>
      <c r="Y534" s="159">
        <f t="shared" ca="1" si="56"/>
        <v>-9.327053436771962</v>
      </c>
      <c r="Z534" s="159">
        <f t="shared" ca="1" si="61"/>
        <v>-14.717576365048915</v>
      </c>
      <c r="AA534" s="161">
        <f t="shared" ca="1" si="62"/>
        <v>-1471.7576365048915</v>
      </c>
    </row>
    <row r="535" spans="5:27" x14ac:dyDescent="0.25">
      <c r="E535" s="142"/>
      <c r="F535" s="142"/>
      <c r="T535" s="165">
        <v>523</v>
      </c>
      <c r="U535" s="159">
        <f t="shared" si="57"/>
        <v>-70.108499999999992</v>
      </c>
      <c r="V535" s="159">
        <f t="shared" si="58"/>
        <v>-134.45849999999999</v>
      </c>
      <c r="W535" s="159">
        <f t="shared" si="59"/>
        <v>199.11</v>
      </c>
      <c r="X535" s="159">
        <f t="shared" si="60"/>
        <v>-5.4569999999999652</v>
      </c>
      <c r="Y535" s="159">
        <f t="shared" ca="1" si="56"/>
        <v>-9.327053436771962</v>
      </c>
      <c r="Z535" s="159">
        <f t="shared" ca="1" si="61"/>
        <v>-14.717576365048915</v>
      </c>
      <c r="AA535" s="161">
        <f t="shared" ca="1" si="62"/>
        <v>-1471.7576365048915</v>
      </c>
    </row>
    <row r="536" spans="5:27" x14ac:dyDescent="0.25">
      <c r="E536" s="142"/>
      <c r="F536" s="142"/>
      <c r="T536" s="165">
        <v>524</v>
      </c>
      <c r="U536" s="159">
        <f t="shared" si="57"/>
        <v>-70.108499999999992</v>
      </c>
      <c r="V536" s="159">
        <f t="shared" si="58"/>
        <v>-133.45849999999999</v>
      </c>
      <c r="W536" s="159">
        <f t="shared" si="59"/>
        <v>198.11</v>
      </c>
      <c r="X536" s="159">
        <f t="shared" si="60"/>
        <v>-5.4569999999999652</v>
      </c>
      <c r="Y536" s="159">
        <f t="shared" ca="1" si="56"/>
        <v>-9.327053436771962</v>
      </c>
      <c r="Z536" s="159">
        <f t="shared" ca="1" si="61"/>
        <v>-14.717576365048915</v>
      </c>
      <c r="AA536" s="161">
        <f t="shared" ca="1" si="62"/>
        <v>-1471.7576365048915</v>
      </c>
    </row>
    <row r="537" spans="5:27" x14ac:dyDescent="0.25">
      <c r="E537" s="142"/>
      <c r="F537" s="142"/>
      <c r="T537" s="165">
        <v>525</v>
      </c>
      <c r="U537" s="159">
        <f t="shared" si="57"/>
        <v>-70.108499999999992</v>
      </c>
      <c r="V537" s="159">
        <f t="shared" si="58"/>
        <v>-132.45849999999999</v>
      </c>
      <c r="W537" s="159">
        <f t="shared" si="59"/>
        <v>197.11</v>
      </c>
      <c r="X537" s="159">
        <f t="shared" si="60"/>
        <v>-5.4569999999999652</v>
      </c>
      <c r="Y537" s="159">
        <f t="shared" ca="1" si="56"/>
        <v>-9.327053436771962</v>
      </c>
      <c r="Z537" s="159">
        <f t="shared" ca="1" si="61"/>
        <v>-14.717576365048915</v>
      </c>
      <c r="AA537" s="161">
        <f t="shared" ca="1" si="62"/>
        <v>-1471.7576365048915</v>
      </c>
    </row>
    <row r="538" spans="5:27" x14ac:dyDescent="0.25">
      <c r="E538" s="142"/>
      <c r="F538" s="142"/>
      <c r="T538" s="165">
        <v>526</v>
      </c>
      <c r="U538" s="159">
        <f t="shared" si="57"/>
        <v>-70.108499999999992</v>
      </c>
      <c r="V538" s="159">
        <f t="shared" si="58"/>
        <v>-131.45849999999999</v>
      </c>
      <c r="W538" s="159">
        <f t="shared" si="59"/>
        <v>196.11</v>
      </c>
      <c r="X538" s="159">
        <f t="shared" si="60"/>
        <v>-5.4569999999999652</v>
      </c>
      <c r="Y538" s="159">
        <f t="shared" ca="1" si="56"/>
        <v>-9.327053436771962</v>
      </c>
      <c r="Z538" s="159">
        <f t="shared" ca="1" si="61"/>
        <v>-14.717576365048915</v>
      </c>
      <c r="AA538" s="161">
        <f t="shared" ca="1" si="62"/>
        <v>-1471.7576365048915</v>
      </c>
    </row>
    <row r="539" spans="5:27" x14ac:dyDescent="0.25">
      <c r="E539" s="142"/>
      <c r="F539" s="142"/>
      <c r="T539" s="165">
        <v>527</v>
      </c>
      <c r="U539" s="159">
        <f t="shared" si="57"/>
        <v>-70.108499999999992</v>
      </c>
      <c r="V539" s="159">
        <f t="shared" si="58"/>
        <v>-130.45849999999999</v>
      </c>
      <c r="W539" s="159">
        <f t="shared" si="59"/>
        <v>195.11</v>
      </c>
      <c r="X539" s="159">
        <f t="shared" si="60"/>
        <v>-5.4569999999999652</v>
      </c>
      <c r="Y539" s="159">
        <f t="shared" ca="1" si="56"/>
        <v>-9.327053436771962</v>
      </c>
      <c r="Z539" s="159">
        <f t="shared" ca="1" si="61"/>
        <v>-14.717576365048915</v>
      </c>
      <c r="AA539" s="161">
        <f t="shared" ca="1" si="62"/>
        <v>-1471.7576365048915</v>
      </c>
    </row>
    <row r="540" spans="5:27" x14ac:dyDescent="0.25">
      <c r="E540" s="142"/>
      <c r="F540" s="142"/>
      <c r="T540" s="165">
        <v>528</v>
      </c>
      <c r="U540" s="159">
        <f t="shared" si="57"/>
        <v>-70.108499999999992</v>
      </c>
      <c r="V540" s="159">
        <f t="shared" si="58"/>
        <v>-129.45849999999999</v>
      </c>
      <c r="W540" s="159">
        <f t="shared" si="59"/>
        <v>194.11</v>
      </c>
      <c r="X540" s="159">
        <f t="shared" si="60"/>
        <v>-5.4569999999999652</v>
      </c>
      <c r="Y540" s="159">
        <f t="shared" ca="1" si="56"/>
        <v>-9.327053436771962</v>
      </c>
      <c r="Z540" s="159">
        <f t="shared" ca="1" si="61"/>
        <v>-14.717576365048915</v>
      </c>
      <c r="AA540" s="161">
        <f t="shared" ca="1" si="62"/>
        <v>-1471.7576365048915</v>
      </c>
    </row>
    <row r="541" spans="5:27" x14ac:dyDescent="0.25">
      <c r="E541" s="142"/>
      <c r="F541" s="142"/>
      <c r="T541" s="165">
        <v>529</v>
      </c>
      <c r="U541" s="159">
        <f t="shared" si="57"/>
        <v>-70.108499999999992</v>
      </c>
      <c r="V541" s="159">
        <f t="shared" si="58"/>
        <v>-128.45849999999999</v>
      </c>
      <c r="W541" s="159">
        <f t="shared" si="59"/>
        <v>193.11</v>
      </c>
      <c r="X541" s="159">
        <f t="shared" si="60"/>
        <v>-5.4569999999999652</v>
      </c>
      <c r="Y541" s="159">
        <f t="shared" ca="1" si="56"/>
        <v>-9.327053436771962</v>
      </c>
      <c r="Z541" s="159">
        <f t="shared" ca="1" si="61"/>
        <v>-14.717576365048915</v>
      </c>
      <c r="AA541" s="161">
        <f t="shared" ca="1" si="62"/>
        <v>-1471.7576365048915</v>
      </c>
    </row>
    <row r="542" spans="5:27" x14ac:dyDescent="0.25">
      <c r="E542" s="142"/>
      <c r="F542" s="142"/>
      <c r="T542" s="165">
        <v>530</v>
      </c>
      <c r="U542" s="159">
        <f t="shared" si="57"/>
        <v>-70.108499999999992</v>
      </c>
      <c r="V542" s="159">
        <f t="shared" si="58"/>
        <v>-127.4585</v>
      </c>
      <c r="W542" s="159">
        <f t="shared" si="59"/>
        <v>192.11</v>
      </c>
      <c r="X542" s="159">
        <f t="shared" si="60"/>
        <v>-5.4569999999999936</v>
      </c>
      <c r="Y542" s="159">
        <f t="shared" ca="1" si="56"/>
        <v>-9.327053436771962</v>
      </c>
      <c r="Z542" s="159">
        <f t="shared" ca="1" si="61"/>
        <v>-14.717576365048943</v>
      </c>
      <c r="AA542" s="161">
        <f t="shared" ca="1" si="62"/>
        <v>-1471.7576365048944</v>
      </c>
    </row>
    <row r="543" spans="5:27" x14ac:dyDescent="0.25">
      <c r="E543" s="142"/>
      <c r="F543" s="142"/>
      <c r="T543" s="165">
        <v>531</v>
      </c>
      <c r="U543" s="159">
        <f t="shared" si="57"/>
        <v>-70.108499999999992</v>
      </c>
      <c r="V543" s="159">
        <f t="shared" si="58"/>
        <v>-126.4585</v>
      </c>
      <c r="W543" s="159">
        <f t="shared" si="59"/>
        <v>191.11</v>
      </c>
      <c r="X543" s="159">
        <f t="shared" si="60"/>
        <v>-5.4569999999999936</v>
      </c>
      <c r="Y543" s="159">
        <f t="shared" ca="1" si="56"/>
        <v>-9.327053436771962</v>
      </c>
      <c r="Z543" s="159">
        <f t="shared" ca="1" si="61"/>
        <v>-14.717576365048943</v>
      </c>
      <c r="AA543" s="161">
        <f t="shared" ca="1" si="62"/>
        <v>-1471.7576365048944</v>
      </c>
    </row>
    <row r="544" spans="5:27" x14ac:dyDescent="0.25">
      <c r="E544" s="142"/>
      <c r="F544" s="142"/>
      <c r="T544" s="165">
        <v>532</v>
      </c>
      <c r="U544" s="159">
        <f t="shared" si="57"/>
        <v>-70.108499999999992</v>
      </c>
      <c r="V544" s="159">
        <f t="shared" si="58"/>
        <v>-125.4585</v>
      </c>
      <c r="W544" s="159">
        <f t="shared" si="59"/>
        <v>190.11</v>
      </c>
      <c r="X544" s="159">
        <f t="shared" si="60"/>
        <v>-5.4569999999999936</v>
      </c>
      <c r="Y544" s="159">
        <f t="shared" ca="1" si="56"/>
        <v>-9.327053436771962</v>
      </c>
      <c r="Z544" s="159">
        <f t="shared" ca="1" si="61"/>
        <v>-14.717576365048943</v>
      </c>
      <c r="AA544" s="161">
        <f t="shared" ca="1" si="62"/>
        <v>-1471.7576365048944</v>
      </c>
    </row>
    <row r="545" spans="5:27" x14ac:dyDescent="0.25">
      <c r="E545" s="142"/>
      <c r="F545" s="142"/>
      <c r="T545" s="165">
        <v>533</v>
      </c>
      <c r="U545" s="159">
        <f t="shared" si="57"/>
        <v>-70.108499999999992</v>
      </c>
      <c r="V545" s="159">
        <f t="shared" si="58"/>
        <v>-124.4585</v>
      </c>
      <c r="W545" s="159">
        <f t="shared" si="59"/>
        <v>189.11</v>
      </c>
      <c r="X545" s="159">
        <f t="shared" si="60"/>
        <v>-5.4569999999999936</v>
      </c>
      <c r="Y545" s="159">
        <f t="shared" ca="1" si="56"/>
        <v>-9.327053436771962</v>
      </c>
      <c r="Z545" s="159">
        <f t="shared" ca="1" si="61"/>
        <v>-14.717576365048943</v>
      </c>
      <c r="AA545" s="161">
        <f t="shared" ca="1" si="62"/>
        <v>-1471.7576365048944</v>
      </c>
    </row>
    <row r="546" spans="5:27" x14ac:dyDescent="0.25">
      <c r="E546" s="142"/>
      <c r="F546" s="142"/>
      <c r="T546" s="165">
        <v>534</v>
      </c>
      <c r="U546" s="159">
        <f t="shared" si="57"/>
        <v>-70.108499999999992</v>
      </c>
      <c r="V546" s="159">
        <f t="shared" si="58"/>
        <v>-123.4585</v>
      </c>
      <c r="W546" s="159">
        <f t="shared" si="59"/>
        <v>188.11</v>
      </c>
      <c r="X546" s="159">
        <f t="shared" si="60"/>
        <v>-5.4569999999999936</v>
      </c>
      <c r="Y546" s="159">
        <f t="shared" ca="1" si="56"/>
        <v>-9.327053436771962</v>
      </c>
      <c r="Z546" s="159">
        <f t="shared" ca="1" si="61"/>
        <v>-14.717576365048943</v>
      </c>
      <c r="AA546" s="161">
        <f t="shared" ca="1" si="62"/>
        <v>-1471.7576365048944</v>
      </c>
    </row>
    <row r="547" spans="5:27" x14ac:dyDescent="0.25">
      <c r="E547" s="142"/>
      <c r="F547" s="142"/>
      <c r="T547" s="165">
        <v>535</v>
      </c>
      <c r="U547" s="159">
        <f t="shared" si="57"/>
        <v>-70.108499999999992</v>
      </c>
      <c r="V547" s="159">
        <f t="shared" si="58"/>
        <v>-122.4585</v>
      </c>
      <c r="W547" s="159">
        <f t="shared" si="59"/>
        <v>187.11</v>
      </c>
      <c r="X547" s="159">
        <f t="shared" si="60"/>
        <v>-5.4569999999999936</v>
      </c>
      <c r="Y547" s="159">
        <f t="shared" ca="1" si="56"/>
        <v>-9.327053436771962</v>
      </c>
      <c r="Z547" s="159">
        <f t="shared" ca="1" si="61"/>
        <v>-14.717576365048943</v>
      </c>
      <c r="AA547" s="161">
        <f t="shared" ca="1" si="62"/>
        <v>-1471.7576365048944</v>
      </c>
    </row>
    <row r="548" spans="5:27" x14ac:dyDescent="0.25">
      <c r="E548" s="142"/>
      <c r="F548" s="142"/>
      <c r="T548" s="165">
        <v>536</v>
      </c>
      <c r="U548" s="159">
        <f t="shared" si="57"/>
        <v>-70.108499999999992</v>
      </c>
      <c r="V548" s="159">
        <f t="shared" si="58"/>
        <v>-121.4585</v>
      </c>
      <c r="W548" s="159">
        <f t="shared" si="59"/>
        <v>186.11</v>
      </c>
      <c r="X548" s="159">
        <f t="shared" si="60"/>
        <v>-5.4569999999999936</v>
      </c>
      <c r="Y548" s="159">
        <f t="shared" ca="1" si="56"/>
        <v>-9.327053436771962</v>
      </c>
      <c r="Z548" s="159">
        <f t="shared" ca="1" si="61"/>
        <v>-14.717576365048943</v>
      </c>
      <c r="AA548" s="161">
        <f t="shared" ca="1" si="62"/>
        <v>-1471.7576365048944</v>
      </c>
    </row>
    <row r="549" spans="5:27" x14ac:dyDescent="0.25">
      <c r="E549" s="142"/>
      <c r="F549" s="142"/>
      <c r="T549" s="165">
        <v>537</v>
      </c>
      <c r="U549" s="159">
        <f t="shared" si="57"/>
        <v>-70.108499999999992</v>
      </c>
      <c r="V549" s="159">
        <f t="shared" si="58"/>
        <v>-120.4585</v>
      </c>
      <c r="W549" s="159">
        <f t="shared" si="59"/>
        <v>185.11</v>
      </c>
      <c r="X549" s="159">
        <f t="shared" si="60"/>
        <v>-5.4569999999999936</v>
      </c>
      <c r="Y549" s="159">
        <f t="shared" ca="1" si="56"/>
        <v>-9.327053436771962</v>
      </c>
      <c r="Z549" s="159">
        <f t="shared" ca="1" si="61"/>
        <v>-14.717576365048943</v>
      </c>
      <c r="AA549" s="161">
        <f t="shared" ca="1" si="62"/>
        <v>-1471.7576365048944</v>
      </c>
    </row>
    <row r="550" spans="5:27" x14ac:dyDescent="0.25">
      <c r="E550" s="142"/>
      <c r="F550" s="142"/>
      <c r="T550" s="165">
        <v>538</v>
      </c>
      <c r="U550" s="159">
        <f t="shared" si="57"/>
        <v>-70.108499999999992</v>
      </c>
      <c r="V550" s="159">
        <f t="shared" si="58"/>
        <v>-119.4585</v>
      </c>
      <c r="W550" s="159">
        <f t="shared" si="59"/>
        <v>184.11</v>
      </c>
      <c r="X550" s="159">
        <f t="shared" si="60"/>
        <v>-5.4569999999999936</v>
      </c>
      <c r="Y550" s="159">
        <f t="shared" ca="1" si="56"/>
        <v>-9.327053436771962</v>
      </c>
      <c r="Z550" s="159">
        <f t="shared" ca="1" si="61"/>
        <v>-14.717576365048943</v>
      </c>
      <c r="AA550" s="161">
        <f t="shared" ca="1" si="62"/>
        <v>-1471.7576365048944</v>
      </c>
    </row>
    <row r="551" spans="5:27" x14ac:dyDescent="0.25">
      <c r="E551" s="142"/>
      <c r="F551" s="142"/>
      <c r="T551" s="165">
        <v>539</v>
      </c>
      <c r="U551" s="159">
        <f t="shared" si="57"/>
        <v>-70.108499999999992</v>
      </c>
      <c r="V551" s="159">
        <f t="shared" si="58"/>
        <v>-118.4585</v>
      </c>
      <c r="W551" s="159">
        <f t="shared" si="59"/>
        <v>183.11</v>
      </c>
      <c r="X551" s="159">
        <f t="shared" si="60"/>
        <v>-5.4569999999999936</v>
      </c>
      <c r="Y551" s="159">
        <f t="shared" ca="1" si="56"/>
        <v>-9.327053436771962</v>
      </c>
      <c r="Z551" s="159">
        <f t="shared" ca="1" si="61"/>
        <v>-14.717576365048943</v>
      </c>
      <c r="AA551" s="161">
        <f t="shared" ca="1" si="62"/>
        <v>-1471.7576365048944</v>
      </c>
    </row>
    <row r="552" spans="5:27" x14ac:dyDescent="0.25">
      <c r="E552" s="142"/>
      <c r="F552" s="142"/>
      <c r="T552" s="165">
        <v>540</v>
      </c>
      <c r="U552" s="159">
        <f t="shared" si="57"/>
        <v>-70.108499999999992</v>
      </c>
      <c r="V552" s="159">
        <f t="shared" si="58"/>
        <v>-117.4585</v>
      </c>
      <c r="W552" s="159">
        <f t="shared" si="59"/>
        <v>182.11</v>
      </c>
      <c r="X552" s="159">
        <f t="shared" si="60"/>
        <v>-5.4569999999999936</v>
      </c>
      <c r="Y552" s="159">
        <f t="shared" ca="1" si="56"/>
        <v>-9.327053436771962</v>
      </c>
      <c r="Z552" s="159">
        <f t="shared" ca="1" si="61"/>
        <v>-14.717576365048943</v>
      </c>
      <c r="AA552" s="161">
        <f t="shared" ca="1" si="62"/>
        <v>-1471.7576365048944</v>
      </c>
    </row>
    <row r="553" spans="5:27" x14ac:dyDescent="0.25">
      <c r="E553" s="142"/>
      <c r="F553" s="142"/>
      <c r="T553" s="165">
        <v>541</v>
      </c>
      <c r="U553" s="159">
        <f t="shared" si="57"/>
        <v>-70.108499999999992</v>
      </c>
      <c r="V553" s="159">
        <f t="shared" si="58"/>
        <v>-116.4585</v>
      </c>
      <c r="W553" s="159">
        <f t="shared" si="59"/>
        <v>181.11</v>
      </c>
      <c r="X553" s="159">
        <f t="shared" si="60"/>
        <v>-5.4569999999999936</v>
      </c>
      <c r="Y553" s="159">
        <f t="shared" ca="1" si="56"/>
        <v>-9.327053436771962</v>
      </c>
      <c r="Z553" s="159">
        <f t="shared" ca="1" si="61"/>
        <v>-14.717576365048943</v>
      </c>
      <c r="AA553" s="161">
        <f t="shared" ca="1" si="62"/>
        <v>-1471.7576365048944</v>
      </c>
    </row>
    <row r="554" spans="5:27" x14ac:dyDescent="0.25">
      <c r="E554" s="142"/>
      <c r="F554" s="142"/>
      <c r="T554" s="165">
        <v>542</v>
      </c>
      <c r="U554" s="159">
        <f t="shared" si="57"/>
        <v>-70.108499999999992</v>
      </c>
      <c r="V554" s="159">
        <f t="shared" si="58"/>
        <v>-115.4585</v>
      </c>
      <c r="W554" s="159">
        <f t="shared" si="59"/>
        <v>180.11</v>
      </c>
      <c r="X554" s="159">
        <f t="shared" si="60"/>
        <v>-5.4569999999999936</v>
      </c>
      <c r="Y554" s="159">
        <f t="shared" ca="1" si="56"/>
        <v>-9.327053436771962</v>
      </c>
      <c r="Z554" s="159">
        <f t="shared" ca="1" si="61"/>
        <v>-14.717576365048943</v>
      </c>
      <c r="AA554" s="161">
        <f t="shared" ca="1" si="62"/>
        <v>-1471.7576365048944</v>
      </c>
    </row>
    <row r="555" spans="5:27" x14ac:dyDescent="0.25">
      <c r="E555" s="142"/>
      <c r="F555" s="142"/>
      <c r="T555" s="165">
        <v>543</v>
      </c>
      <c r="U555" s="159">
        <f t="shared" si="57"/>
        <v>-70.108499999999992</v>
      </c>
      <c r="V555" s="159">
        <f t="shared" si="58"/>
        <v>-114.4585</v>
      </c>
      <c r="W555" s="159">
        <f t="shared" si="59"/>
        <v>179.11</v>
      </c>
      <c r="X555" s="159">
        <f t="shared" si="60"/>
        <v>-5.4569999999999936</v>
      </c>
      <c r="Y555" s="159">
        <f t="shared" ca="1" si="56"/>
        <v>-9.327053436771962</v>
      </c>
      <c r="Z555" s="159">
        <f t="shared" ca="1" si="61"/>
        <v>-14.717576365048943</v>
      </c>
      <c r="AA555" s="161">
        <f t="shared" ca="1" si="62"/>
        <v>-1471.7576365048944</v>
      </c>
    </row>
    <row r="556" spans="5:27" x14ac:dyDescent="0.25">
      <c r="E556" s="142"/>
      <c r="F556" s="142"/>
      <c r="T556" s="165">
        <v>544</v>
      </c>
      <c r="U556" s="159">
        <f t="shared" si="57"/>
        <v>-70.108499999999992</v>
      </c>
      <c r="V556" s="159">
        <f t="shared" si="58"/>
        <v>-113.4585</v>
      </c>
      <c r="W556" s="159">
        <f t="shared" si="59"/>
        <v>178.11</v>
      </c>
      <c r="X556" s="159">
        <f t="shared" si="60"/>
        <v>-5.4569999999999936</v>
      </c>
      <c r="Y556" s="159">
        <f t="shared" ca="1" si="56"/>
        <v>-9.327053436771962</v>
      </c>
      <c r="Z556" s="159">
        <f t="shared" ca="1" si="61"/>
        <v>-14.717576365048943</v>
      </c>
      <c r="AA556" s="161">
        <f t="shared" ca="1" si="62"/>
        <v>-1471.7576365048944</v>
      </c>
    </row>
    <row r="557" spans="5:27" x14ac:dyDescent="0.25">
      <c r="E557" s="142"/>
      <c r="F557" s="142"/>
      <c r="T557" s="165">
        <v>545</v>
      </c>
      <c r="U557" s="159">
        <f t="shared" si="57"/>
        <v>-70.108499999999992</v>
      </c>
      <c r="V557" s="159">
        <f t="shared" si="58"/>
        <v>-112.4585</v>
      </c>
      <c r="W557" s="159">
        <f t="shared" si="59"/>
        <v>177.11</v>
      </c>
      <c r="X557" s="159">
        <f t="shared" si="60"/>
        <v>-5.4569999999999936</v>
      </c>
      <c r="Y557" s="159">
        <f t="shared" ca="1" si="56"/>
        <v>-9.327053436771962</v>
      </c>
      <c r="Z557" s="159">
        <f t="shared" ca="1" si="61"/>
        <v>-14.717576365048943</v>
      </c>
      <c r="AA557" s="161">
        <f t="shared" ca="1" si="62"/>
        <v>-1471.7576365048944</v>
      </c>
    </row>
    <row r="558" spans="5:27" x14ac:dyDescent="0.25">
      <c r="E558" s="142"/>
      <c r="F558" s="142"/>
      <c r="T558" s="165">
        <v>546</v>
      </c>
      <c r="U558" s="159">
        <f t="shared" si="57"/>
        <v>-70.108499999999992</v>
      </c>
      <c r="V558" s="159">
        <f t="shared" si="58"/>
        <v>-111.4585</v>
      </c>
      <c r="W558" s="159">
        <f t="shared" si="59"/>
        <v>176.11</v>
      </c>
      <c r="X558" s="159">
        <f t="shared" si="60"/>
        <v>-5.4569999999999936</v>
      </c>
      <c r="Y558" s="159">
        <f t="shared" ca="1" si="56"/>
        <v>-9.327053436771962</v>
      </c>
      <c r="Z558" s="159">
        <f t="shared" ca="1" si="61"/>
        <v>-14.717576365048943</v>
      </c>
      <c r="AA558" s="161">
        <f t="shared" ca="1" si="62"/>
        <v>-1471.7576365048944</v>
      </c>
    </row>
    <row r="559" spans="5:27" x14ac:dyDescent="0.25">
      <c r="E559" s="142"/>
      <c r="F559" s="142"/>
      <c r="T559" s="165">
        <v>547</v>
      </c>
      <c r="U559" s="159">
        <f t="shared" si="57"/>
        <v>-70.108499999999992</v>
      </c>
      <c r="V559" s="159">
        <f t="shared" si="58"/>
        <v>-110.4585</v>
      </c>
      <c r="W559" s="159">
        <f t="shared" si="59"/>
        <v>175.11</v>
      </c>
      <c r="X559" s="159">
        <f t="shared" si="60"/>
        <v>-5.4569999999999936</v>
      </c>
      <c r="Y559" s="159">
        <f t="shared" ca="1" si="56"/>
        <v>-9.327053436771962</v>
      </c>
      <c r="Z559" s="159">
        <f t="shared" ca="1" si="61"/>
        <v>-14.717576365048943</v>
      </c>
      <c r="AA559" s="161">
        <f t="shared" ca="1" si="62"/>
        <v>-1471.7576365048944</v>
      </c>
    </row>
    <row r="560" spans="5:27" x14ac:dyDescent="0.25">
      <c r="E560" s="142"/>
      <c r="F560" s="142"/>
      <c r="T560" s="165">
        <v>548</v>
      </c>
      <c r="U560" s="159">
        <f t="shared" si="57"/>
        <v>-70.108499999999992</v>
      </c>
      <c r="V560" s="159">
        <f t="shared" si="58"/>
        <v>-109.4585</v>
      </c>
      <c r="W560" s="159">
        <f t="shared" si="59"/>
        <v>174.11</v>
      </c>
      <c r="X560" s="159">
        <f t="shared" si="60"/>
        <v>-5.4569999999999936</v>
      </c>
      <c r="Y560" s="159">
        <f t="shared" ca="1" si="56"/>
        <v>-9.327053436771962</v>
      </c>
      <c r="Z560" s="159">
        <f t="shared" ca="1" si="61"/>
        <v>-14.717576365048943</v>
      </c>
      <c r="AA560" s="161">
        <f t="shared" ca="1" si="62"/>
        <v>-1471.7576365048944</v>
      </c>
    </row>
    <row r="561" spans="5:27" x14ac:dyDescent="0.25">
      <c r="E561" s="142"/>
      <c r="F561" s="142"/>
      <c r="T561" s="165">
        <v>549</v>
      </c>
      <c r="U561" s="159">
        <f t="shared" si="57"/>
        <v>-70.108499999999992</v>
      </c>
      <c r="V561" s="159">
        <f t="shared" si="58"/>
        <v>-108.4585</v>
      </c>
      <c r="W561" s="159">
        <f t="shared" si="59"/>
        <v>173.11</v>
      </c>
      <c r="X561" s="159">
        <f t="shared" si="60"/>
        <v>-5.4569999999999936</v>
      </c>
      <c r="Y561" s="159">
        <f t="shared" ca="1" si="56"/>
        <v>-9.327053436771962</v>
      </c>
      <c r="Z561" s="159">
        <f t="shared" ca="1" si="61"/>
        <v>-14.717576365048943</v>
      </c>
      <c r="AA561" s="161">
        <f t="shared" ca="1" si="62"/>
        <v>-1471.7576365048944</v>
      </c>
    </row>
    <row r="562" spans="5:27" x14ac:dyDescent="0.25">
      <c r="E562" s="142"/>
      <c r="F562" s="142"/>
      <c r="T562" s="165">
        <v>550</v>
      </c>
      <c r="U562" s="159">
        <f t="shared" si="57"/>
        <v>-70.108499999999992</v>
      </c>
      <c r="V562" s="159">
        <f t="shared" si="58"/>
        <v>-107.4585</v>
      </c>
      <c r="W562" s="159">
        <f t="shared" si="59"/>
        <v>172.11</v>
      </c>
      <c r="X562" s="159">
        <f t="shared" si="60"/>
        <v>-5.4569999999999936</v>
      </c>
      <c r="Y562" s="159">
        <f t="shared" ca="1" si="56"/>
        <v>-9.327053436771962</v>
      </c>
      <c r="Z562" s="159">
        <f t="shared" ca="1" si="61"/>
        <v>-14.717576365048943</v>
      </c>
      <c r="AA562" s="161">
        <f t="shared" ca="1" si="62"/>
        <v>-1471.7576365048944</v>
      </c>
    </row>
    <row r="563" spans="5:27" x14ac:dyDescent="0.25">
      <c r="E563" s="142"/>
      <c r="F563" s="142"/>
      <c r="T563" s="165">
        <v>551</v>
      </c>
      <c r="U563" s="159">
        <f t="shared" si="57"/>
        <v>-70.108499999999992</v>
      </c>
      <c r="V563" s="159">
        <f t="shared" si="58"/>
        <v>-106.4585</v>
      </c>
      <c r="W563" s="159">
        <f t="shared" si="59"/>
        <v>171.11</v>
      </c>
      <c r="X563" s="159">
        <f t="shared" si="60"/>
        <v>-5.4569999999999936</v>
      </c>
      <c r="Y563" s="159">
        <f t="shared" ca="1" si="56"/>
        <v>-9.327053436771962</v>
      </c>
      <c r="Z563" s="159">
        <f t="shared" ca="1" si="61"/>
        <v>-14.717576365048943</v>
      </c>
      <c r="AA563" s="161">
        <f t="shared" ca="1" si="62"/>
        <v>-1471.7576365048944</v>
      </c>
    </row>
    <row r="564" spans="5:27" x14ac:dyDescent="0.25">
      <c r="E564" s="142"/>
      <c r="F564" s="142"/>
      <c r="T564" s="165">
        <v>552</v>
      </c>
      <c r="U564" s="159">
        <f t="shared" si="57"/>
        <v>-70.108499999999992</v>
      </c>
      <c r="V564" s="159">
        <f t="shared" si="58"/>
        <v>-105.4585</v>
      </c>
      <c r="W564" s="159">
        <f t="shared" si="59"/>
        <v>170.11</v>
      </c>
      <c r="X564" s="159">
        <f t="shared" si="60"/>
        <v>-5.4569999999999936</v>
      </c>
      <c r="Y564" s="159">
        <f t="shared" ca="1" si="56"/>
        <v>-9.327053436771962</v>
      </c>
      <c r="Z564" s="159">
        <f t="shared" ca="1" si="61"/>
        <v>-14.717576365048943</v>
      </c>
      <c r="AA564" s="161">
        <f t="shared" ca="1" si="62"/>
        <v>-1471.7576365048944</v>
      </c>
    </row>
    <row r="565" spans="5:27" x14ac:dyDescent="0.25">
      <c r="E565" s="142"/>
      <c r="F565" s="142"/>
      <c r="T565" s="165">
        <v>553</v>
      </c>
      <c r="U565" s="159">
        <f t="shared" si="57"/>
        <v>-70.108499999999992</v>
      </c>
      <c r="V565" s="159">
        <f t="shared" si="58"/>
        <v>-104.4585</v>
      </c>
      <c r="W565" s="159">
        <f t="shared" si="59"/>
        <v>169.11</v>
      </c>
      <c r="X565" s="159">
        <f t="shared" si="60"/>
        <v>-5.4569999999999936</v>
      </c>
      <c r="Y565" s="159">
        <f t="shared" ca="1" si="56"/>
        <v>-9.327053436771962</v>
      </c>
      <c r="Z565" s="159">
        <f t="shared" ca="1" si="61"/>
        <v>-14.717576365048943</v>
      </c>
      <c r="AA565" s="161">
        <f t="shared" ca="1" si="62"/>
        <v>-1471.7576365048944</v>
      </c>
    </row>
    <row r="566" spans="5:27" x14ac:dyDescent="0.25">
      <c r="E566" s="142"/>
      <c r="F566" s="142"/>
      <c r="T566" s="165">
        <v>554</v>
      </c>
      <c r="U566" s="159">
        <f t="shared" si="57"/>
        <v>-70.108499999999992</v>
      </c>
      <c r="V566" s="159">
        <f t="shared" si="58"/>
        <v>-103.4585</v>
      </c>
      <c r="W566" s="159">
        <f t="shared" si="59"/>
        <v>168.11</v>
      </c>
      <c r="X566" s="159">
        <f t="shared" si="60"/>
        <v>-5.4569999999999936</v>
      </c>
      <c r="Y566" s="159">
        <f t="shared" ca="1" si="56"/>
        <v>-9.327053436771962</v>
      </c>
      <c r="Z566" s="159">
        <f t="shared" ca="1" si="61"/>
        <v>-14.717576365048943</v>
      </c>
      <c r="AA566" s="161">
        <f t="shared" ca="1" si="62"/>
        <v>-1471.7576365048944</v>
      </c>
    </row>
    <row r="567" spans="5:27" x14ac:dyDescent="0.25">
      <c r="E567" s="142"/>
      <c r="F567" s="142"/>
      <c r="T567" s="165">
        <v>555</v>
      </c>
      <c r="U567" s="159">
        <f t="shared" si="57"/>
        <v>-70.108499999999992</v>
      </c>
      <c r="V567" s="159">
        <f t="shared" si="58"/>
        <v>-102.4585</v>
      </c>
      <c r="W567" s="159">
        <f t="shared" si="59"/>
        <v>167.11</v>
      </c>
      <c r="X567" s="159">
        <f t="shared" si="60"/>
        <v>-5.4569999999999936</v>
      </c>
      <c r="Y567" s="159">
        <f t="shared" ca="1" si="56"/>
        <v>-9.327053436771962</v>
      </c>
      <c r="Z567" s="159">
        <f t="shared" ca="1" si="61"/>
        <v>-14.717576365048943</v>
      </c>
      <c r="AA567" s="161">
        <f t="shared" ca="1" si="62"/>
        <v>-1471.7576365048944</v>
      </c>
    </row>
    <row r="568" spans="5:27" x14ac:dyDescent="0.25">
      <c r="E568" s="142"/>
      <c r="F568" s="142"/>
      <c r="T568" s="165">
        <v>556</v>
      </c>
      <c r="U568" s="159">
        <f t="shared" si="57"/>
        <v>-70.108499999999992</v>
      </c>
      <c r="V568" s="159">
        <f t="shared" si="58"/>
        <v>-101.4585</v>
      </c>
      <c r="W568" s="159">
        <f t="shared" si="59"/>
        <v>166.11</v>
      </c>
      <c r="X568" s="159">
        <f t="shared" si="60"/>
        <v>-5.4569999999999936</v>
      </c>
      <c r="Y568" s="159">
        <f t="shared" ca="1" si="56"/>
        <v>-9.327053436771962</v>
      </c>
      <c r="Z568" s="159">
        <f t="shared" ca="1" si="61"/>
        <v>-14.717576365048943</v>
      </c>
      <c r="AA568" s="161">
        <f t="shared" ca="1" si="62"/>
        <v>-1471.7576365048944</v>
      </c>
    </row>
    <row r="569" spans="5:27" x14ac:dyDescent="0.25">
      <c r="E569" s="142"/>
      <c r="F569" s="142"/>
      <c r="T569" s="165">
        <v>557</v>
      </c>
      <c r="U569" s="159">
        <f t="shared" si="57"/>
        <v>-70.108499999999992</v>
      </c>
      <c r="V569" s="159">
        <f t="shared" si="58"/>
        <v>-100.4585</v>
      </c>
      <c r="W569" s="159">
        <f t="shared" si="59"/>
        <v>165.11</v>
      </c>
      <c r="X569" s="159">
        <f t="shared" si="60"/>
        <v>-5.4569999999999936</v>
      </c>
      <c r="Y569" s="159">
        <f t="shared" ca="1" si="56"/>
        <v>-9.327053436771962</v>
      </c>
      <c r="Z569" s="159">
        <f t="shared" ca="1" si="61"/>
        <v>-14.717576365048943</v>
      </c>
      <c r="AA569" s="161">
        <f t="shared" ca="1" si="62"/>
        <v>-1471.7576365048944</v>
      </c>
    </row>
    <row r="570" spans="5:27" x14ac:dyDescent="0.25">
      <c r="E570" s="142"/>
      <c r="F570" s="142"/>
      <c r="T570" s="165">
        <v>558</v>
      </c>
      <c r="U570" s="159">
        <f t="shared" si="57"/>
        <v>-70.108499999999992</v>
      </c>
      <c r="V570" s="159">
        <f t="shared" si="58"/>
        <v>-99.458500000000001</v>
      </c>
      <c r="W570" s="159">
        <f t="shared" si="59"/>
        <v>164.11</v>
      </c>
      <c r="X570" s="159">
        <f t="shared" si="60"/>
        <v>-5.4569999999999936</v>
      </c>
      <c r="Y570" s="159">
        <f t="shared" ca="1" si="56"/>
        <v>-9.327053436771962</v>
      </c>
      <c r="Z570" s="159">
        <f t="shared" ca="1" si="61"/>
        <v>-14.717576365048943</v>
      </c>
      <c r="AA570" s="161">
        <f t="shared" ca="1" si="62"/>
        <v>-1471.7576365048944</v>
      </c>
    </row>
    <row r="571" spans="5:27" x14ac:dyDescent="0.25">
      <c r="E571" s="142"/>
      <c r="F571" s="142"/>
      <c r="T571" s="165">
        <v>559</v>
      </c>
      <c r="U571" s="159">
        <f t="shared" si="57"/>
        <v>-70.108499999999992</v>
      </c>
      <c r="V571" s="159">
        <f t="shared" si="58"/>
        <v>-98.458500000000001</v>
      </c>
      <c r="W571" s="159">
        <f t="shared" si="59"/>
        <v>163.11000000000001</v>
      </c>
      <c r="X571" s="159">
        <f t="shared" si="60"/>
        <v>-5.4569999999999936</v>
      </c>
      <c r="Y571" s="159">
        <f t="shared" ca="1" si="56"/>
        <v>-9.327053436771962</v>
      </c>
      <c r="Z571" s="159">
        <f t="shared" ca="1" si="61"/>
        <v>-14.717576365048943</v>
      </c>
      <c r="AA571" s="161">
        <f t="shared" ca="1" si="62"/>
        <v>-1471.7576365048944</v>
      </c>
    </row>
    <row r="572" spans="5:27" x14ac:dyDescent="0.25">
      <c r="E572" s="142"/>
      <c r="F572" s="142"/>
      <c r="T572" s="165">
        <v>560</v>
      </c>
      <c r="U572" s="159">
        <f t="shared" si="57"/>
        <v>-70.108499999999992</v>
      </c>
      <c r="V572" s="159">
        <f t="shared" si="58"/>
        <v>-97.458500000000001</v>
      </c>
      <c r="W572" s="159">
        <f t="shared" si="59"/>
        <v>162.11000000000001</v>
      </c>
      <c r="X572" s="159">
        <f t="shared" si="60"/>
        <v>-5.4569999999999936</v>
      </c>
      <c r="Y572" s="159">
        <f t="shared" ca="1" si="56"/>
        <v>-9.327053436771962</v>
      </c>
      <c r="Z572" s="159">
        <f t="shared" ca="1" si="61"/>
        <v>-14.717576365048943</v>
      </c>
      <c r="AA572" s="161">
        <f t="shared" ca="1" si="62"/>
        <v>-1471.7576365048944</v>
      </c>
    </row>
    <row r="573" spans="5:27" x14ac:dyDescent="0.25">
      <c r="E573" s="142"/>
      <c r="F573" s="142"/>
      <c r="T573" s="165">
        <v>561</v>
      </c>
      <c r="U573" s="159">
        <f t="shared" si="57"/>
        <v>-70.108499999999992</v>
      </c>
      <c r="V573" s="159">
        <f t="shared" si="58"/>
        <v>-96.458500000000001</v>
      </c>
      <c r="W573" s="159">
        <f t="shared" si="59"/>
        <v>161.11000000000001</v>
      </c>
      <c r="X573" s="159">
        <f t="shared" si="60"/>
        <v>-5.4569999999999936</v>
      </c>
      <c r="Y573" s="159">
        <f t="shared" ca="1" si="56"/>
        <v>-9.327053436771962</v>
      </c>
      <c r="Z573" s="159">
        <f t="shared" ca="1" si="61"/>
        <v>-14.717576365048943</v>
      </c>
      <c r="AA573" s="161">
        <f t="shared" ca="1" si="62"/>
        <v>-1471.7576365048944</v>
      </c>
    </row>
    <row r="574" spans="5:27" x14ac:dyDescent="0.25">
      <c r="E574" s="142"/>
      <c r="F574" s="142"/>
      <c r="T574" s="165">
        <v>562</v>
      </c>
      <c r="U574" s="159">
        <f t="shared" si="57"/>
        <v>-70.108499999999992</v>
      </c>
      <c r="V574" s="159">
        <f t="shared" si="58"/>
        <v>-95.458500000000001</v>
      </c>
      <c r="W574" s="159">
        <f t="shared" si="59"/>
        <v>160.11000000000001</v>
      </c>
      <c r="X574" s="159">
        <f t="shared" si="60"/>
        <v>-5.4569999999999936</v>
      </c>
      <c r="Y574" s="159">
        <f t="shared" ca="1" si="56"/>
        <v>-9.327053436771962</v>
      </c>
      <c r="Z574" s="159">
        <f t="shared" ca="1" si="61"/>
        <v>-14.717576365048943</v>
      </c>
      <c r="AA574" s="161">
        <f t="shared" ca="1" si="62"/>
        <v>-1471.7576365048944</v>
      </c>
    </row>
    <row r="575" spans="5:27" x14ac:dyDescent="0.25">
      <c r="E575" s="142"/>
      <c r="F575" s="142"/>
      <c r="T575" s="165">
        <v>563</v>
      </c>
      <c r="U575" s="159">
        <f t="shared" si="57"/>
        <v>-70.108499999999992</v>
      </c>
      <c r="V575" s="159">
        <f t="shared" si="58"/>
        <v>-94.458500000000001</v>
      </c>
      <c r="W575" s="159">
        <f t="shared" si="59"/>
        <v>159.11000000000001</v>
      </c>
      <c r="X575" s="159">
        <f t="shared" si="60"/>
        <v>-5.4569999999999936</v>
      </c>
      <c r="Y575" s="159">
        <f t="shared" ca="1" si="56"/>
        <v>-9.327053436771962</v>
      </c>
      <c r="Z575" s="159">
        <f t="shared" ca="1" si="61"/>
        <v>-14.717576365048943</v>
      </c>
      <c r="AA575" s="161">
        <f t="shared" ca="1" si="62"/>
        <v>-1471.7576365048944</v>
      </c>
    </row>
    <row r="576" spans="5:27" x14ac:dyDescent="0.25">
      <c r="E576" s="142"/>
      <c r="F576" s="142"/>
      <c r="T576" s="165">
        <v>564</v>
      </c>
      <c r="U576" s="159">
        <f t="shared" si="57"/>
        <v>-70.108499999999992</v>
      </c>
      <c r="V576" s="159">
        <f t="shared" si="58"/>
        <v>-93.458500000000001</v>
      </c>
      <c r="W576" s="159">
        <f t="shared" si="59"/>
        <v>158.11000000000001</v>
      </c>
      <c r="X576" s="159">
        <f t="shared" si="60"/>
        <v>-5.4569999999999936</v>
      </c>
      <c r="Y576" s="159">
        <f t="shared" ca="1" si="56"/>
        <v>-9.327053436771962</v>
      </c>
      <c r="Z576" s="159">
        <f t="shared" ca="1" si="61"/>
        <v>-14.717576365048943</v>
      </c>
      <c r="AA576" s="161">
        <f t="shared" ca="1" si="62"/>
        <v>-1471.7576365048944</v>
      </c>
    </row>
    <row r="577" spans="5:27" x14ac:dyDescent="0.25">
      <c r="E577" s="142"/>
      <c r="F577" s="142"/>
      <c r="T577" s="165">
        <v>565</v>
      </c>
      <c r="U577" s="159">
        <f t="shared" si="57"/>
        <v>-70.108499999999992</v>
      </c>
      <c r="V577" s="159">
        <f t="shared" si="58"/>
        <v>-92.458500000000001</v>
      </c>
      <c r="W577" s="159">
        <f t="shared" si="59"/>
        <v>157.11000000000001</v>
      </c>
      <c r="X577" s="159">
        <f t="shared" si="60"/>
        <v>-5.4569999999999936</v>
      </c>
      <c r="Y577" s="159">
        <f t="shared" ca="1" si="56"/>
        <v>-9.327053436771962</v>
      </c>
      <c r="Z577" s="159">
        <f t="shared" ca="1" si="61"/>
        <v>-14.717576365048943</v>
      </c>
      <c r="AA577" s="161">
        <f t="shared" ca="1" si="62"/>
        <v>-1471.7576365048944</v>
      </c>
    </row>
    <row r="578" spans="5:27" x14ac:dyDescent="0.25">
      <c r="E578" s="142"/>
      <c r="F578" s="142"/>
      <c r="T578" s="165">
        <v>566</v>
      </c>
      <c r="U578" s="159">
        <f t="shared" si="57"/>
        <v>-70.108499999999992</v>
      </c>
      <c r="V578" s="159">
        <f t="shared" si="58"/>
        <v>-91.458500000000001</v>
      </c>
      <c r="W578" s="159">
        <f t="shared" si="59"/>
        <v>156.11000000000001</v>
      </c>
      <c r="X578" s="159">
        <f t="shared" si="60"/>
        <v>-5.4569999999999936</v>
      </c>
      <c r="Y578" s="159">
        <f t="shared" ca="1" si="56"/>
        <v>-9.327053436771962</v>
      </c>
      <c r="Z578" s="159">
        <f t="shared" ca="1" si="61"/>
        <v>-14.717576365048943</v>
      </c>
      <c r="AA578" s="161">
        <f t="shared" ca="1" si="62"/>
        <v>-1471.7576365048944</v>
      </c>
    </row>
    <row r="579" spans="5:27" x14ac:dyDescent="0.25">
      <c r="E579" s="142"/>
      <c r="F579" s="142"/>
      <c r="T579" s="165">
        <v>567</v>
      </c>
      <c r="U579" s="159">
        <f t="shared" si="57"/>
        <v>-70.108499999999992</v>
      </c>
      <c r="V579" s="159">
        <f t="shared" si="58"/>
        <v>-90.458500000000001</v>
      </c>
      <c r="W579" s="159">
        <f t="shared" si="59"/>
        <v>155.11000000000001</v>
      </c>
      <c r="X579" s="159">
        <f t="shared" si="60"/>
        <v>-5.4569999999999936</v>
      </c>
      <c r="Y579" s="159">
        <f t="shared" ca="1" si="56"/>
        <v>-9.327053436771962</v>
      </c>
      <c r="Z579" s="159">
        <f t="shared" ca="1" si="61"/>
        <v>-14.717576365048943</v>
      </c>
      <c r="AA579" s="161">
        <f t="shared" ca="1" si="62"/>
        <v>-1471.7576365048944</v>
      </c>
    </row>
    <row r="580" spans="5:27" x14ac:dyDescent="0.25">
      <c r="E580" s="142"/>
      <c r="F580" s="142"/>
      <c r="T580" s="165">
        <v>568</v>
      </c>
      <c r="U580" s="159">
        <f t="shared" si="57"/>
        <v>-70.108499999999992</v>
      </c>
      <c r="V580" s="159">
        <f t="shared" si="58"/>
        <v>-89.458500000000001</v>
      </c>
      <c r="W580" s="159">
        <f t="shared" si="59"/>
        <v>154.11000000000001</v>
      </c>
      <c r="X580" s="159">
        <f t="shared" si="60"/>
        <v>-5.4569999999999936</v>
      </c>
      <c r="Y580" s="159">
        <f t="shared" ca="1" si="56"/>
        <v>-9.327053436771962</v>
      </c>
      <c r="Z580" s="159">
        <f t="shared" ca="1" si="61"/>
        <v>-14.717576365048943</v>
      </c>
      <c r="AA580" s="161">
        <f t="shared" ca="1" si="62"/>
        <v>-1471.7576365048944</v>
      </c>
    </row>
    <row r="581" spans="5:27" x14ac:dyDescent="0.25">
      <c r="E581" s="142"/>
      <c r="F581" s="142"/>
      <c r="T581" s="165">
        <v>569</v>
      </c>
      <c r="U581" s="159">
        <f t="shared" si="57"/>
        <v>-70.108499999999992</v>
      </c>
      <c r="V581" s="159">
        <f t="shared" si="58"/>
        <v>-88.458500000000001</v>
      </c>
      <c r="W581" s="159">
        <f t="shared" si="59"/>
        <v>153.11000000000001</v>
      </c>
      <c r="X581" s="159">
        <f t="shared" si="60"/>
        <v>-5.4569999999999936</v>
      </c>
      <c r="Y581" s="159">
        <f t="shared" ca="1" si="56"/>
        <v>-9.327053436771962</v>
      </c>
      <c r="Z581" s="159">
        <f t="shared" ca="1" si="61"/>
        <v>-14.717576365048943</v>
      </c>
      <c r="AA581" s="161">
        <f t="shared" ca="1" si="62"/>
        <v>-1471.7576365048944</v>
      </c>
    </row>
    <row r="582" spans="5:27" x14ac:dyDescent="0.25">
      <c r="E582" s="142"/>
      <c r="F582" s="142"/>
      <c r="T582" s="165">
        <v>570</v>
      </c>
      <c r="U582" s="159">
        <f t="shared" si="57"/>
        <v>-70.108499999999992</v>
      </c>
      <c r="V582" s="159">
        <f t="shared" si="58"/>
        <v>-87.458500000000001</v>
      </c>
      <c r="W582" s="159">
        <f t="shared" si="59"/>
        <v>152.11000000000001</v>
      </c>
      <c r="X582" s="159">
        <f t="shared" si="60"/>
        <v>-5.4569999999999936</v>
      </c>
      <c r="Y582" s="159">
        <f t="shared" ca="1" si="56"/>
        <v>-9.327053436771962</v>
      </c>
      <c r="Z582" s="159">
        <f t="shared" ca="1" si="61"/>
        <v>-14.717576365048943</v>
      </c>
      <c r="AA582" s="161">
        <f t="shared" ca="1" si="62"/>
        <v>-1471.7576365048944</v>
      </c>
    </row>
    <row r="583" spans="5:27" x14ac:dyDescent="0.25">
      <c r="E583" s="142"/>
      <c r="F583" s="142"/>
      <c r="T583" s="165">
        <v>571</v>
      </c>
      <c r="U583" s="159">
        <f t="shared" si="57"/>
        <v>-70.108499999999992</v>
      </c>
      <c r="V583" s="159">
        <f t="shared" si="58"/>
        <v>-86.458500000000001</v>
      </c>
      <c r="W583" s="159">
        <f t="shared" si="59"/>
        <v>151.11000000000001</v>
      </c>
      <c r="X583" s="159">
        <f t="shared" si="60"/>
        <v>-5.4569999999999936</v>
      </c>
      <c r="Y583" s="159">
        <f t="shared" ca="1" si="56"/>
        <v>-9.327053436771962</v>
      </c>
      <c r="Z583" s="159">
        <f t="shared" ca="1" si="61"/>
        <v>-14.717576365048943</v>
      </c>
      <c r="AA583" s="161">
        <f t="shared" ca="1" si="62"/>
        <v>-1471.7576365048944</v>
      </c>
    </row>
    <row r="584" spans="5:27" x14ac:dyDescent="0.25">
      <c r="E584" s="142"/>
      <c r="F584" s="142"/>
      <c r="T584" s="165">
        <v>572</v>
      </c>
      <c r="U584" s="159">
        <f t="shared" si="57"/>
        <v>-70.108499999999992</v>
      </c>
      <c r="V584" s="159">
        <f t="shared" si="58"/>
        <v>-85.458500000000001</v>
      </c>
      <c r="W584" s="159">
        <f t="shared" si="59"/>
        <v>150.11000000000001</v>
      </c>
      <c r="X584" s="159">
        <f t="shared" si="60"/>
        <v>-5.4569999999999936</v>
      </c>
      <c r="Y584" s="159">
        <f t="shared" ca="1" si="56"/>
        <v>-9.327053436771962</v>
      </c>
      <c r="Z584" s="159">
        <f t="shared" ca="1" si="61"/>
        <v>-14.717576365048943</v>
      </c>
      <c r="AA584" s="161">
        <f t="shared" ca="1" si="62"/>
        <v>-1471.7576365048944</v>
      </c>
    </row>
    <row r="585" spans="5:27" x14ac:dyDescent="0.25">
      <c r="E585" s="142"/>
      <c r="F585" s="142"/>
      <c r="T585" s="165">
        <v>573</v>
      </c>
      <c r="U585" s="159">
        <f t="shared" si="57"/>
        <v>-70.108499999999992</v>
      </c>
      <c r="V585" s="159">
        <f t="shared" si="58"/>
        <v>-84.458500000000001</v>
      </c>
      <c r="W585" s="159">
        <f t="shared" si="59"/>
        <v>149.11000000000001</v>
      </c>
      <c r="X585" s="159">
        <f t="shared" si="60"/>
        <v>-5.4569999999999936</v>
      </c>
      <c r="Y585" s="159">
        <f t="shared" ca="1" si="56"/>
        <v>-9.327053436771962</v>
      </c>
      <c r="Z585" s="159">
        <f t="shared" ca="1" si="61"/>
        <v>-14.717576365048943</v>
      </c>
      <c r="AA585" s="161">
        <f t="shared" ca="1" si="62"/>
        <v>-1471.7576365048944</v>
      </c>
    </row>
    <row r="586" spans="5:27" x14ac:dyDescent="0.25">
      <c r="E586" s="142"/>
      <c r="F586" s="142"/>
      <c r="T586" s="165">
        <v>574</v>
      </c>
      <c r="U586" s="159">
        <f t="shared" si="57"/>
        <v>-70.108499999999992</v>
      </c>
      <c r="V586" s="159">
        <f t="shared" si="58"/>
        <v>-83.458500000000001</v>
      </c>
      <c r="W586" s="159">
        <f t="shared" si="59"/>
        <v>148.11000000000001</v>
      </c>
      <c r="X586" s="159">
        <f t="shared" si="60"/>
        <v>-5.4569999999999936</v>
      </c>
      <c r="Y586" s="159">
        <f t="shared" ca="1" si="56"/>
        <v>-9.327053436771962</v>
      </c>
      <c r="Z586" s="159">
        <f t="shared" ca="1" si="61"/>
        <v>-14.717576365048943</v>
      </c>
      <c r="AA586" s="161">
        <f t="shared" ca="1" si="62"/>
        <v>-1471.7576365048944</v>
      </c>
    </row>
    <row r="587" spans="5:27" x14ac:dyDescent="0.25">
      <c r="E587" s="142"/>
      <c r="F587" s="142"/>
      <c r="T587" s="165">
        <v>575</v>
      </c>
      <c r="U587" s="159">
        <f t="shared" si="57"/>
        <v>-70.108499999999992</v>
      </c>
      <c r="V587" s="159">
        <f t="shared" si="58"/>
        <v>-82.458500000000001</v>
      </c>
      <c r="W587" s="159">
        <f t="shared" si="59"/>
        <v>147.11000000000001</v>
      </c>
      <c r="X587" s="159">
        <f t="shared" si="60"/>
        <v>-5.4569999999999936</v>
      </c>
      <c r="Y587" s="159">
        <f t="shared" ca="1" si="56"/>
        <v>-9.327053436771962</v>
      </c>
      <c r="Z587" s="159">
        <f t="shared" ca="1" si="61"/>
        <v>-14.717576365048943</v>
      </c>
      <c r="AA587" s="161">
        <f t="shared" ca="1" si="62"/>
        <v>-1471.7576365048944</v>
      </c>
    </row>
    <row r="588" spans="5:27" x14ac:dyDescent="0.25">
      <c r="E588" s="142"/>
      <c r="F588" s="142"/>
      <c r="T588" s="165">
        <v>576</v>
      </c>
      <c r="U588" s="159">
        <f t="shared" si="57"/>
        <v>-70.108499999999992</v>
      </c>
      <c r="V588" s="159">
        <f t="shared" si="58"/>
        <v>-81.458500000000001</v>
      </c>
      <c r="W588" s="159">
        <f t="shared" si="59"/>
        <v>146.11000000000001</v>
      </c>
      <c r="X588" s="159">
        <f t="shared" si="60"/>
        <v>-5.4569999999999936</v>
      </c>
      <c r="Y588" s="159">
        <f t="shared" ref="Y588:Y651" ca="1" si="63">$Y$10*EXP($Y$7*$C$6)-$Y$10</f>
        <v>-9.327053436771962</v>
      </c>
      <c r="Z588" s="159">
        <f t="shared" ca="1" si="61"/>
        <v>-14.717576365048943</v>
      </c>
      <c r="AA588" s="161">
        <f t="shared" ca="1" si="62"/>
        <v>-1471.7576365048944</v>
      </c>
    </row>
    <row r="589" spans="5:27" x14ac:dyDescent="0.25">
      <c r="E589" s="142"/>
      <c r="F589" s="142"/>
      <c r="T589" s="165">
        <v>577</v>
      </c>
      <c r="U589" s="159">
        <f t="shared" ref="U589:U652" si="64">MAX(0,T589-$U$9)-$U$10-$U$11/100</f>
        <v>-70.108499999999992</v>
      </c>
      <c r="V589" s="159">
        <f t="shared" ref="V589:V652" si="65">$V$10-MAX(0,$V$9-T589)-$V$11/100</f>
        <v>-80.458500000000001</v>
      </c>
      <c r="W589" s="159">
        <f t="shared" ref="W589:W652" si="66">$W$10-T589</f>
        <v>145.11000000000001</v>
      </c>
      <c r="X589" s="159">
        <f t="shared" ref="X589:X652" si="67">SUM(U589:W589)</f>
        <v>-5.4569999999999936</v>
      </c>
      <c r="Y589" s="159">
        <f t="shared" ca="1" si="63"/>
        <v>-9.327053436771962</v>
      </c>
      <c r="Z589" s="159">
        <f t="shared" ref="Z589:Z652" ca="1" si="68">EXP(-$E$3*$C$6)*SUM(X589:Y589)</f>
        <v>-14.717576365048943</v>
      </c>
      <c r="AA589" s="161">
        <f t="shared" ref="AA589:AA652" ca="1" si="69">Z589*100</f>
        <v>-1471.7576365048944</v>
      </c>
    </row>
    <row r="590" spans="5:27" x14ac:dyDescent="0.25">
      <c r="E590" s="142"/>
      <c r="F590" s="142"/>
      <c r="T590" s="165">
        <v>578</v>
      </c>
      <c r="U590" s="159">
        <f t="shared" si="64"/>
        <v>-70.108499999999992</v>
      </c>
      <c r="V590" s="159">
        <f t="shared" si="65"/>
        <v>-79.458500000000001</v>
      </c>
      <c r="W590" s="159">
        <f t="shared" si="66"/>
        <v>144.11000000000001</v>
      </c>
      <c r="X590" s="159">
        <f t="shared" si="67"/>
        <v>-5.4569999999999936</v>
      </c>
      <c r="Y590" s="159">
        <f t="shared" ca="1" si="63"/>
        <v>-9.327053436771962</v>
      </c>
      <c r="Z590" s="159">
        <f t="shared" ca="1" si="68"/>
        <v>-14.717576365048943</v>
      </c>
      <c r="AA590" s="161">
        <f t="shared" ca="1" si="69"/>
        <v>-1471.7576365048944</v>
      </c>
    </row>
    <row r="591" spans="5:27" x14ac:dyDescent="0.25">
      <c r="E591" s="142"/>
      <c r="F591" s="142"/>
      <c r="T591" s="165">
        <v>579</v>
      </c>
      <c r="U591" s="159">
        <f t="shared" si="64"/>
        <v>-70.108499999999992</v>
      </c>
      <c r="V591" s="159">
        <f t="shared" si="65"/>
        <v>-78.458500000000001</v>
      </c>
      <c r="W591" s="159">
        <f t="shared" si="66"/>
        <v>143.11000000000001</v>
      </c>
      <c r="X591" s="159">
        <f t="shared" si="67"/>
        <v>-5.4569999999999936</v>
      </c>
      <c r="Y591" s="159">
        <f t="shared" ca="1" si="63"/>
        <v>-9.327053436771962</v>
      </c>
      <c r="Z591" s="159">
        <f t="shared" ca="1" si="68"/>
        <v>-14.717576365048943</v>
      </c>
      <c r="AA591" s="161">
        <f t="shared" ca="1" si="69"/>
        <v>-1471.7576365048944</v>
      </c>
    </row>
    <row r="592" spans="5:27" x14ac:dyDescent="0.25">
      <c r="E592" s="142"/>
      <c r="F592" s="142"/>
      <c r="T592" s="165">
        <v>580</v>
      </c>
      <c r="U592" s="159">
        <f t="shared" si="64"/>
        <v>-70.108499999999992</v>
      </c>
      <c r="V592" s="159">
        <f t="shared" si="65"/>
        <v>-77.458500000000001</v>
      </c>
      <c r="W592" s="159">
        <f t="shared" si="66"/>
        <v>142.11000000000001</v>
      </c>
      <c r="X592" s="159">
        <f t="shared" si="67"/>
        <v>-5.4569999999999936</v>
      </c>
      <c r="Y592" s="159">
        <f t="shared" ca="1" si="63"/>
        <v>-9.327053436771962</v>
      </c>
      <c r="Z592" s="159">
        <f t="shared" ca="1" si="68"/>
        <v>-14.717576365048943</v>
      </c>
      <c r="AA592" s="161">
        <f t="shared" ca="1" si="69"/>
        <v>-1471.7576365048944</v>
      </c>
    </row>
    <row r="593" spans="5:27" x14ac:dyDescent="0.25">
      <c r="E593" s="142"/>
      <c r="F593" s="142"/>
      <c r="T593" s="165">
        <v>581</v>
      </c>
      <c r="U593" s="159">
        <f t="shared" si="64"/>
        <v>-70.108499999999992</v>
      </c>
      <c r="V593" s="159">
        <f t="shared" si="65"/>
        <v>-76.458500000000001</v>
      </c>
      <c r="W593" s="159">
        <f t="shared" si="66"/>
        <v>141.11000000000001</v>
      </c>
      <c r="X593" s="159">
        <f t="shared" si="67"/>
        <v>-5.4569999999999936</v>
      </c>
      <c r="Y593" s="159">
        <f t="shared" ca="1" si="63"/>
        <v>-9.327053436771962</v>
      </c>
      <c r="Z593" s="159">
        <f t="shared" ca="1" si="68"/>
        <v>-14.717576365048943</v>
      </c>
      <c r="AA593" s="161">
        <f t="shared" ca="1" si="69"/>
        <v>-1471.7576365048944</v>
      </c>
    </row>
    <row r="594" spans="5:27" x14ac:dyDescent="0.25">
      <c r="E594" s="142"/>
      <c r="F594" s="142"/>
      <c r="T594" s="165">
        <v>582</v>
      </c>
      <c r="U594" s="159">
        <f t="shared" si="64"/>
        <v>-70.108499999999992</v>
      </c>
      <c r="V594" s="159">
        <f t="shared" si="65"/>
        <v>-75.458500000000001</v>
      </c>
      <c r="W594" s="159">
        <f t="shared" si="66"/>
        <v>140.11000000000001</v>
      </c>
      <c r="X594" s="159">
        <f t="shared" si="67"/>
        <v>-5.4569999999999936</v>
      </c>
      <c r="Y594" s="159">
        <f t="shared" ca="1" si="63"/>
        <v>-9.327053436771962</v>
      </c>
      <c r="Z594" s="159">
        <f t="shared" ca="1" si="68"/>
        <v>-14.717576365048943</v>
      </c>
      <c r="AA594" s="161">
        <f t="shared" ca="1" si="69"/>
        <v>-1471.7576365048944</v>
      </c>
    </row>
    <row r="595" spans="5:27" x14ac:dyDescent="0.25">
      <c r="E595" s="142"/>
      <c r="F595" s="142"/>
      <c r="T595" s="165">
        <v>583</v>
      </c>
      <c r="U595" s="159">
        <f t="shared" si="64"/>
        <v>-70.108499999999992</v>
      </c>
      <c r="V595" s="159">
        <f t="shared" si="65"/>
        <v>-74.458500000000001</v>
      </c>
      <c r="W595" s="159">
        <f t="shared" si="66"/>
        <v>139.11000000000001</v>
      </c>
      <c r="X595" s="159">
        <f t="shared" si="67"/>
        <v>-5.4569999999999936</v>
      </c>
      <c r="Y595" s="159">
        <f t="shared" ca="1" si="63"/>
        <v>-9.327053436771962</v>
      </c>
      <c r="Z595" s="159">
        <f t="shared" ca="1" si="68"/>
        <v>-14.717576365048943</v>
      </c>
      <c r="AA595" s="161">
        <f t="shared" ca="1" si="69"/>
        <v>-1471.7576365048944</v>
      </c>
    </row>
    <row r="596" spans="5:27" x14ac:dyDescent="0.25">
      <c r="E596" s="142"/>
      <c r="F596" s="142"/>
      <c r="T596" s="165">
        <v>584</v>
      </c>
      <c r="U596" s="159">
        <f t="shared" si="64"/>
        <v>-70.108499999999992</v>
      </c>
      <c r="V596" s="159">
        <f t="shared" si="65"/>
        <v>-73.458500000000001</v>
      </c>
      <c r="W596" s="159">
        <f t="shared" si="66"/>
        <v>138.11000000000001</v>
      </c>
      <c r="X596" s="159">
        <f t="shared" si="67"/>
        <v>-5.4569999999999936</v>
      </c>
      <c r="Y596" s="159">
        <f t="shared" ca="1" si="63"/>
        <v>-9.327053436771962</v>
      </c>
      <c r="Z596" s="159">
        <f t="shared" ca="1" si="68"/>
        <v>-14.717576365048943</v>
      </c>
      <c r="AA596" s="161">
        <f t="shared" ca="1" si="69"/>
        <v>-1471.7576365048944</v>
      </c>
    </row>
    <row r="597" spans="5:27" x14ac:dyDescent="0.25">
      <c r="E597" s="142"/>
      <c r="F597" s="142"/>
      <c r="T597" s="165">
        <v>585</v>
      </c>
      <c r="U597" s="159">
        <f t="shared" si="64"/>
        <v>-70.108499999999992</v>
      </c>
      <c r="V597" s="159">
        <f t="shared" si="65"/>
        <v>-72.458500000000001</v>
      </c>
      <c r="W597" s="159">
        <f t="shared" si="66"/>
        <v>137.11000000000001</v>
      </c>
      <c r="X597" s="159">
        <f t="shared" si="67"/>
        <v>-5.4569999999999936</v>
      </c>
      <c r="Y597" s="159">
        <f t="shared" ca="1" si="63"/>
        <v>-9.327053436771962</v>
      </c>
      <c r="Z597" s="159">
        <f t="shared" ca="1" si="68"/>
        <v>-14.717576365048943</v>
      </c>
      <c r="AA597" s="161">
        <f t="shared" ca="1" si="69"/>
        <v>-1471.7576365048944</v>
      </c>
    </row>
    <row r="598" spans="5:27" x14ac:dyDescent="0.25">
      <c r="E598" s="142"/>
      <c r="F598" s="142"/>
      <c r="T598" s="165">
        <v>586</v>
      </c>
      <c r="U598" s="159">
        <f t="shared" si="64"/>
        <v>-70.108499999999992</v>
      </c>
      <c r="V598" s="159">
        <f t="shared" si="65"/>
        <v>-71.458500000000001</v>
      </c>
      <c r="W598" s="159">
        <f t="shared" si="66"/>
        <v>136.11000000000001</v>
      </c>
      <c r="X598" s="159">
        <f t="shared" si="67"/>
        <v>-5.4569999999999936</v>
      </c>
      <c r="Y598" s="159">
        <f t="shared" ca="1" si="63"/>
        <v>-9.327053436771962</v>
      </c>
      <c r="Z598" s="159">
        <f t="shared" ca="1" si="68"/>
        <v>-14.717576365048943</v>
      </c>
      <c r="AA598" s="161">
        <f t="shared" ca="1" si="69"/>
        <v>-1471.7576365048944</v>
      </c>
    </row>
    <row r="599" spans="5:27" x14ac:dyDescent="0.25">
      <c r="E599" s="142"/>
      <c r="F599" s="142"/>
      <c r="T599" s="165">
        <v>587</v>
      </c>
      <c r="U599" s="159">
        <f t="shared" si="64"/>
        <v>-70.108499999999992</v>
      </c>
      <c r="V599" s="159">
        <f t="shared" si="65"/>
        <v>-70.458500000000001</v>
      </c>
      <c r="W599" s="159">
        <f t="shared" si="66"/>
        <v>135.11000000000001</v>
      </c>
      <c r="X599" s="159">
        <f t="shared" si="67"/>
        <v>-5.4569999999999936</v>
      </c>
      <c r="Y599" s="159">
        <f t="shared" ca="1" si="63"/>
        <v>-9.327053436771962</v>
      </c>
      <c r="Z599" s="159">
        <f t="shared" ca="1" si="68"/>
        <v>-14.717576365048943</v>
      </c>
      <c r="AA599" s="161">
        <f t="shared" ca="1" si="69"/>
        <v>-1471.7576365048944</v>
      </c>
    </row>
    <row r="600" spans="5:27" x14ac:dyDescent="0.25">
      <c r="E600" s="142"/>
      <c r="F600" s="142"/>
      <c r="T600" s="165">
        <v>588</v>
      </c>
      <c r="U600" s="159">
        <f t="shared" si="64"/>
        <v>-70.108499999999992</v>
      </c>
      <c r="V600" s="159">
        <f t="shared" si="65"/>
        <v>-69.458500000000001</v>
      </c>
      <c r="W600" s="159">
        <f t="shared" si="66"/>
        <v>134.11000000000001</v>
      </c>
      <c r="X600" s="159">
        <f t="shared" si="67"/>
        <v>-5.4569999999999936</v>
      </c>
      <c r="Y600" s="159">
        <f t="shared" ca="1" si="63"/>
        <v>-9.327053436771962</v>
      </c>
      <c r="Z600" s="159">
        <f t="shared" ca="1" si="68"/>
        <v>-14.717576365048943</v>
      </c>
      <c r="AA600" s="161">
        <f t="shared" ca="1" si="69"/>
        <v>-1471.7576365048944</v>
      </c>
    </row>
    <row r="601" spans="5:27" x14ac:dyDescent="0.25">
      <c r="E601" s="142"/>
      <c r="F601" s="142"/>
      <c r="T601" s="165">
        <v>589</v>
      </c>
      <c r="U601" s="159">
        <f t="shared" si="64"/>
        <v>-70.108499999999992</v>
      </c>
      <c r="V601" s="159">
        <f t="shared" si="65"/>
        <v>-68.458500000000001</v>
      </c>
      <c r="W601" s="159">
        <f t="shared" si="66"/>
        <v>133.11000000000001</v>
      </c>
      <c r="X601" s="159">
        <f t="shared" si="67"/>
        <v>-5.4569999999999936</v>
      </c>
      <c r="Y601" s="159">
        <f t="shared" ca="1" si="63"/>
        <v>-9.327053436771962</v>
      </c>
      <c r="Z601" s="159">
        <f t="shared" ca="1" si="68"/>
        <v>-14.717576365048943</v>
      </c>
      <c r="AA601" s="161">
        <f t="shared" ca="1" si="69"/>
        <v>-1471.7576365048944</v>
      </c>
    </row>
    <row r="602" spans="5:27" x14ac:dyDescent="0.25">
      <c r="E602" s="142"/>
      <c r="F602" s="142"/>
      <c r="T602" s="165">
        <v>590</v>
      </c>
      <c r="U602" s="159">
        <f t="shared" si="64"/>
        <v>-70.108499999999992</v>
      </c>
      <c r="V602" s="159">
        <f t="shared" si="65"/>
        <v>-67.458500000000001</v>
      </c>
      <c r="W602" s="159">
        <f t="shared" si="66"/>
        <v>132.11000000000001</v>
      </c>
      <c r="X602" s="159">
        <f t="shared" si="67"/>
        <v>-5.4569999999999936</v>
      </c>
      <c r="Y602" s="159">
        <f t="shared" ca="1" si="63"/>
        <v>-9.327053436771962</v>
      </c>
      <c r="Z602" s="159">
        <f t="shared" ca="1" si="68"/>
        <v>-14.717576365048943</v>
      </c>
      <c r="AA602" s="161">
        <f t="shared" ca="1" si="69"/>
        <v>-1471.7576365048944</v>
      </c>
    </row>
    <row r="603" spans="5:27" x14ac:dyDescent="0.25">
      <c r="E603" s="142"/>
      <c r="F603" s="142"/>
      <c r="T603" s="165">
        <v>591</v>
      </c>
      <c r="U603" s="159">
        <f t="shared" si="64"/>
        <v>-70.108499999999992</v>
      </c>
      <c r="V603" s="159">
        <f t="shared" si="65"/>
        <v>-66.458500000000001</v>
      </c>
      <c r="W603" s="159">
        <f t="shared" si="66"/>
        <v>131.11000000000001</v>
      </c>
      <c r="X603" s="159">
        <f t="shared" si="67"/>
        <v>-5.4569999999999936</v>
      </c>
      <c r="Y603" s="159">
        <f t="shared" ca="1" si="63"/>
        <v>-9.327053436771962</v>
      </c>
      <c r="Z603" s="159">
        <f t="shared" ca="1" si="68"/>
        <v>-14.717576365048943</v>
      </c>
      <c r="AA603" s="161">
        <f t="shared" ca="1" si="69"/>
        <v>-1471.7576365048944</v>
      </c>
    </row>
    <row r="604" spans="5:27" x14ac:dyDescent="0.25">
      <c r="E604" s="142"/>
      <c r="F604" s="142"/>
      <c r="T604" s="165">
        <v>592</v>
      </c>
      <c r="U604" s="159">
        <f t="shared" si="64"/>
        <v>-70.108499999999992</v>
      </c>
      <c r="V604" s="159">
        <f t="shared" si="65"/>
        <v>-65.458500000000001</v>
      </c>
      <c r="W604" s="159">
        <f t="shared" si="66"/>
        <v>130.11000000000001</v>
      </c>
      <c r="X604" s="159">
        <f t="shared" si="67"/>
        <v>-5.4569999999999936</v>
      </c>
      <c r="Y604" s="159">
        <f t="shared" ca="1" si="63"/>
        <v>-9.327053436771962</v>
      </c>
      <c r="Z604" s="159">
        <f t="shared" ca="1" si="68"/>
        <v>-14.717576365048943</v>
      </c>
      <c r="AA604" s="161">
        <f t="shared" ca="1" si="69"/>
        <v>-1471.7576365048944</v>
      </c>
    </row>
    <row r="605" spans="5:27" x14ac:dyDescent="0.25">
      <c r="E605" s="142"/>
      <c r="F605" s="142"/>
      <c r="T605" s="165">
        <v>593</v>
      </c>
      <c r="U605" s="159">
        <f t="shared" si="64"/>
        <v>-70.108499999999992</v>
      </c>
      <c r="V605" s="159">
        <f t="shared" si="65"/>
        <v>-64.458500000000001</v>
      </c>
      <c r="W605" s="159">
        <f t="shared" si="66"/>
        <v>129.11000000000001</v>
      </c>
      <c r="X605" s="159">
        <f t="shared" si="67"/>
        <v>-5.4569999999999936</v>
      </c>
      <c r="Y605" s="159">
        <f t="shared" ca="1" si="63"/>
        <v>-9.327053436771962</v>
      </c>
      <c r="Z605" s="159">
        <f t="shared" ca="1" si="68"/>
        <v>-14.717576365048943</v>
      </c>
      <c r="AA605" s="161">
        <f t="shared" ca="1" si="69"/>
        <v>-1471.7576365048944</v>
      </c>
    </row>
    <row r="606" spans="5:27" x14ac:dyDescent="0.25">
      <c r="E606" s="142"/>
      <c r="F606" s="142"/>
      <c r="T606" s="165">
        <v>594</v>
      </c>
      <c r="U606" s="159">
        <f t="shared" si="64"/>
        <v>-70.108499999999992</v>
      </c>
      <c r="V606" s="159">
        <f t="shared" si="65"/>
        <v>-63.458500000000001</v>
      </c>
      <c r="W606" s="159">
        <f t="shared" si="66"/>
        <v>128.11000000000001</v>
      </c>
      <c r="X606" s="159">
        <f t="shared" si="67"/>
        <v>-5.4569999999999936</v>
      </c>
      <c r="Y606" s="159">
        <f t="shared" ca="1" si="63"/>
        <v>-9.327053436771962</v>
      </c>
      <c r="Z606" s="159">
        <f t="shared" ca="1" si="68"/>
        <v>-14.717576365048943</v>
      </c>
      <c r="AA606" s="161">
        <f t="shared" ca="1" si="69"/>
        <v>-1471.7576365048944</v>
      </c>
    </row>
    <row r="607" spans="5:27" x14ac:dyDescent="0.25">
      <c r="E607" s="142"/>
      <c r="F607" s="142"/>
      <c r="T607" s="165">
        <v>595</v>
      </c>
      <c r="U607" s="159">
        <f t="shared" si="64"/>
        <v>-70.108499999999992</v>
      </c>
      <c r="V607" s="159">
        <f t="shared" si="65"/>
        <v>-62.458500000000001</v>
      </c>
      <c r="W607" s="159">
        <f t="shared" si="66"/>
        <v>127.11000000000001</v>
      </c>
      <c r="X607" s="159">
        <f t="shared" si="67"/>
        <v>-5.4569999999999936</v>
      </c>
      <c r="Y607" s="159">
        <f t="shared" ca="1" si="63"/>
        <v>-9.327053436771962</v>
      </c>
      <c r="Z607" s="159">
        <f t="shared" ca="1" si="68"/>
        <v>-14.717576365048943</v>
      </c>
      <c r="AA607" s="161">
        <f t="shared" ca="1" si="69"/>
        <v>-1471.7576365048944</v>
      </c>
    </row>
    <row r="608" spans="5:27" x14ac:dyDescent="0.25">
      <c r="E608" s="142"/>
      <c r="F608" s="142"/>
      <c r="T608" s="165">
        <v>596</v>
      </c>
      <c r="U608" s="159">
        <f t="shared" si="64"/>
        <v>-70.108499999999992</v>
      </c>
      <c r="V608" s="159">
        <f t="shared" si="65"/>
        <v>-61.458500000000001</v>
      </c>
      <c r="W608" s="159">
        <f t="shared" si="66"/>
        <v>126.11000000000001</v>
      </c>
      <c r="X608" s="159">
        <f t="shared" si="67"/>
        <v>-5.4569999999999936</v>
      </c>
      <c r="Y608" s="159">
        <f t="shared" ca="1" si="63"/>
        <v>-9.327053436771962</v>
      </c>
      <c r="Z608" s="159">
        <f t="shared" ca="1" si="68"/>
        <v>-14.717576365048943</v>
      </c>
      <c r="AA608" s="161">
        <f t="shared" ca="1" si="69"/>
        <v>-1471.7576365048944</v>
      </c>
    </row>
    <row r="609" spans="5:27" x14ac:dyDescent="0.25">
      <c r="E609" s="142"/>
      <c r="F609" s="142"/>
      <c r="T609" s="165">
        <v>597</v>
      </c>
      <c r="U609" s="159">
        <f t="shared" si="64"/>
        <v>-70.108499999999992</v>
      </c>
      <c r="V609" s="159">
        <f t="shared" si="65"/>
        <v>-60.458500000000001</v>
      </c>
      <c r="W609" s="159">
        <f t="shared" si="66"/>
        <v>125.11000000000001</v>
      </c>
      <c r="X609" s="159">
        <f t="shared" si="67"/>
        <v>-5.4569999999999936</v>
      </c>
      <c r="Y609" s="159">
        <f t="shared" ca="1" si="63"/>
        <v>-9.327053436771962</v>
      </c>
      <c r="Z609" s="159">
        <f t="shared" ca="1" si="68"/>
        <v>-14.717576365048943</v>
      </c>
      <c r="AA609" s="161">
        <f t="shared" ca="1" si="69"/>
        <v>-1471.7576365048944</v>
      </c>
    </row>
    <row r="610" spans="5:27" x14ac:dyDescent="0.25">
      <c r="E610" s="142"/>
      <c r="F610" s="142"/>
      <c r="T610" s="165">
        <v>598</v>
      </c>
      <c r="U610" s="159">
        <f t="shared" si="64"/>
        <v>-70.108499999999992</v>
      </c>
      <c r="V610" s="159">
        <f t="shared" si="65"/>
        <v>-59.458500000000001</v>
      </c>
      <c r="W610" s="159">
        <f t="shared" si="66"/>
        <v>124.11000000000001</v>
      </c>
      <c r="X610" s="159">
        <f t="shared" si="67"/>
        <v>-5.4569999999999936</v>
      </c>
      <c r="Y610" s="159">
        <f t="shared" ca="1" si="63"/>
        <v>-9.327053436771962</v>
      </c>
      <c r="Z610" s="159">
        <f t="shared" ca="1" si="68"/>
        <v>-14.717576365048943</v>
      </c>
      <c r="AA610" s="161">
        <f t="shared" ca="1" si="69"/>
        <v>-1471.7576365048944</v>
      </c>
    </row>
    <row r="611" spans="5:27" x14ac:dyDescent="0.25">
      <c r="E611" s="142"/>
      <c r="F611" s="142"/>
      <c r="T611" s="165">
        <v>599</v>
      </c>
      <c r="U611" s="159">
        <f t="shared" si="64"/>
        <v>-70.108499999999992</v>
      </c>
      <c r="V611" s="159">
        <f t="shared" si="65"/>
        <v>-58.458500000000001</v>
      </c>
      <c r="W611" s="159">
        <f t="shared" si="66"/>
        <v>123.11000000000001</v>
      </c>
      <c r="X611" s="159">
        <f t="shared" si="67"/>
        <v>-5.4569999999999936</v>
      </c>
      <c r="Y611" s="159">
        <f t="shared" ca="1" si="63"/>
        <v>-9.327053436771962</v>
      </c>
      <c r="Z611" s="159">
        <f t="shared" ca="1" si="68"/>
        <v>-14.717576365048943</v>
      </c>
      <c r="AA611" s="161">
        <f t="shared" ca="1" si="69"/>
        <v>-1471.7576365048944</v>
      </c>
    </row>
    <row r="612" spans="5:27" x14ac:dyDescent="0.25">
      <c r="E612" s="142"/>
      <c r="F612" s="142"/>
      <c r="T612" s="165">
        <v>600</v>
      </c>
      <c r="U612" s="159">
        <f t="shared" si="64"/>
        <v>-70.108499999999992</v>
      </c>
      <c r="V612" s="159">
        <f t="shared" si="65"/>
        <v>-57.458500000000001</v>
      </c>
      <c r="W612" s="159">
        <f t="shared" si="66"/>
        <v>122.11000000000001</v>
      </c>
      <c r="X612" s="159">
        <f t="shared" si="67"/>
        <v>-5.4569999999999794</v>
      </c>
      <c r="Y612" s="159">
        <f t="shared" ca="1" si="63"/>
        <v>-9.327053436771962</v>
      </c>
      <c r="Z612" s="159">
        <f t="shared" ca="1" si="68"/>
        <v>-14.717576365048929</v>
      </c>
      <c r="AA612" s="161">
        <f t="shared" ca="1" si="69"/>
        <v>-1471.7576365048928</v>
      </c>
    </row>
    <row r="613" spans="5:27" x14ac:dyDescent="0.25">
      <c r="E613" s="142"/>
      <c r="F613" s="142"/>
      <c r="T613" s="165">
        <v>601</v>
      </c>
      <c r="U613" s="159">
        <f t="shared" si="64"/>
        <v>-70.108499999999992</v>
      </c>
      <c r="V613" s="159">
        <f t="shared" si="65"/>
        <v>-56.458500000000001</v>
      </c>
      <c r="W613" s="159">
        <f t="shared" si="66"/>
        <v>121.11000000000001</v>
      </c>
      <c r="X613" s="159">
        <f t="shared" si="67"/>
        <v>-5.4569999999999794</v>
      </c>
      <c r="Y613" s="159">
        <f t="shared" ca="1" si="63"/>
        <v>-9.327053436771962</v>
      </c>
      <c r="Z613" s="159">
        <f t="shared" ca="1" si="68"/>
        <v>-14.717576365048929</v>
      </c>
      <c r="AA613" s="161">
        <f t="shared" ca="1" si="69"/>
        <v>-1471.7576365048928</v>
      </c>
    </row>
    <row r="614" spans="5:27" x14ac:dyDescent="0.25">
      <c r="E614" s="142"/>
      <c r="F614" s="142"/>
      <c r="T614" s="165">
        <v>602</v>
      </c>
      <c r="U614" s="159">
        <f t="shared" si="64"/>
        <v>-70.108499999999992</v>
      </c>
      <c r="V614" s="159">
        <f t="shared" si="65"/>
        <v>-55.458500000000001</v>
      </c>
      <c r="W614" s="159">
        <f t="shared" si="66"/>
        <v>120.11000000000001</v>
      </c>
      <c r="X614" s="159">
        <f t="shared" si="67"/>
        <v>-5.4569999999999794</v>
      </c>
      <c r="Y614" s="159">
        <f t="shared" ca="1" si="63"/>
        <v>-9.327053436771962</v>
      </c>
      <c r="Z614" s="159">
        <f t="shared" ca="1" si="68"/>
        <v>-14.717576365048929</v>
      </c>
      <c r="AA614" s="161">
        <f t="shared" ca="1" si="69"/>
        <v>-1471.7576365048928</v>
      </c>
    </row>
    <row r="615" spans="5:27" x14ac:dyDescent="0.25">
      <c r="E615" s="142"/>
      <c r="F615" s="142"/>
      <c r="T615" s="165">
        <v>603</v>
      </c>
      <c r="U615" s="159">
        <f t="shared" si="64"/>
        <v>-70.108499999999992</v>
      </c>
      <c r="V615" s="159">
        <f t="shared" si="65"/>
        <v>-54.458500000000001</v>
      </c>
      <c r="W615" s="159">
        <f t="shared" si="66"/>
        <v>119.11000000000001</v>
      </c>
      <c r="X615" s="159">
        <f t="shared" si="67"/>
        <v>-5.4569999999999794</v>
      </c>
      <c r="Y615" s="159">
        <f t="shared" ca="1" si="63"/>
        <v>-9.327053436771962</v>
      </c>
      <c r="Z615" s="159">
        <f t="shared" ca="1" si="68"/>
        <v>-14.717576365048929</v>
      </c>
      <c r="AA615" s="161">
        <f t="shared" ca="1" si="69"/>
        <v>-1471.7576365048928</v>
      </c>
    </row>
    <row r="616" spans="5:27" x14ac:dyDescent="0.25">
      <c r="E616" s="142"/>
      <c r="F616" s="142"/>
      <c r="T616" s="165">
        <v>604</v>
      </c>
      <c r="U616" s="159">
        <f t="shared" si="64"/>
        <v>-70.108499999999992</v>
      </c>
      <c r="V616" s="159">
        <f t="shared" si="65"/>
        <v>-53.458500000000001</v>
      </c>
      <c r="W616" s="159">
        <f t="shared" si="66"/>
        <v>118.11000000000001</v>
      </c>
      <c r="X616" s="159">
        <f t="shared" si="67"/>
        <v>-5.4569999999999794</v>
      </c>
      <c r="Y616" s="159">
        <f t="shared" ca="1" si="63"/>
        <v>-9.327053436771962</v>
      </c>
      <c r="Z616" s="159">
        <f t="shared" ca="1" si="68"/>
        <v>-14.717576365048929</v>
      </c>
      <c r="AA616" s="161">
        <f t="shared" ca="1" si="69"/>
        <v>-1471.7576365048928</v>
      </c>
    </row>
    <row r="617" spans="5:27" x14ac:dyDescent="0.25">
      <c r="E617" s="142"/>
      <c r="F617" s="142"/>
      <c r="T617" s="165">
        <v>605</v>
      </c>
      <c r="U617" s="159">
        <f t="shared" si="64"/>
        <v>-70.108499999999992</v>
      </c>
      <c r="V617" s="159">
        <f t="shared" si="65"/>
        <v>-52.458500000000001</v>
      </c>
      <c r="W617" s="159">
        <f t="shared" si="66"/>
        <v>117.11000000000001</v>
      </c>
      <c r="X617" s="159">
        <f t="shared" si="67"/>
        <v>-5.4569999999999794</v>
      </c>
      <c r="Y617" s="159">
        <f t="shared" ca="1" si="63"/>
        <v>-9.327053436771962</v>
      </c>
      <c r="Z617" s="159">
        <f t="shared" ca="1" si="68"/>
        <v>-14.717576365048929</v>
      </c>
      <c r="AA617" s="161">
        <f t="shared" ca="1" si="69"/>
        <v>-1471.7576365048928</v>
      </c>
    </row>
    <row r="618" spans="5:27" x14ac:dyDescent="0.25">
      <c r="E618" s="142"/>
      <c r="F618" s="142"/>
      <c r="T618" s="165">
        <v>606</v>
      </c>
      <c r="U618" s="159">
        <f t="shared" si="64"/>
        <v>-70.108499999999992</v>
      </c>
      <c r="V618" s="159">
        <f t="shared" si="65"/>
        <v>-51.458500000000001</v>
      </c>
      <c r="W618" s="159">
        <f t="shared" si="66"/>
        <v>116.11000000000001</v>
      </c>
      <c r="X618" s="159">
        <f t="shared" si="67"/>
        <v>-5.4569999999999794</v>
      </c>
      <c r="Y618" s="159">
        <f t="shared" ca="1" si="63"/>
        <v>-9.327053436771962</v>
      </c>
      <c r="Z618" s="159">
        <f t="shared" ca="1" si="68"/>
        <v>-14.717576365048929</v>
      </c>
      <c r="AA618" s="161">
        <f t="shared" ca="1" si="69"/>
        <v>-1471.7576365048928</v>
      </c>
    </row>
    <row r="619" spans="5:27" x14ac:dyDescent="0.25">
      <c r="E619" s="142"/>
      <c r="F619" s="142"/>
      <c r="T619" s="165">
        <v>607</v>
      </c>
      <c r="U619" s="159">
        <f t="shared" si="64"/>
        <v>-70.108499999999992</v>
      </c>
      <c r="V619" s="159">
        <f t="shared" si="65"/>
        <v>-50.458500000000001</v>
      </c>
      <c r="W619" s="159">
        <f t="shared" si="66"/>
        <v>115.11000000000001</v>
      </c>
      <c r="X619" s="159">
        <f t="shared" si="67"/>
        <v>-5.4569999999999794</v>
      </c>
      <c r="Y619" s="159">
        <f t="shared" ca="1" si="63"/>
        <v>-9.327053436771962</v>
      </c>
      <c r="Z619" s="159">
        <f t="shared" ca="1" si="68"/>
        <v>-14.717576365048929</v>
      </c>
      <c r="AA619" s="161">
        <f t="shared" ca="1" si="69"/>
        <v>-1471.7576365048928</v>
      </c>
    </row>
    <row r="620" spans="5:27" x14ac:dyDescent="0.25">
      <c r="E620" s="142"/>
      <c r="F620" s="142"/>
      <c r="T620" s="165">
        <v>608</v>
      </c>
      <c r="U620" s="159">
        <f t="shared" si="64"/>
        <v>-70.108499999999992</v>
      </c>
      <c r="V620" s="159">
        <f t="shared" si="65"/>
        <v>-49.458500000000001</v>
      </c>
      <c r="W620" s="159">
        <f t="shared" si="66"/>
        <v>114.11000000000001</v>
      </c>
      <c r="X620" s="159">
        <f t="shared" si="67"/>
        <v>-5.4569999999999794</v>
      </c>
      <c r="Y620" s="159">
        <f t="shared" ca="1" si="63"/>
        <v>-9.327053436771962</v>
      </c>
      <c r="Z620" s="159">
        <f t="shared" ca="1" si="68"/>
        <v>-14.717576365048929</v>
      </c>
      <c r="AA620" s="161">
        <f t="shared" ca="1" si="69"/>
        <v>-1471.7576365048928</v>
      </c>
    </row>
    <row r="621" spans="5:27" x14ac:dyDescent="0.25">
      <c r="E621" s="142"/>
      <c r="F621" s="142"/>
      <c r="T621" s="165">
        <v>609</v>
      </c>
      <c r="U621" s="159">
        <f t="shared" si="64"/>
        <v>-70.108499999999992</v>
      </c>
      <c r="V621" s="159">
        <f t="shared" si="65"/>
        <v>-48.458500000000001</v>
      </c>
      <c r="W621" s="159">
        <f t="shared" si="66"/>
        <v>113.11000000000001</v>
      </c>
      <c r="X621" s="159">
        <f t="shared" si="67"/>
        <v>-5.4569999999999794</v>
      </c>
      <c r="Y621" s="159">
        <f t="shared" ca="1" si="63"/>
        <v>-9.327053436771962</v>
      </c>
      <c r="Z621" s="159">
        <f t="shared" ca="1" si="68"/>
        <v>-14.717576365048929</v>
      </c>
      <c r="AA621" s="161">
        <f t="shared" ca="1" si="69"/>
        <v>-1471.7576365048928</v>
      </c>
    </row>
    <row r="622" spans="5:27" x14ac:dyDescent="0.25">
      <c r="E622" s="142"/>
      <c r="F622" s="142"/>
      <c r="T622" s="165">
        <v>610</v>
      </c>
      <c r="U622" s="159">
        <f t="shared" si="64"/>
        <v>-70.108499999999992</v>
      </c>
      <c r="V622" s="159">
        <f t="shared" si="65"/>
        <v>-47.458500000000001</v>
      </c>
      <c r="W622" s="159">
        <f t="shared" si="66"/>
        <v>112.11000000000001</v>
      </c>
      <c r="X622" s="159">
        <f t="shared" si="67"/>
        <v>-5.4569999999999794</v>
      </c>
      <c r="Y622" s="159">
        <f t="shared" ca="1" si="63"/>
        <v>-9.327053436771962</v>
      </c>
      <c r="Z622" s="159">
        <f t="shared" ca="1" si="68"/>
        <v>-14.717576365048929</v>
      </c>
      <c r="AA622" s="161">
        <f t="shared" ca="1" si="69"/>
        <v>-1471.7576365048928</v>
      </c>
    </row>
    <row r="623" spans="5:27" x14ac:dyDescent="0.25">
      <c r="E623" s="142"/>
      <c r="F623" s="142"/>
      <c r="T623" s="165">
        <v>611</v>
      </c>
      <c r="U623" s="159">
        <f t="shared" si="64"/>
        <v>-70.108499999999992</v>
      </c>
      <c r="V623" s="159">
        <f t="shared" si="65"/>
        <v>-46.458500000000001</v>
      </c>
      <c r="W623" s="159">
        <f t="shared" si="66"/>
        <v>111.11000000000001</v>
      </c>
      <c r="X623" s="159">
        <f t="shared" si="67"/>
        <v>-5.4569999999999794</v>
      </c>
      <c r="Y623" s="159">
        <f t="shared" ca="1" si="63"/>
        <v>-9.327053436771962</v>
      </c>
      <c r="Z623" s="159">
        <f t="shared" ca="1" si="68"/>
        <v>-14.717576365048929</v>
      </c>
      <c r="AA623" s="161">
        <f t="shared" ca="1" si="69"/>
        <v>-1471.7576365048928</v>
      </c>
    </row>
    <row r="624" spans="5:27" x14ac:dyDescent="0.25">
      <c r="E624" s="142"/>
      <c r="F624" s="142"/>
      <c r="T624" s="165">
        <v>612</v>
      </c>
      <c r="U624" s="159">
        <f t="shared" si="64"/>
        <v>-70.108499999999992</v>
      </c>
      <c r="V624" s="159">
        <f t="shared" si="65"/>
        <v>-45.458500000000001</v>
      </c>
      <c r="W624" s="159">
        <f t="shared" si="66"/>
        <v>110.11000000000001</v>
      </c>
      <c r="X624" s="159">
        <f t="shared" si="67"/>
        <v>-5.4569999999999794</v>
      </c>
      <c r="Y624" s="159">
        <f t="shared" ca="1" si="63"/>
        <v>-9.327053436771962</v>
      </c>
      <c r="Z624" s="159">
        <f t="shared" ca="1" si="68"/>
        <v>-14.717576365048929</v>
      </c>
      <c r="AA624" s="161">
        <f t="shared" ca="1" si="69"/>
        <v>-1471.7576365048928</v>
      </c>
    </row>
    <row r="625" spans="5:27" x14ac:dyDescent="0.25">
      <c r="E625" s="142"/>
      <c r="F625" s="142"/>
      <c r="T625" s="165">
        <v>613</v>
      </c>
      <c r="U625" s="159">
        <f t="shared" si="64"/>
        <v>-70.108499999999992</v>
      </c>
      <c r="V625" s="159">
        <f t="shared" si="65"/>
        <v>-44.458500000000001</v>
      </c>
      <c r="W625" s="159">
        <f t="shared" si="66"/>
        <v>109.11000000000001</v>
      </c>
      <c r="X625" s="159">
        <f t="shared" si="67"/>
        <v>-5.4569999999999794</v>
      </c>
      <c r="Y625" s="159">
        <f t="shared" ca="1" si="63"/>
        <v>-9.327053436771962</v>
      </c>
      <c r="Z625" s="159">
        <f t="shared" ca="1" si="68"/>
        <v>-14.717576365048929</v>
      </c>
      <c r="AA625" s="161">
        <f t="shared" ca="1" si="69"/>
        <v>-1471.7576365048928</v>
      </c>
    </row>
    <row r="626" spans="5:27" x14ac:dyDescent="0.25">
      <c r="E626" s="142"/>
      <c r="F626" s="142"/>
      <c r="T626" s="165">
        <v>614</v>
      </c>
      <c r="U626" s="159">
        <f t="shared" si="64"/>
        <v>-70.108499999999992</v>
      </c>
      <c r="V626" s="159">
        <f t="shared" si="65"/>
        <v>-43.458500000000001</v>
      </c>
      <c r="W626" s="159">
        <f t="shared" si="66"/>
        <v>108.11000000000001</v>
      </c>
      <c r="X626" s="159">
        <f t="shared" si="67"/>
        <v>-5.4569999999999794</v>
      </c>
      <c r="Y626" s="159">
        <f t="shared" ca="1" si="63"/>
        <v>-9.327053436771962</v>
      </c>
      <c r="Z626" s="159">
        <f t="shared" ca="1" si="68"/>
        <v>-14.717576365048929</v>
      </c>
      <c r="AA626" s="161">
        <f t="shared" ca="1" si="69"/>
        <v>-1471.7576365048928</v>
      </c>
    </row>
    <row r="627" spans="5:27" x14ac:dyDescent="0.25">
      <c r="E627" s="142"/>
      <c r="F627" s="142"/>
      <c r="T627" s="165">
        <v>615</v>
      </c>
      <c r="U627" s="159">
        <f t="shared" si="64"/>
        <v>-70.108499999999992</v>
      </c>
      <c r="V627" s="159">
        <f t="shared" si="65"/>
        <v>-42.458500000000001</v>
      </c>
      <c r="W627" s="159">
        <f t="shared" si="66"/>
        <v>107.11000000000001</v>
      </c>
      <c r="X627" s="159">
        <f t="shared" si="67"/>
        <v>-5.4569999999999794</v>
      </c>
      <c r="Y627" s="159">
        <f t="shared" ca="1" si="63"/>
        <v>-9.327053436771962</v>
      </c>
      <c r="Z627" s="159">
        <f t="shared" ca="1" si="68"/>
        <v>-14.717576365048929</v>
      </c>
      <c r="AA627" s="161">
        <f t="shared" ca="1" si="69"/>
        <v>-1471.7576365048928</v>
      </c>
    </row>
    <row r="628" spans="5:27" x14ac:dyDescent="0.25">
      <c r="E628" s="142"/>
      <c r="F628" s="142"/>
      <c r="T628" s="165">
        <v>616</v>
      </c>
      <c r="U628" s="159">
        <f t="shared" si="64"/>
        <v>-70.108499999999992</v>
      </c>
      <c r="V628" s="159">
        <f t="shared" si="65"/>
        <v>-41.458500000000001</v>
      </c>
      <c r="W628" s="159">
        <f t="shared" si="66"/>
        <v>106.11000000000001</v>
      </c>
      <c r="X628" s="159">
        <f t="shared" si="67"/>
        <v>-5.4569999999999794</v>
      </c>
      <c r="Y628" s="159">
        <f t="shared" ca="1" si="63"/>
        <v>-9.327053436771962</v>
      </c>
      <c r="Z628" s="159">
        <f t="shared" ca="1" si="68"/>
        <v>-14.717576365048929</v>
      </c>
      <c r="AA628" s="161">
        <f t="shared" ca="1" si="69"/>
        <v>-1471.7576365048928</v>
      </c>
    </row>
    <row r="629" spans="5:27" x14ac:dyDescent="0.25">
      <c r="E629" s="142"/>
      <c r="F629" s="142"/>
      <c r="T629" s="165">
        <v>617</v>
      </c>
      <c r="U629" s="159">
        <f t="shared" si="64"/>
        <v>-70.108499999999992</v>
      </c>
      <c r="V629" s="159">
        <f t="shared" si="65"/>
        <v>-40.458500000000001</v>
      </c>
      <c r="W629" s="159">
        <f t="shared" si="66"/>
        <v>105.11000000000001</v>
      </c>
      <c r="X629" s="159">
        <f t="shared" si="67"/>
        <v>-5.4569999999999794</v>
      </c>
      <c r="Y629" s="159">
        <f t="shared" ca="1" si="63"/>
        <v>-9.327053436771962</v>
      </c>
      <c r="Z629" s="159">
        <f t="shared" ca="1" si="68"/>
        <v>-14.717576365048929</v>
      </c>
      <c r="AA629" s="161">
        <f t="shared" ca="1" si="69"/>
        <v>-1471.7576365048928</v>
      </c>
    </row>
    <row r="630" spans="5:27" x14ac:dyDescent="0.25">
      <c r="E630" s="142"/>
      <c r="F630" s="142"/>
      <c r="T630" s="165">
        <v>618</v>
      </c>
      <c r="U630" s="159">
        <f t="shared" si="64"/>
        <v>-70.108499999999992</v>
      </c>
      <c r="V630" s="159">
        <f t="shared" si="65"/>
        <v>-39.458500000000001</v>
      </c>
      <c r="W630" s="159">
        <f t="shared" si="66"/>
        <v>104.11000000000001</v>
      </c>
      <c r="X630" s="159">
        <f t="shared" si="67"/>
        <v>-5.4569999999999794</v>
      </c>
      <c r="Y630" s="159">
        <f t="shared" ca="1" si="63"/>
        <v>-9.327053436771962</v>
      </c>
      <c r="Z630" s="159">
        <f t="shared" ca="1" si="68"/>
        <v>-14.717576365048929</v>
      </c>
      <c r="AA630" s="161">
        <f t="shared" ca="1" si="69"/>
        <v>-1471.7576365048928</v>
      </c>
    </row>
    <row r="631" spans="5:27" x14ac:dyDescent="0.25">
      <c r="E631" s="142"/>
      <c r="F631" s="142"/>
      <c r="T631" s="165">
        <v>619</v>
      </c>
      <c r="U631" s="159">
        <f t="shared" si="64"/>
        <v>-70.108499999999992</v>
      </c>
      <c r="V631" s="159">
        <f t="shared" si="65"/>
        <v>-38.458500000000001</v>
      </c>
      <c r="W631" s="159">
        <f t="shared" si="66"/>
        <v>103.11000000000001</v>
      </c>
      <c r="X631" s="159">
        <f t="shared" si="67"/>
        <v>-5.4569999999999794</v>
      </c>
      <c r="Y631" s="159">
        <f t="shared" ca="1" si="63"/>
        <v>-9.327053436771962</v>
      </c>
      <c r="Z631" s="159">
        <f t="shared" ca="1" si="68"/>
        <v>-14.717576365048929</v>
      </c>
      <c r="AA631" s="161">
        <f t="shared" ca="1" si="69"/>
        <v>-1471.7576365048928</v>
      </c>
    </row>
    <row r="632" spans="5:27" x14ac:dyDescent="0.25">
      <c r="E632" s="142"/>
      <c r="F632" s="142"/>
      <c r="T632" s="165">
        <v>620</v>
      </c>
      <c r="U632" s="159">
        <f t="shared" si="64"/>
        <v>-70.108499999999992</v>
      </c>
      <c r="V632" s="159">
        <f t="shared" si="65"/>
        <v>-37.458500000000001</v>
      </c>
      <c r="W632" s="159">
        <f t="shared" si="66"/>
        <v>102.11000000000001</v>
      </c>
      <c r="X632" s="159">
        <f t="shared" si="67"/>
        <v>-5.4569999999999794</v>
      </c>
      <c r="Y632" s="159">
        <f t="shared" ca="1" si="63"/>
        <v>-9.327053436771962</v>
      </c>
      <c r="Z632" s="159">
        <f t="shared" ca="1" si="68"/>
        <v>-14.717576365048929</v>
      </c>
      <c r="AA632" s="161">
        <f t="shared" ca="1" si="69"/>
        <v>-1471.7576365048928</v>
      </c>
    </row>
    <row r="633" spans="5:27" x14ac:dyDescent="0.25">
      <c r="E633" s="142"/>
      <c r="F633" s="142"/>
      <c r="T633" s="165">
        <v>621</v>
      </c>
      <c r="U633" s="159">
        <f t="shared" si="64"/>
        <v>-70.108499999999992</v>
      </c>
      <c r="V633" s="159">
        <f t="shared" si="65"/>
        <v>-36.458500000000001</v>
      </c>
      <c r="W633" s="159">
        <f t="shared" si="66"/>
        <v>101.11000000000001</v>
      </c>
      <c r="X633" s="159">
        <f t="shared" si="67"/>
        <v>-5.4569999999999794</v>
      </c>
      <c r="Y633" s="159">
        <f t="shared" ca="1" si="63"/>
        <v>-9.327053436771962</v>
      </c>
      <c r="Z633" s="159">
        <f t="shared" ca="1" si="68"/>
        <v>-14.717576365048929</v>
      </c>
      <c r="AA633" s="161">
        <f t="shared" ca="1" si="69"/>
        <v>-1471.7576365048928</v>
      </c>
    </row>
    <row r="634" spans="5:27" x14ac:dyDescent="0.25">
      <c r="E634" s="142"/>
      <c r="F634" s="142"/>
      <c r="T634" s="165">
        <v>622</v>
      </c>
      <c r="U634" s="159">
        <f t="shared" si="64"/>
        <v>-70.108499999999992</v>
      </c>
      <c r="V634" s="159">
        <f t="shared" si="65"/>
        <v>-35.458500000000001</v>
      </c>
      <c r="W634" s="159">
        <f t="shared" si="66"/>
        <v>100.11000000000001</v>
      </c>
      <c r="X634" s="159">
        <f t="shared" si="67"/>
        <v>-5.4569999999999794</v>
      </c>
      <c r="Y634" s="159">
        <f t="shared" ca="1" si="63"/>
        <v>-9.327053436771962</v>
      </c>
      <c r="Z634" s="159">
        <f t="shared" ca="1" si="68"/>
        <v>-14.717576365048929</v>
      </c>
      <c r="AA634" s="161">
        <f t="shared" ca="1" si="69"/>
        <v>-1471.7576365048928</v>
      </c>
    </row>
    <row r="635" spans="5:27" x14ac:dyDescent="0.25">
      <c r="E635" s="142"/>
      <c r="F635" s="142"/>
      <c r="T635" s="165">
        <v>623</v>
      </c>
      <c r="U635" s="159">
        <f t="shared" si="64"/>
        <v>-70.108499999999992</v>
      </c>
      <c r="V635" s="159">
        <f t="shared" si="65"/>
        <v>-34.458500000000001</v>
      </c>
      <c r="W635" s="159">
        <f t="shared" si="66"/>
        <v>99.110000000000014</v>
      </c>
      <c r="X635" s="159">
        <f t="shared" si="67"/>
        <v>-5.4569999999999794</v>
      </c>
      <c r="Y635" s="159">
        <f t="shared" ca="1" si="63"/>
        <v>-9.327053436771962</v>
      </c>
      <c r="Z635" s="159">
        <f t="shared" ca="1" si="68"/>
        <v>-14.717576365048929</v>
      </c>
      <c r="AA635" s="161">
        <f t="shared" ca="1" si="69"/>
        <v>-1471.7576365048928</v>
      </c>
    </row>
    <row r="636" spans="5:27" x14ac:dyDescent="0.25">
      <c r="E636" s="142"/>
      <c r="F636" s="142"/>
      <c r="T636" s="165">
        <v>624</v>
      </c>
      <c r="U636" s="159">
        <f t="shared" si="64"/>
        <v>-70.108499999999992</v>
      </c>
      <c r="V636" s="159">
        <f t="shared" si="65"/>
        <v>-33.458500000000001</v>
      </c>
      <c r="W636" s="159">
        <f t="shared" si="66"/>
        <v>98.110000000000014</v>
      </c>
      <c r="X636" s="159">
        <f t="shared" si="67"/>
        <v>-5.4569999999999794</v>
      </c>
      <c r="Y636" s="159">
        <f t="shared" ca="1" si="63"/>
        <v>-9.327053436771962</v>
      </c>
      <c r="Z636" s="159">
        <f t="shared" ca="1" si="68"/>
        <v>-14.717576365048929</v>
      </c>
      <c r="AA636" s="161">
        <f t="shared" ca="1" si="69"/>
        <v>-1471.7576365048928</v>
      </c>
    </row>
    <row r="637" spans="5:27" x14ac:dyDescent="0.25">
      <c r="E637" s="142"/>
      <c r="F637" s="142"/>
      <c r="T637" s="165">
        <v>625</v>
      </c>
      <c r="U637" s="159">
        <f t="shared" si="64"/>
        <v>-70.108499999999992</v>
      </c>
      <c r="V637" s="159">
        <f t="shared" si="65"/>
        <v>-32.458500000000001</v>
      </c>
      <c r="W637" s="159">
        <f t="shared" si="66"/>
        <v>97.110000000000014</v>
      </c>
      <c r="X637" s="159">
        <f t="shared" si="67"/>
        <v>-5.4569999999999794</v>
      </c>
      <c r="Y637" s="159">
        <f t="shared" ca="1" si="63"/>
        <v>-9.327053436771962</v>
      </c>
      <c r="Z637" s="159">
        <f t="shared" ca="1" si="68"/>
        <v>-14.717576365048929</v>
      </c>
      <c r="AA637" s="161">
        <f t="shared" ca="1" si="69"/>
        <v>-1471.7576365048928</v>
      </c>
    </row>
    <row r="638" spans="5:27" x14ac:dyDescent="0.25">
      <c r="E638" s="142"/>
      <c r="F638" s="142"/>
      <c r="T638" s="165">
        <v>626</v>
      </c>
      <c r="U638" s="159">
        <f t="shared" si="64"/>
        <v>-70.108499999999992</v>
      </c>
      <c r="V638" s="159">
        <f t="shared" si="65"/>
        <v>-31.458500000000004</v>
      </c>
      <c r="W638" s="159">
        <f t="shared" si="66"/>
        <v>96.110000000000014</v>
      </c>
      <c r="X638" s="159">
        <f t="shared" si="67"/>
        <v>-5.4569999999999794</v>
      </c>
      <c r="Y638" s="159">
        <f t="shared" ca="1" si="63"/>
        <v>-9.327053436771962</v>
      </c>
      <c r="Z638" s="159">
        <f t="shared" ca="1" si="68"/>
        <v>-14.717576365048929</v>
      </c>
      <c r="AA638" s="161">
        <f t="shared" ca="1" si="69"/>
        <v>-1471.7576365048928</v>
      </c>
    </row>
    <row r="639" spans="5:27" x14ac:dyDescent="0.25">
      <c r="E639" s="142"/>
      <c r="F639" s="142"/>
      <c r="T639" s="165">
        <v>627</v>
      </c>
      <c r="U639" s="159">
        <f t="shared" si="64"/>
        <v>-70.108499999999992</v>
      </c>
      <c r="V639" s="159">
        <f t="shared" si="65"/>
        <v>-30.458500000000004</v>
      </c>
      <c r="W639" s="159">
        <f t="shared" si="66"/>
        <v>95.110000000000014</v>
      </c>
      <c r="X639" s="159">
        <f t="shared" si="67"/>
        <v>-5.4569999999999794</v>
      </c>
      <c r="Y639" s="159">
        <f t="shared" ca="1" si="63"/>
        <v>-9.327053436771962</v>
      </c>
      <c r="Z639" s="159">
        <f t="shared" ca="1" si="68"/>
        <v>-14.717576365048929</v>
      </c>
      <c r="AA639" s="161">
        <f t="shared" ca="1" si="69"/>
        <v>-1471.7576365048928</v>
      </c>
    </row>
    <row r="640" spans="5:27" x14ac:dyDescent="0.25">
      <c r="E640" s="142"/>
      <c r="F640" s="142"/>
      <c r="T640" s="165">
        <v>628</v>
      </c>
      <c r="U640" s="159">
        <f t="shared" si="64"/>
        <v>-70.108499999999992</v>
      </c>
      <c r="V640" s="159">
        <f t="shared" si="65"/>
        <v>-29.458500000000004</v>
      </c>
      <c r="W640" s="159">
        <f t="shared" si="66"/>
        <v>94.110000000000014</v>
      </c>
      <c r="X640" s="159">
        <f t="shared" si="67"/>
        <v>-5.4569999999999794</v>
      </c>
      <c r="Y640" s="159">
        <f t="shared" ca="1" si="63"/>
        <v>-9.327053436771962</v>
      </c>
      <c r="Z640" s="159">
        <f t="shared" ca="1" si="68"/>
        <v>-14.717576365048929</v>
      </c>
      <c r="AA640" s="161">
        <f t="shared" ca="1" si="69"/>
        <v>-1471.7576365048928</v>
      </c>
    </row>
    <row r="641" spans="5:27" x14ac:dyDescent="0.25">
      <c r="E641" s="142"/>
      <c r="F641" s="142"/>
      <c r="T641" s="165">
        <v>629</v>
      </c>
      <c r="U641" s="159">
        <f t="shared" si="64"/>
        <v>-70.108499999999992</v>
      </c>
      <c r="V641" s="159">
        <f t="shared" si="65"/>
        <v>-28.458500000000004</v>
      </c>
      <c r="W641" s="159">
        <f t="shared" si="66"/>
        <v>93.110000000000014</v>
      </c>
      <c r="X641" s="159">
        <f t="shared" si="67"/>
        <v>-5.4569999999999794</v>
      </c>
      <c r="Y641" s="159">
        <f t="shared" ca="1" si="63"/>
        <v>-9.327053436771962</v>
      </c>
      <c r="Z641" s="159">
        <f t="shared" ca="1" si="68"/>
        <v>-14.717576365048929</v>
      </c>
      <c r="AA641" s="161">
        <f t="shared" ca="1" si="69"/>
        <v>-1471.7576365048928</v>
      </c>
    </row>
    <row r="642" spans="5:27" x14ac:dyDescent="0.25">
      <c r="E642" s="142"/>
      <c r="F642" s="142"/>
      <c r="T642" s="165">
        <v>630</v>
      </c>
      <c r="U642" s="159">
        <f t="shared" si="64"/>
        <v>-70.108499999999992</v>
      </c>
      <c r="V642" s="159">
        <f t="shared" si="65"/>
        <v>-27.458500000000004</v>
      </c>
      <c r="W642" s="159">
        <f t="shared" si="66"/>
        <v>92.110000000000014</v>
      </c>
      <c r="X642" s="159">
        <f t="shared" si="67"/>
        <v>-5.4569999999999794</v>
      </c>
      <c r="Y642" s="159">
        <f t="shared" ca="1" si="63"/>
        <v>-9.327053436771962</v>
      </c>
      <c r="Z642" s="159">
        <f t="shared" ca="1" si="68"/>
        <v>-14.717576365048929</v>
      </c>
      <c r="AA642" s="161">
        <f t="shared" ca="1" si="69"/>
        <v>-1471.7576365048928</v>
      </c>
    </row>
    <row r="643" spans="5:27" x14ac:dyDescent="0.25">
      <c r="E643" s="142"/>
      <c r="F643" s="142"/>
      <c r="T643" s="165">
        <v>631</v>
      </c>
      <c r="U643" s="159">
        <f t="shared" si="64"/>
        <v>-70.108499999999992</v>
      </c>
      <c r="V643" s="159">
        <f t="shared" si="65"/>
        <v>-26.458500000000004</v>
      </c>
      <c r="W643" s="159">
        <f t="shared" si="66"/>
        <v>91.110000000000014</v>
      </c>
      <c r="X643" s="159">
        <f t="shared" si="67"/>
        <v>-5.4569999999999794</v>
      </c>
      <c r="Y643" s="159">
        <f t="shared" ca="1" si="63"/>
        <v>-9.327053436771962</v>
      </c>
      <c r="Z643" s="159">
        <f t="shared" ca="1" si="68"/>
        <v>-14.717576365048929</v>
      </c>
      <c r="AA643" s="161">
        <f t="shared" ca="1" si="69"/>
        <v>-1471.7576365048928</v>
      </c>
    </row>
    <row r="644" spans="5:27" x14ac:dyDescent="0.25">
      <c r="E644" s="142"/>
      <c r="F644" s="142"/>
      <c r="T644" s="165">
        <v>632</v>
      </c>
      <c r="U644" s="159">
        <f t="shared" si="64"/>
        <v>-70.108499999999992</v>
      </c>
      <c r="V644" s="159">
        <f t="shared" si="65"/>
        <v>-25.458500000000004</v>
      </c>
      <c r="W644" s="159">
        <f t="shared" si="66"/>
        <v>90.110000000000014</v>
      </c>
      <c r="X644" s="159">
        <f t="shared" si="67"/>
        <v>-5.4569999999999794</v>
      </c>
      <c r="Y644" s="159">
        <f t="shared" ca="1" si="63"/>
        <v>-9.327053436771962</v>
      </c>
      <c r="Z644" s="159">
        <f t="shared" ca="1" si="68"/>
        <v>-14.717576365048929</v>
      </c>
      <c r="AA644" s="161">
        <f t="shared" ca="1" si="69"/>
        <v>-1471.7576365048928</v>
      </c>
    </row>
    <row r="645" spans="5:27" x14ac:dyDescent="0.25">
      <c r="E645" s="142"/>
      <c r="F645" s="142"/>
      <c r="T645" s="165">
        <v>633</v>
      </c>
      <c r="U645" s="159">
        <f t="shared" si="64"/>
        <v>-70.108499999999992</v>
      </c>
      <c r="V645" s="159">
        <f t="shared" si="65"/>
        <v>-24.458500000000004</v>
      </c>
      <c r="W645" s="159">
        <f t="shared" si="66"/>
        <v>89.110000000000014</v>
      </c>
      <c r="X645" s="159">
        <f t="shared" si="67"/>
        <v>-5.4569999999999794</v>
      </c>
      <c r="Y645" s="159">
        <f t="shared" ca="1" si="63"/>
        <v>-9.327053436771962</v>
      </c>
      <c r="Z645" s="159">
        <f t="shared" ca="1" si="68"/>
        <v>-14.717576365048929</v>
      </c>
      <c r="AA645" s="161">
        <f t="shared" ca="1" si="69"/>
        <v>-1471.7576365048928</v>
      </c>
    </row>
    <row r="646" spans="5:27" x14ac:dyDescent="0.25">
      <c r="E646" s="142"/>
      <c r="F646" s="142"/>
      <c r="T646" s="165">
        <v>634</v>
      </c>
      <c r="U646" s="159">
        <f t="shared" si="64"/>
        <v>-70.108499999999992</v>
      </c>
      <c r="V646" s="159">
        <f t="shared" si="65"/>
        <v>-23.458500000000004</v>
      </c>
      <c r="W646" s="159">
        <f t="shared" si="66"/>
        <v>88.110000000000014</v>
      </c>
      <c r="X646" s="159">
        <f t="shared" si="67"/>
        <v>-5.4569999999999794</v>
      </c>
      <c r="Y646" s="159">
        <f t="shared" ca="1" si="63"/>
        <v>-9.327053436771962</v>
      </c>
      <c r="Z646" s="159">
        <f t="shared" ca="1" si="68"/>
        <v>-14.717576365048929</v>
      </c>
      <c r="AA646" s="161">
        <f t="shared" ca="1" si="69"/>
        <v>-1471.7576365048928</v>
      </c>
    </row>
    <row r="647" spans="5:27" x14ac:dyDescent="0.25">
      <c r="E647" s="142"/>
      <c r="F647" s="142"/>
      <c r="T647" s="165">
        <v>635</v>
      </c>
      <c r="U647" s="159">
        <f t="shared" si="64"/>
        <v>-70.108499999999992</v>
      </c>
      <c r="V647" s="159">
        <f t="shared" si="65"/>
        <v>-22.458500000000004</v>
      </c>
      <c r="W647" s="159">
        <f t="shared" si="66"/>
        <v>87.110000000000014</v>
      </c>
      <c r="X647" s="159">
        <f t="shared" si="67"/>
        <v>-5.4569999999999794</v>
      </c>
      <c r="Y647" s="159">
        <f t="shared" ca="1" si="63"/>
        <v>-9.327053436771962</v>
      </c>
      <c r="Z647" s="159">
        <f t="shared" ca="1" si="68"/>
        <v>-14.717576365048929</v>
      </c>
      <c r="AA647" s="161">
        <f t="shared" ca="1" si="69"/>
        <v>-1471.7576365048928</v>
      </c>
    </row>
    <row r="648" spans="5:27" x14ac:dyDescent="0.25">
      <c r="E648" s="142"/>
      <c r="F648" s="142"/>
      <c r="T648" s="165">
        <v>636</v>
      </c>
      <c r="U648" s="159">
        <f t="shared" si="64"/>
        <v>-70.108499999999992</v>
      </c>
      <c r="V648" s="159">
        <f t="shared" si="65"/>
        <v>-21.458500000000004</v>
      </c>
      <c r="W648" s="159">
        <f t="shared" si="66"/>
        <v>86.110000000000014</v>
      </c>
      <c r="X648" s="159">
        <f t="shared" si="67"/>
        <v>-5.4569999999999794</v>
      </c>
      <c r="Y648" s="159">
        <f t="shared" ca="1" si="63"/>
        <v>-9.327053436771962</v>
      </c>
      <c r="Z648" s="159">
        <f t="shared" ca="1" si="68"/>
        <v>-14.717576365048929</v>
      </c>
      <c r="AA648" s="161">
        <f t="shared" ca="1" si="69"/>
        <v>-1471.7576365048928</v>
      </c>
    </row>
    <row r="649" spans="5:27" x14ac:dyDescent="0.25">
      <c r="E649" s="142"/>
      <c r="F649" s="142"/>
      <c r="T649" s="165">
        <v>637</v>
      </c>
      <c r="U649" s="159">
        <f t="shared" si="64"/>
        <v>-70.108499999999992</v>
      </c>
      <c r="V649" s="159">
        <f t="shared" si="65"/>
        <v>-20.458500000000004</v>
      </c>
      <c r="W649" s="159">
        <f t="shared" si="66"/>
        <v>85.110000000000014</v>
      </c>
      <c r="X649" s="159">
        <f t="shared" si="67"/>
        <v>-5.4569999999999794</v>
      </c>
      <c r="Y649" s="159">
        <f t="shared" ca="1" si="63"/>
        <v>-9.327053436771962</v>
      </c>
      <c r="Z649" s="159">
        <f t="shared" ca="1" si="68"/>
        <v>-14.717576365048929</v>
      </c>
      <c r="AA649" s="161">
        <f t="shared" ca="1" si="69"/>
        <v>-1471.7576365048928</v>
      </c>
    </row>
    <row r="650" spans="5:27" x14ac:dyDescent="0.25">
      <c r="E650" s="142"/>
      <c r="F650" s="142"/>
      <c r="T650" s="165">
        <v>638</v>
      </c>
      <c r="U650" s="159">
        <f t="shared" si="64"/>
        <v>-70.108499999999992</v>
      </c>
      <c r="V650" s="159">
        <f t="shared" si="65"/>
        <v>-19.458500000000004</v>
      </c>
      <c r="W650" s="159">
        <f t="shared" si="66"/>
        <v>84.110000000000014</v>
      </c>
      <c r="X650" s="159">
        <f t="shared" si="67"/>
        <v>-5.4569999999999794</v>
      </c>
      <c r="Y650" s="159">
        <f t="shared" ca="1" si="63"/>
        <v>-9.327053436771962</v>
      </c>
      <c r="Z650" s="159">
        <f t="shared" ca="1" si="68"/>
        <v>-14.717576365048929</v>
      </c>
      <c r="AA650" s="161">
        <f t="shared" ca="1" si="69"/>
        <v>-1471.7576365048928</v>
      </c>
    </row>
    <row r="651" spans="5:27" x14ac:dyDescent="0.25">
      <c r="E651" s="142"/>
      <c r="F651" s="142"/>
      <c r="T651" s="165">
        <v>639</v>
      </c>
      <c r="U651" s="159">
        <f t="shared" si="64"/>
        <v>-70.108499999999992</v>
      </c>
      <c r="V651" s="159">
        <f t="shared" si="65"/>
        <v>-18.458500000000004</v>
      </c>
      <c r="W651" s="159">
        <f t="shared" si="66"/>
        <v>83.110000000000014</v>
      </c>
      <c r="X651" s="159">
        <f t="shared" si="67"/>
        <v>-5.4569999999999794</v>
      </c>
      <c r="Y651" s="159">
        <f t="shared" ca="1" si="63"/>
        <v>-9.327053436771962</v>
      </c>
      <c r="Z651" s="159">
        <f t="shared" ca="1" si="68"/>
        <v>-14.717576365048929</v>
      </c>
      <c r="AA651" s="161">
        <f t="shared" ca="1" si="69"/>
        <v>-1471.7576365048928</v>
      </c>
    </row>
    <row r="652" spans="5:27" x14ac:dyDescent="0.25">
      <c r="E652" s="142"/>
      <c r="F652" s="142"/>
      <c r="T652" s="165">
        <v>640</v>
      </c>
      <c r="U652" s="159">
        <f t="shared" si="64"/>
        <v>-70.108499999999992</v>
      </c>
      <c r="V652" s="159">
        <f t="shared" si="65"/>
        <v>-17.458500000000004</v>
      </c>
      <c r="W652" s="159">
        <f t="shared" si="66"/>
        <v>82.110000000000014</v>
      </c>
      <c r="X652" s="159">
        <f t="shared" si="67"/>
        <v>-5.4569999999999794</v>
      </c>
      <c r="Y652" s="159">
        <f t="shared" ref="Y652:Y715" ca="1" si="70">$Y$10*EXP($Y$7*$C$6)-$Y$10</f>
        <v>-9.327053436771962</v>
      </c>
      <c r="Z652" s="159">
        <f t="shared" ca="1" si="68"/>
        <v>-14.717576365048929</v>
      </c>
      <c r="AA652" s="161">
        <f t="shared" ca="1" si="69"/>
        <v>-1471.7576365048928</v>
      </c>
    </row>
    <row r="653" spans="5:27" x14ac:dyDescent="0.25">
      <c r="E653" s="142"/>
      <c r="F653" s="142"/>
      <c r="T653" s="165">
        <v>641</v>
      </c>
      <c r="U653" s="159">
        <f t="shared" ref="U653:U716" si="71">MAX(0,T653-$U$9)-$U$10-$U$11/100</f>
        <v>-70.108499999999992</v>
      </c>
      <c r="V653" s="159">
        <f t="shared" ref="V653:V716" si="72">$V$10-MAX(0,$V$9-T653)-$V$11/100</f>
        <v>-16.458500000000004</v>
      </c>
      <c r="W653" s="159">
        <f t="shared" ref="W653:W716" si="73">$W$10-T653</f>
        <v>81.110000000000014</v>
      </c>
      <c r="X653" s="159">
        <f t="shared" ref="X653:X716" si="74">SUM(U653:W653)</f>
        <v>-5.4569999999999794</v>
      </c>
      <c r="Y653" s="159">
        <f t="shared" ca="1" si="70"/>
        <v>-9.327053436771962</v>
      </c>
      <c r="Z653" s="159">
        <f t="shared" ref="Z653:Z716" ca="1" si="75">EXP(-$E$3*$C$6)*SUM(X653:Y653)</f>
        <v>-14.717576365048929</v>
      </c>
      <c r="AA653" s="161">
        <f t="shared" ref="AA653:AA716" ca="1" si="76">Z653*100</f>
        <v>-1471.7576365048928</v>
      </c>
    </row>
    <row r="654" spans="5:27" x14ac:dyDescent="0.25">
      <c r="E654" s="142"/>
      <c r="F654" s="142"/>
      <c r="T654" s="165">
        <v>642</v>
      </c>
      <c r="U654" s="159">
        <f t="shared" si="71"/>
        <v>-70.108499999999992</v>
      </c>
      <c r="V654" s="159">
        <f t="shared" si="72"/>
        <v>-15.458500000000003</v>
      </c>
      <c r="W654" s="159">
        <f t="shared" si="73"/>
        <v>80.110000000000014</v>
      </c>
      <c r="X654" s="159">
        <f t="shared" si="74"/>
        <v>-5.4569999999999794</v>
      </c>
      <c r="Y654" s="159">
        <f t="shared" ca="1" si="70"/>
        <v>-9.327053436771962</v>
      </c>
      <c r="Z654" s="159">
        <f t="shared" ca="1" si="75"/>
        <v>-14.717576365048929</v>
      </c>
      <c r="AA654" s="161">
        <f t="shared" ca="1" si="76"/>
        <v>-1471.7576365048928</v>
      </c>
    </row>
    <row r="655" spans="5:27" x14ac:dyDescent="0.25">
      <c r="E655" s="142"/>
      <c r="F655" s="142"/>
      <c r="T655" s="165">
        <v>643</v>
      </c>
      <c r="U655" s="159">
        <f t="shared" si="71"/>
        <v>-70.108499999999992</v>
      </c>
      <c r="V655" s="159">
        <f t="shared" si="72"/>
        <v>-14.458500000000003</v>
      </c>
      <c r="W655" s="159">
        <f t="shared" si="73"/>
        <v>79.110000000000014</v>
      </c>
      <c r="X655" s="159">
        <f t="shared" si="74"/>
        <v>-5.4569999999999794</v>
      </c>
      <c r="Y655" s="159">
        <f t="shared" ca="1" si="70"/>
        <v>-9.327053436771962</v>
      </c>
      <c r="Z655" s="159">
        <f t="shared" ca="1" si="75"/>
        <v>-14.717576365048929</v>
      </c>
      <c r="AA655" s="161">
        <f t="shared" ca="1" si="76"/>
        <v>-1471.7576365048928</v>
      </c>
    </row>
    <row r="656" spans="5:27" x14ac:dyDescent="0.25">
      <c r="E656" s="142"/>
      <c r="F656" s="142"/>
      <c r="T656" s="165">
        <v>644</v>
      </c>
      <c r="U656" s="159">
        <f t="shared" si="71"/>
        <v>-70.108499999999992</v>
      </c>
      <c r="V656" s="159">
        <f t="shared" si="72"/>
        <v>-13.458500000000003</v>
      </c>
      <c r="W656" s="159">
        <f t="shared" si="73"/>
        <v>78.110000000000014</v>
      </c>
      <c r="X656" s="159">
        <f t="shared" si="74"/>
        <v>-5.4569999999999794</v>
      </c>
      <c r="Y656" s="159">
        <f t="shared" ca="1" si="70"/>
        <v>-9.327053436771962</v>
      </c>
      <c r="Z656" s="159">
        <f t="shared" ca="1" si="75"/>
        <v>-14.717576365048929</v>
      </c>
      <c r="AA656" s="161">
        <f t="shared" ca="1" si="76"/>
        <v>-1471.7576365048928</v>
      </c>
    </row>
    <row r="657" spans="5:27" x14ac:dyDescent="0.25">
      <c r="E657" s="142"/>
      <c r="F657" s="142"/>
      <c r="T657" s="165">
        <v>645</v>
      </c>
      <c r="U657" s="159">
        <f t="shared" si="71"/>
        <v>-70.108499999999992</v>
      </c>
      <c r="V657" s="159">
        <f t="shared" si="72"/>
        <v>-12.458500000000003</v>
      </c>
      <c r="W657" s="159">
        <f t="shared" si="73"/>
        <v>77.110000000000014</v>
      </c>
      <c r="X657" s="159">
        <f t="shared" si="74"/>
        <v>-5.4569999999999794</v>
      </c>
      <c r="Y657" s="159">
        <f t="shared" ca="1" si="70"/>
        <v>-9.327053436771962</v>
      </c>
      <c r="Z657" s="159">
        <f t="shared" ca="1" si="75"/>
        <v>-14.717576365048929</v>
      </c>
      <c r="AA657" s="161">
        <f t="shared" ca="1" si="76"/>
        <v>-1471.7576365048928</v>
      </c>
    </row>
    <row r="658" spans="5:27" x14ac:dyDescent="0.25">
      <c r="E658" s="142"/>
      <c r="F658" s="142"/>
      <c r="T658" s="165">
        <v>646</v>
      </c>
      <c r="U658" s="159">
        <f t="shared" si="71"/>
        <v>-70.108499999999992</v>
      </c>
      <c r="V658" s="159">
        <f t="shared" si="72"/>
        <v>-11.458500000000003</v>
      </c>
      <c r="W658" s="159">
        <f t="shared" si="73"/>
        <v>76.110000000000014</v>
      </c>
      <c r="X658" s="159">
        <f t="shared" si="74"/>
        <v>-5.4569999999999794</v>
      </c>
      <c r="Y658" s="159">
        <f t="shared" ca="1" si="70"/>
        <v>-9.327053436771962</v>
      </c>
      <c r="Z658" s="159">
        <f t="shared" ca="1" si="75"/>
        <v>-14.717576365048929</v>
      </c>
      <c r="AA658" s="161">
        <f t="shared" ca="1" si="76"/>
        <v>-1471.7576365048928</v>
      </c>
    </row>
    <row r="659" spans="5:27" x14ac:dyDescent="0.25">
      <c r="E659" s="142"/>
      <c r="F659" s="142"/>
      <c r="T659" s="165">
        <v>647</v>
      </c>
      <c r="U659" s="159">
        <f t="shared" si="71"/>
        <v>-70.108499999999992</v>
      </c>
      <c r="V659" s="159">
        <f t="shared" si="72"/>
        <v>-10.458500000000003</v>
      </c>
      <c r="W659" s="159">
        <f t="shared" si="73"/>
        <v>75.110000000000014</v>
      </c>
      <c r="X659" s="159">
        <f t="shared" si="74"/>
        <v>-5.4569999999999794</v>
      </c>
      <c r="Y659" s="159">
        <f t="shared" ca="1" si="70"/>
        <v>-9.327053436771962</v>
      </c>
      <c r="Z659" s="159">
        <f t="shared" ca="1" si="75"/>
        <v>-14.717576365048929</v>
      </c>
      <c r="AA659" s="161">
        <f t="shared" ca="1" si="76"/>
        <v>-1471.7576365048928</v>
      </c>
    </row>
    <row r="660" spans="5:27" x14ac:dyDescent="0.25">
      <c r="E660" s="142"/>
      <c r="F660" s="142"/>
      <c r="T660" s="165">
        <v>648</v>
      </c>
      <c r="U660" s="159">
        <f t="shared" si="71"/>
        <v>-70.108499999999992</v>
      </c>
      <c r="V660" s="159">
        <f t="shared" si="72"/>
        <v>-9.4585000000000026</v>
      </c>
      <c r="W660" s="159">
        <f t="shared" si="73"/>
        <v>74.110000000000014</v>
      </c>
      <c r="X660" s="159">
        <f t="shared" si="74"/>
        <v>-5.4569999999999794</v>
      </c>
      <c r="Y660" s="159">
        <f t="shared" ca="1" si="70"/>
        <v>-9.327053436771962</v>
      </c>
      <c r="Z660" s="159">
        <f t="shared" ca="1" si="75"/>
        <v>-14.717576365048929</v>
      </c>
      <c r="AA660" s="161">
        <f t="shared" ca="1" si="76"/>
        <v>-1471.7576365048928</v>
      </c>
    </row>
    <row r="661" spans="5:27" x14ac:dyDescent="0.25">
      <c r="E661" s="142"/>
      <c r="F661" s="142"/>
      <c r="T661" s="165">
        <v>649</v>
      </c>
      <c r="U661" s="159">
        <f t="shared" si="71"/>
        <v>-70.108499999999992</v>
      </c>
      <c r="V661" s="159">
        <f t="shared" si="72"/>
        <v>-8.4585000000000026</v>
      </c>
      <c r="W661" s="159">
        <f t="shared" si="73"/>
        <v>73.110000000000014</v>
      </c>
      <c r="X661" s="159">
        <f t="shared" si="74"/>
        <v>-5.4569999999999794</v>
      </c>
      <c r="Y661" s="159">
        <f t="shared" ca="1" si="70"/>
        <v>-9.327053436771962</v>
      </c>
      <c r="Z661" s="159">
        <f t="shared" ca="1" si="75"/>
        <v>-14.717576365048929</v>
      </c>
      <c r="AA661" s="161">
        <f t="shared" ca="1" si="76"/>
        <v>-1471.7576365048928</v>
      </c>
    </row>
    <row r="662" spans="5:27" x14ac:dyDescent="0.25">
      <c r="E662" s="142"/>
      <c r="F662" s="142"/>
      <c r="T662" s="165">
        <v>650</v>
      </c>
      <c r="U662" s="159">
        <f t="shared" si="71"/>
        <v>-70.108499999999992</v>
      </c>
      <c r="V662" s="159">
        <f t="shared" si="72"/>
        <v>-7.4585000000000026</v>
      </c>
      <c r="W662" s="159">
        <f t="shared" si="73"/>
        <v>72.110000000000014</v>
      </c>
      <c r="X662" s="159">
        <f t="shared" si="74"/>
        <v>-5.4569999999999794</v>
      </c>
      <c r="Y662" s="159">
        <f t="shared" ca="1" si="70"/>
        <v>-9.327053436771962</v>
      </c>
      <c r="Z662" s="159">
        <f t="shared" ca="1" si="75"/>
        <v>-14.717576365048929</v>
      </c>
      <c r="AA662" s="161">
        <f t="shared" ca="1" si="76"/>
        <v>-1471.7576365048928</v>
      </c>
    </row>
    <row r="663" spans="5:27" x14ac:dyDescent="0.25">
      <c r="E663" s="142"/>
      <c r="F663" s="142"/>
      <c r="T663" s="165">
        <v>651</v>
      </c>
      <c r="U663" s="159">
        <f t="shared" si="71"/>
        <v>-70.108499999999992</v>
      </c>
      <c r="V663" s="159">
        <f t="shared" si="72"/>
        <v>-6.4585000000000026</v>
      </c>
      <c r="W663" s="159">
        <f t="shared" si="73"/>
        <v>71.110000000000014</v>
      </c>
      <c r="X663" s="159">
        <f t="shared" si="74"/>
        <v>-5.4569999999999794</v>
      </c>
      <c r="Y663" s="159">
        <f t="shared" ca="1" si="70"/>
        <v>-9.327053436771962</v>
      </c>
      <c r="Z663" s="159">
        <f t="shared" ca="1" si="75"/>
        <v>-14.717576365048929</v>
      </c>
      <c r="AA663" s="161">
        <f t="shared" ca="1" si="76"/>
        <v>-1471.7576365048928</v>
      </c>
    </row>
    <row r="664" spans="5:27" x14ac:dyDescent="0.25">
      <c r="E664" s="142"/>
      <c r="F664" s="142"/>
      <c r="T664" s="165">
        <v>652</v>
      </c>
      <c r="U664" s="159">
        <f t="shared" si="71"/>
        <v>-70.108499999999992</v>
      </c>
      <c r="V664" s="159">
        <f t="shared" si="72"/>
        <v>-5.4585000000000026</v>
      </c>
      <c r="W664" s="159">
        <f t="shared" si="73"/>
        <v>70.110000000000014</v>
      </c>
      <c r="X664" s="159">
        <f t="shared" si="74"/>
        <v>-5.4569999999999794</v>
      </c>
      <c r="Y664" s="159">
        <f t="shared" ca="1" si="70"/>
        <v>-9.327053436771962</v>
      </c>
      <c r="Z664" s="159">
        <f t="shared" ca="1" si="75"/>
        <v>-14.717576365048929</v>
      </c>
      <c r="AA664" s="161">
        <f t="shared" ca="1" si="76"/>
        <v>-1471.7576365048928</v>
      </c>
    </row>
    <row r="665" spans="5:27" x14ac:dyDescent="0.25">
      <c r="E665" s="142"/>
      <c r="F665" s="142"/>
      <c r="T665" s="165">
        <v>653</v>
      </c>
      <c r="U665" s="159">
        <f t="shared" si="71"/>
        <v>-70.108499999999992</v>
      </c>
      <c r="V665" s="159">
        <f t="shared" si="72"/>
        <v>-4.4585000000000026</v>
      </c>
      <c r="W665" s="159">
        <f t="shared" si="73"/>
        <v>69.110000000000014</v>
      </c>
      <c r="X665" s="159">
        <f t="shared" si="74"/>
        <v>-5.4569999999999794</v>
      </c>
      <c r="Y665" s="159">
        <f t="shared" ca="1" si="70"/>
        <v>-9.327053436771962</v>
      </c>
      <c r="Z665" s="159">
        <f t="shared" ca="1" si="75"/>
        <v>-14.717576365048929</v>
      </c>
      <c r="AA665" s="161">
        <f t="shared" ca="1" si="76"/>
        <v>-1471.7576365048928</v>
      </c>
    </row>
    <row r="666" spans="5:27" x14ac:dyDescent="0.25">
      <c r="E666" s="142"/>
      <c r="F666" s="142"/>
      <c r="T666" s="165">
        <v>654</v>
      </c>
      <c r="U666" s="159">
        <f t="shared" si="71"/>
        <v>-70.108499999999992</v>
      </c>
      <c r="V666" s="159">
        <f t="shared" si="72"/>
        <v>-3.458500000000003</v>
      </c>
      <c r="W666" s="159">
        <f t="shared" si="73"/>
        <v>68.110000000000014</v>
      </c>
      <c r="X666" s="159">
        <f t="shared" si="74"/>
        <v>-5.4569999999999794</v>
      </c>
      <c r="Y666" s="159">
        <f t="shared" ca="1" si="70"/>
        <v>-9.327053436771962</v>
      </c>
      <c r="Z666" s="159">
        <f t="shared" ca="1" si="75"/>
        <v>-14.717576365048929</v>
      </c>
      <c r="AA666" s="161">
        <f t="shared" ca="1" si="76"/>
        <v>-1471.7576365048928</v>
      </c>
    </row>
    <row r="667" spans="5:27" x14ac:dyDescent="0.25">
      <c r="E667" s="142"/>
      <c r="F667" s="142"/>
      <c r="T667" s="165">
        <v>655</v>
      </c>
      <c r="U667" s="159">
        <f t="shared" si="71"/>
        <v>-70.108499999999992</v>
      </c>
      <c r="V667" s="159">
        <f t="shared" si="72"/>
        <v>-2.458500000000003</v>
      </c>
      <c r="W667" s="159">
        <f t="shared" si="73"/>
        <v>67.110000000000014</v>
      </c>
      <c r="X667" s="159">
        <f t="shared" si="74"/>
        <v>-5.4569999999999794</v>
      </c>
      <c r="Y667" s="159">
        <f t="shared" ca="1" si="70"/>
        <v>-9.327053436771962</v>
      </c>
      <c r="Z667" s="159">
        <f t="shared" ca="1" si="75"/>
        <v>-14.717576365048929</v>
      </c>
      <c r="AA667" s="161">
        <f t="shared" ca="1" si="76"/>
        <v>-1471.7576365048928</v>
      </c>
    </row>
    <row r="668" spans="5:27" x14ac:dyDescent="0.25">
      <c r="E668" s="142"/>
      <c r="F668" s="142"/>
      <c r="T668" s="165">
        <v>656</v>
      </c>
      <c r="U668" s="159">
        <f t="shared" si="71"/>
        <v>-70.108499999999992</v>
      </c>
      <c r="V668" s="159">
        <f t="shared" si="72"/>
        <v>-1.4585000000000028</v>
      </c>
      <c r="W668" s="159">
        <f t="shared" si="73"/>
        <v>66.110000000000014</v>
      </c>
      <c r="X668" s="159">
        <f t="shared" si="74"/>
        <v>-5.4569999999999794</v>
      </c>
      <c r="Y668" s="159">
        <f t="shared" ca="1" si="70"/>
        <v>-9.327053436771962</v>
      </c>
      <c r="Z668" s="159">
        <f t="shared" ca="1" si="75"/>
        <v>-14.717576365048929</v>
      </c>
      <c r="AA668" s="161">
        <f t="shared" ca="1" si="76"/>
        <v>-1471.7576365048928</v>
      </c>
    </row>
    <row r="669" spans="5:27" x14ac:dyDescent="0.25">
      <c r="E669" s="142"/>
      <c r="F669" s="142"/>
      <c r="T669" s="165">
        <v>657</v>
      </c>
      <c r="U669" s="159">
        <f t="shared" si="71"/>
        <v>-70.108499999999992</v>
      </c>
      <c r="V669" s="159">
        <f t="shared" si="72"/>
        <v>-0.45850000000000285</v>
      </c>
      <c r="W669" s="159">
        <f t="shared" si="73"/>
        <v>65.110000000000014</v>
      </c>
      <c r="X669" s="159">
        <f t="shared" si="74"/>
        <v>-5.4569999999999794</v>
      </c>
      <c r="Y669" s="159">
        <f t="shared" ca="1" si="70"/>
        <v>-9.327053436771962</v>
      </c>
      <c r="Z669" s="159">
        <f t="shared" ca="1" si="75"/>
        <v>-14.717576365048929</v>
      </c>
      <c r="AA669" s="161">
        <f t="shared" ca="1" si="76"/>
        <v>-1471.7576365048928</v>
      </c>
    </row>
    <row r="670" spans="5:27" x14ac:dyDescent="0.25">
      <c r="E670" s="142"/>
      <c r="F670" s="142"/>
      <c r="T670" s="165">
        <v>658</v>
      </c>
      <c r="U670" s="159">
        <f t="shared" si="71"/>
        <v>-70.108499999999992</v>
      </c>
      <c r="V670" s="159">
        <f t="shared" si="72"/>
        <v>0.54149999999999721</v>
      </c>
      <c r="W670" s="159">
        <f t="shared" si="73"/>
        <v>64.110000000000014</v>
      </c>
      <c r="X670" s="159">
        <f t="shared" si="74"/>
        <v>-5.4569999999999794</v>
      </c>
      <c r="Y670" s="159">
        <f t="shared" ca="1" si="70"/>
        <v>-9.327053436771962</v>
      </c>
      <c r="Z670" s="159">
        <f t="shared" ca="1" si="75"/>
        <v>-14.717576365048929</v>
      </c>
      <c r="AA670" s="161">
        <f t="shared" ca="1" si="76"/>
        <v>-1471.7576365048928</v>
      </c>
    </row>
    <row r="671" spans="5:27" x14ac:dyDescent="0.25">
      <c r="E671" s="142"/>
      <c r="F671" s="142"/>
      <c r="T671" s="165">
        <v>659</v>
      </c>
      <c r="U671" s="159">
        <f t="shared" si="71"/>
        <v>-70.108499999999992</v>
      </c>
      <c r="V671" s="159">
        <f t="shared" si="72"/>
        <v>1.5414999999999972</v>
      </c>
      <c r="W671" s="159">
        <f t="shared" si="73"/>
        <v>63.110000000000014</v>
      </c>
      <c r="X671" s="159">
        <f t="shared" si="74"/>
        <v>-5.4569999999999794</v>
      </c>
      <c r="Y671" s="159">
        <f t="shared" ca="1" si="70"/>
        <v>-9.327053436771962</v>
      </c>
      <c r="Z671" s="159">
        <f t="shared" ca="1" si="75"/>
        <v>-14.717576365048929</v>
      </c>
      <c r="AA671" s="161">
        <f t="shared" ca="1" si="76"/>
        <v>-1471.7576365048928</v>
      </c>
    </row>
    <row r="672" spans="5:27" x14ac:dyDescent="0.25">
      <c r="E672" s="142"/>
      <c r="F672" s="142"/>
      <c r="T672" s="165">
        <v>660</v>
      </c>
      <c r="U672" s="159">
        <f t="shared" si="71"/>
        <v>-70.108499999999992</v>
      </c>
      <c r="V672" s="159">
        <f t="shared" si="72"/>
        <v>2.541499999999997</v>
      </c>
      <c r="W672" s="159">
        <f t="shared" si="73"/>
        <v>62.110000000000014</v>
      </c>
      <c r="X672" s="159">
        <f t="shared" si="74"/>
        <v>-5.4569999999999794</v>
      </c>
      <c r="Y672" s="159">
        <f t="shared" ca="1" si="70"/>
        <v>-9.327053436771962</v>
      </c>
      <c r="Z672" s="159">
        <f t="shared" ca="1" si="75"/>
        <v>-14.717576365048929</v>
      </c>
      <c r="AA672" s="161">
        <f t="shared" ca="1" si="76"/>
        <v>-1471.7576365048928</v>
      </c>
    </row>
    <row r="673" spans="5:27" x14ac:dyDescent="0.25">
      <c r="E673" s="142"/>
      <c r="F673" s="142"/>
      <c r="T673" s="165">
        <v>661</v>
      </c>
      <c r="U673" s="159">
        <f t="shared" si="71"/>
        <v>-70.108499999999992</v>
      </c>
      <c r="V673" s="159">
        <f t="shared" si="72"/>
        <v>3.541499999999997</v>
      </c>
      <c r="W673" s="159">
        <f t="shared" si="73"/>
        <v>61.110000000000014</v>
      </c>
      <c r="X673" s="159">
        <f t="shared" si="74"/>
        <v>-5.4569999999999794</v>
      </c>
      <c r="Y673" s="159">
        <f t="shared" ca="1" si="70"/>
        <v>-9.327053436771962</v>
      </c>
      <c r="Z673" s="159">
        <f t="shared" ca="1" si="75"/>
        <v>-14.717576365048929</v>
      </c>
      <c r="AA673" s="161">
        <f t="shared" ca="1" si="76"/>
        <v>-1471.7576365048928</v>
      </c>
    </row>
    <row r="674" spans="5:27" x14ac:dyDescent="0.25">
      <c r="E674" s="142"/>
      <c r="F674" s="142"/>
      <c r="T674" s="165">
        <v>662</v>
      </c>
      <c r="U674" s="159">
        <f t="shared" si="71"/>
        <v>-70.108499999999992</v>
      </c>
      <c r="V674" s="159">
        <f t="shared" si="72"/>
        <v>4.5414999999999974</v>
      </c>
      <c r="W674" s="159">
        <f t="shared" si="73"/>
        <v>60.110000000000014</v>
      </c>
      <c r="X674" s="159">
        <f t="shared" si="74"/>
        <v>-5.4569999999999794</v>
      </c>
      <c r="Y674" s="159">
        <f t="shared" ca="1" si="70"/>
        <v>-9.327053436771962</v>
      </c>
      <c r="Z674" s="159">
        <f t="shared" ca="1" si="75"/>
        <v>-14.717576365048929</v>
      </c>
      <c r="AA674" s="161">
        <f t="shared" ca="1" si="76"/>
        <v>-1471.7576365048928</v>
      </c>
    </row>
    <row r="675" spans="5:27" x14ac:dyDescent="0.25">
      <c r="E675" s="142"/>
      <c r="F675" s="142"/>
      <c r="T675" s="165">
        <v>663</v>
      </c>
      <c r="U675" s="159">
        <f t="shared" si="71"/>
        <v>-70.108499999999992</v>
      </c>
      <c r="V675" s="159">
        <f t="shared" si="72"/>
        <v>5.5414999999999974</v>
      </c>
      <c r="W675" s="159">
        <f t="shared" si="73"/>
        <v>59.110000000000014</v>
      </c>
      <c r="X675" s="159">
        <f t="shared" si="74"/>
        <v>-5.4569999999999794</v>
      </c>
      <c r="Y675" s="159">
        <f t="shared" ca="1" si="70"/>
        <v>-9.327053436771962</v>
      </c>
      <c r="Z675" s="159">
        <f t="shared" ca="1" si="75"/>
        <v>-14.717576365048929</v>
      </c>
      <c r="AA675" s="161">
        <f t="shared" ca="1" si="76"/>
        <v>-1471.7576365048928</v>
      </c>
    </row>
    <row r="676" spans="5:27" x14ac:dyDescent="0.25">
      <c r="E676" s="142"/>
      <c r="F676" s="142"/>
      <c r="T676" s="165">
        <v>664</v>
      </c>
      <c r="U676" s="159">
        <f t="shared" si="71"/>
        <v>-70.108499999999992</v>
      </c>
      <c r="V676" s="159">
        <f t="shared" si="72"/>
        <v>6.5414999999999974</v>
      </c>
      <c r="W676" s="159">
        <f t="shared" si="73"/>
        <v>58.110000000000014</v>
      </c>
      <c r="X676" s="159">
        <f t="shared" si="74"/>
        <v>-5.4569999999999794</v>
      </c>
      <c r="Y676" s="159">
        <f t="shared" ca="1" si="70"/>
        <v>-9.327053436771962</v>
      </c>
      <c r="Z676" s="159">
        <f t="shared" ca="1" si="75"/>
        <v>-14.717576365048929</v>
      </c>
      <c r="AA676" s="161">
        <f t="shared" ca="1" si="76"/>
        <v>-1471.7576365048928</v>
      </c>
    </row>
    <row r="677" spans="5:27" x14ac:dyDescent="0.25">
      <c r="E677" s="142"/>
      <c r="F677" s="142"/>
      <c r="T677" s="165">
        <v>665</v>
      </c>
      <c r="U677" s="159">
        <f t="shared" si="71"/>
        <v>-70.108499999999992</v>
      </c>
      <c r="V677" s="159">
        <f t="shared" si="72"/>
        <v>7.5414999999999974</v>
      </c>
      <c r="W677" s="159">
        <f t="shared" si="73"/>
        <v>57.110000000000014</v>
      </c>
      <c r="X677" s="159">
        <f t="shared" si="74"/>
        <v>-5.4569999999999794</v>
      </c>
      <c r="Y677" s="159">
        <f t="shared" ca="1" si="70"/>
        <v>-9.327053436771962</v>
      </c>
      <c r="Z677" s="159">
        <f t="shared" ca="1" si="75"/>
        <v>-14.717576365048929</v>
      </c>
      <c r="AA677" s="161">
        <f t="shared" ca="1" si="76"/>
        <v>-1471.7576365048928</v>
      </c>
    </row>
    <row r="678" spans="5:27" x14ac:dyDescent="0.25">
      <c r="E678" s="142"/>
      <c r="F678" s="142"/>
      <c r="T678" s="165">
        <v>666</v>
      </c>
      <c r="U678" s="159">
        <f t="shared" si="71"/>
        <v>-70.108499999999992</v>
      </c>
      <c r="V678" s="159">
        <f t="shared" si="72"/>
        <v>8.5414999999999974</v>
      </c>
      <c r="W678" s="159">
        <f t="shared" si="73"/>
        <v>56.110000000000014</v>
      </c>
      <c r="X678" s="159">
        <f t="shared" si="74"/>
        <v>-5.4569999999999794</v>
      </c>
      <c r="Y678" s="159">
        <f t="shared" ca="1" si="70"/>
        <v>-9.327053436771962</v>
      </c>
      <c r="Z678" s="159">
        <f t="shared" ca="1" si="75"/>
        <v>-14.717576365048929</v>
      </c>
      <c r="AA678" s="161">
        <f t="shared" ca="1" si="76"/>
        <v>-1471.7576365048928</v>
      </c>
    </row>
    <row r="679" spans="5:27" x14ac:dyDescent="0.25">
      <c r="E679" s="142"/>
      <c r="F679" s="142"/>
      <c r="T679" s="165">
        <v>667</v>
      </c>
      <c r="U679" s="159">
        <f t="shared" si="71"/>
        <v>-70.108499999999992</v>
      </c>
      <c r="V679" s="159">
        <f t="shared" si="72"/>
        <v>9.5414999999999974</v>
      </c>
      <c r="W679" s="159">
        <f t="shared" si="73"/>
        <v>55.110000000000014</v>
      </c>
      <c r="X679" s="159">
        <f t="shared" si="74"/>
        <v>-5.4569999999999794</v>
      </c>
      <c r="Y679" s="159">
        <f t="shared" ca="1" si="70"/>
        <v>-9.327053436771962</v>
      </c>
      <c r="Z679" s="159">
        <f t="shared" ca="1" si="75"/>
        <v>-14.717576365048929</v>
      </c>
      <c r="AA679" s="161">
        <f t="shared" ca="1" si="76"/>
        <v>-1471.7576365048928</v>
      </c>
    </row>
    <row r="680" spans="5:27" x14ac:dyDescent="0.25">
      <c r="E680" s="142"/>
      <c r="F680" s="142"/>
      <c r="T680" s="165">
        <v>668</v>
      </c>
      <c r="U680" s="159">
        <f t="shared" si="71"/>
        <v>-70.108499999999992</v>
      </c>
      <c r="V680" s="159">
        <f t="shared" si="72"/>
        <v>10.541499999999997</v>
      </c>
      <c r="W680" s="159">
        <f t="shared" si="73"/>
        <v>54.110000000000014</v>
      </c>
      <c r="X680" s="159">
        <f t="shared" si="74"/>
        <v>-5.4569999999999794</v>
      </c>
      <c r="Y680" s="159">
        <f t="shared" ca="1" si="70"/>
        <v>-9.327053436771962</v>
      </c>
      <c r="Z680" s="159">
        <f t="shared" ca="1" si="75"/>
        <v>-14.717576365048929</v>
      </c>
      <c r="AA680" s="161">
        <f t="shared" ca="1" si="76"/>
        <v>-1471.7576365048928</v>
      </c>
    </row>
    <row r="681" spans="5:27" x14ac:dyDescent="0.25">
      <c r="E681" s="142"/>
      <c r="F681" s="142"/>
      <c r="T681" s="165">
        <v>669</v>
      </c>
      <c r="U681" s="159">
        <f t="shared" si="71"/>
        <v>-70.108499999999992</v>
      </c>
      <c r="V681" s="159">
        <f t="shared" si="72"/>
        <v>11.541499999999997</v>
      </c>
      <c r="W681" s="159">
        <f t="shared" si="73"/>
        <v>53.110000000000014</v>
      </c>
      <c r="X681" s="159">
        <f t="shared" si="74"/>
        <v>-5.4569999999999794</v>
      </c>
      <c r="Y681" s="159">
        <f t="shared" ca="1" si="70"/>
        <v>-9.327053436771962</v>
      </c>
      <c r="Z681" s="159">
        <f t="shared" ca="1" si="75"/>
        <v>-14.717576365048929</v>
      </c>
      <c r="AA681" s="161">
        <f t="shared" ca="1" si="76"/>
        <v>-1471.7576365048928</v>
      </c>
    </row>
    <row r="682" spans="5:27" x14ac:dyDescent="0.25">
      <c r="E682" s="142"/>
      <c r="F682" s="142"/>
      <c r="T682" s="165">
        <v>670</v>
      </c>
      <c r="U682" s="159">
        <f t="shared" si="71"/>
        <v>-70.108499999999992</v>
      </c>
      <c r="V682" s="159">
        <f t="shared" si="72"/>
        <v>12.541499999999997</v>
      </c>
      <c r="W682" s="159">
        <f t="shared" si="73"/>
        <v>52.110000000000014</v>
      </c>
      <c r="X682" s="159">
        <f t="shared" si="74"/>
        <v>-5.4569999999999794</v>
      </c>
      <c r="Y682" s="159">
        <f t="shared" ca="1" si="70"/>
        <v>-9.327053436771962</v>
      </c>
      <c r="Z682" s="159">
        <f t="shared" ca="1" si="75"/>
        <v>-14.717576365048929</v>
      </c>
      <c r="AA682" s="161">
        <f t="shared" ca="1" si="76"/>
        <v>-1471.7576365048928</v>
      </c>
    </row>
    <row r="683" spans="5:27" x14ac:dyDescent="0.25">
      <c r="E683" s="142"/>
      <c r="F683" s="142"/>
      <c r="T683" s="165">
        <v>671</v>
      </c>
      <c r="U683" s="159">
        <f t="shared" si="71"/>
        <v>-70.108499999999992</v>
      </c>
      <c r="V683" s="159">
        <f t="shared" si="72"/>
        <v>13.541499999999997</v>
      </c>
      <c r="W683" s="159">
        <f t="shared" si="73"/>
        <v>51.110000000000014</v>
      </c>
      <c r="X683" s="159">
        <f t="shared" si="74"/>
        <v>-5.4569999999999794</v>
      </c>
      <c r="Y683" s="159">
        <f t="shared" ca="1" si="70"/>
        <v>-9.327053436771962</v>
      </c>
      <c r="Z683" s="159">
        <f t="shared" ca="1" si="75"/>
        <v>-14.717576365048929</v>
      </c>
      <c r="AA683" s="161">
        <f t="shared" ca="1" si="76"/>
        <v>-1471.7576365048928</v>
      </c>
    </row>
    <row r="684" spans="5:27" x14ac:dyDescent="0.25">
      <c r="E684" s="142"/>
      <c r="F684" s="142"/>
      <c r="T684" s="165">
        <v>672</v>
      </c>
      <c r="U684" s="159">
        <f t="shared" si="71"/>
        <v>-70.108499999999992</v>
      </c>
      <c r="V684" s="159">
        <f t="shared" si="72"/>
        <v>14.541499999999997</v>
      </c>
      <c r="W684" s="159">
        <f t="shared" si="73"/>
        <v>50.110000000000014</v>
      </c>
      <c r="X684" s="159">
        <f t="shared" si="74"/>
        <v>-5.4569999999999794</v>
      </c>
      <c r="Y684" s="159">
        <f t="shared" ca="1" si="70"/>
        <v>-9.327053436771962</v>
      </c>
      <c r="Z684" s="159">
        <f t="shared" ca="1" si="75"/>
        <v>-14.717576365048929</v>
      </c>
      <c r="AA684" s="161">
        <f t="shared" ca="1" si="76"/>
        <v>-1471.7576365048928</v>
      </c>
    </row>
    <row r="685" spans="5:27" x14ac:dyDescent="0.25">
      <c r="E685" s="142"/>
      <c r="F685" s="142"/>
      <c r="T685" s="165">
        <v>673</v>
      </c>
      <c r="U685" s="159">
        <f t="shared" si="71"/>
        <v>-70.108499999999992</v>
      </c>
      <c r="V685" s="159">
        <f t="shared" si="72"/>
        <v>15.541499999999997</v>
      </c>
      <c r="W685" s="159">
        <f t="shared" si="73"/>
        <v>49.110000000000014</v>
      </c>
      <c r="X685" s="159">
        <f t="shared" si="74"/>
        <v>-5.4569999999999794</v>
      </c>
      <c r="Y685" s="159">
        <f t="shared" ca="1" si="70"/>
        <v>-9.327053436771962</v>
      </c>
      <c r="Z685" s="159">
        <f t="shared" ca="1" si="75"/>
        <v>-14.717576365048929</v>
      </c>
      <c r="AA685" s="161">
        <f t="shared" ca="1" si="76"/>
        <v>-1471.7576365048928</v>
      </c>
    </row>
    <row r="686" spans="5:27" x14ac:dyDescent="0.25">
      <c r="E686" s="142"/>
      <c r="F686" s="142"/>
      <c r="T686" s="165">
        <v>674</v>
      </c>
      <c r="U686" s="159">
        <f t="shared" si="71"/>
        <v>-70.108499999999992</v>
      </c>
      <c r="V686" s="159">
        <f t="shared" si="72"/>
        <v>16.541499999999996</v>
      </c>
      <c r="W686" s="159">
        <f t="shared" si="73"/>
        <v>48.110000000000014</v>
      </c>
      <c r="X686" s="159">
        <f t="shared" si="74"/>
        <v>-5.4569999999999794</v>
      </c>
      <c r="Y686" s="159">
        <f t="shared" ca="1" si="70"/>
        <v>-9.327053436771962</v>
      </c>
      <c r="Z686" s="159">
        <f t="shared" ca="1" si="75"/>
        <v>-14.717576365048929</v>
      </c>
      <c r="AA686" s="161">
        <f t="shared" ca="1" si="76"/>
        <v>-1471.7576365048928</v>
      </c>
    </row>
    <row r="687" spans="5:27" x14ac:dyDescent="0.25">
      <c r="E687" s="142"/>
      <c r="F687" s="142"/>
      <c r="T687" s="165">
        <v>675</v>
      </c>
      <c r="U687" s="159">
        <f t="shared" si="71"/>
        <v>-70.108499999999992</v>
      </c>
      <c r="V687" s="159">
        <f t="shared" si="72"/>
        <v>17.541499999999996</v>
      </c>
      <c r="W687" s="159">
        <f t="shared" si="73"/>
        <v>47.110000000000014</v>
      </c>
      <c r="X687" s="159">
        <f t="shared" si="74"/>
        <v>-5.4569999999999794</v>
      </c>
      <c r="Y687" s="159">
        <f t="shared" ca="1" si="70"/>
        <v>-9.327053436771962</v>
      </c>
      <c r="Z687" s="159">
        <f t="shared" ca="1" si="75"/>
        <v>-14.717576365048929</v>
      </c>
      <c r="AA687" s="161">
        <f t="shared" ca="1" si="76"/>
        <v>-1471.7576365048928</v>
      </c>
    </row>
    <row r="688" spans="5:27" x14ac:dyDescent="0.25">
      <c r="E688" s="142"/>
      <c r="F688" s="142"/>
      <c r="T688" s="165">
        <v>676</v>
      </c>
      <c r="U688" s="159">
        <f t="shared" si="71"/>
        <v>-70.108499999999992</v>
      </c>
      <c r="V688" s="159">
        <f t="shared" si="72"/>
        <v>18.541499999999996</v>
      </c>
      <c r="W688" s="159">
        <f t="shared" si="73"/>
        <v>46.110000000000014</v>
      </c>
      <c r="X688" s="159">
        <f t="shared" si="74"/>
        <v>-5.4569999999999794</v>
      </c>
      <c r="Y688" s="159">
        <f t="shared" ca="1" si="70"/>
        <v>-9.327053436771962</v>
      </c>
      <c r="Z688" s="159">
        <f t="shared" ca="1" si="75"/>
        <v>-14.717576365048929</v>
      </c>
      <c r="AA688" s="161">
        <f t="shared" ca="1" si="76"/>
        <v>-1471.7576365048928</v>
      </c>
    </row>
    <row r="689" spans="5:27" x14ac:dyDescent="0.25">
      <c r="E689" s="142"/>
      <c r="F689" s="142"/>
      <c r="T689" s="165">
        <v>677</v>
      </c>
      <c r="U689" s="159">
        <f t="shared" si="71"/>
        <v>-70.108499999999992</v>
      </c>
      <c r="V689" s="159">
        <f t="shared" si="72"/>
        <v>19.541499999999996</v>
      </c>
      <c r="W689" s="159">
        <f t="shared" si="73"/>
        <v>45.110000000000014</v>
      </c>
      <c r="X689" s="159">
        <f t="shared" si="74"/>
        <v>-5.4569999999999794</v>
      </c>
      <c r="Y689" s="159">
        <f t="shared" ca="1" si="70"/>
        <v>-9.327053436771962</v>
      </c>
      <c r="Z689" s="159">
        <f t="shared" ca="1" si="75"/>
        <v>-14.717576365048929</v>
      </c>
      <c r="AA689" s="161">
        <f t="shared" ca="1" si="76"/>
        <v>-1471.7576365048928</v>
      </c>
    </row>
    <row r="690" spans="5:27" x14ac:dyDescent="0.25">
      <c r="E690" s="142"/>
      <c r="F690" s="142"/>
      <c r="T690" s="165">
        <v>678</v>
      </c>
      <c r="U690" s="159">
        <f t="shared" si="71"/>
        <v>-70.108499999999992</v>
      </c>
      <c r="V690" s="159">
        <f t="shared" si="72"/>
        <v>20.541499999999996</v>
      </c>
      <c r="W690" s="159">
        <f t="shared" si="73"/>
        <v>44.110000000000014</v>
      </c>
      <c r="X690" s="159">
        <f t="shared" si="74"/>
        <v>-5.4569999999999794</v>
      </c>
      <c r="Y690" s="159">
        <f t="shared" ca="1" si="70"/>
        <v>-9.327053436771962</v>
      </c>
      <c r="Z690" s="159">
        <f t="shared" ca="1" si="75"/>
        <v>-14.717576365048929</v>
      </c>
      <c r="AA690" s="161">
        <f t="shared" ca="1" si="76"/>
        <v>-1471.7576365048928</v>
      </c>
    </row>
    <row r="691" spans="5:27" x14ac:dyDescent="0.25">
      <c r="E691" s="142"/>
      <c r="F691" s="142"/>
      <c r="T691" s="165">
        <v>679</v>
      </c>
      <c r="U691" s="159">
        <f t="shared" si="71"/>
        <v>-70.108499999999992</v>
      </c>
      <c r="V691" s="159">
        <f t="shared" si="72"/>
        <v>21.541499999999996</v>
      </c>
      <c r="W691" s="159">
        <f t="shared" si="73"/>
        <v>43.110000000000014</v>
      </c>
      <c r="X691" s="159">
        <f t="shared" si="74"/>
        <v>-5.4569999999999794</v>
      </c>
      <c r="Y691" s="159">
        <f t="shared" ca="1" si="70"/>
        <v>-9.327053436771962</v>
      </c>
      <c r="Z691" s="159">
        <f t="shared" ca="1" si="75"/>
        <v>-14.717576365048929</v>
      </c>
      <c r="AA691" s="161">
        <f t="shared" ca="1" si="76"/>
        <v>-1471.7576365048928</v>
      </c>
    </row>
    <row r="692" spans="5:27" x14ac:dyDescent="0.25">
      <c r="E692" s="142"/>
      <c r="F692" s="142"/>
      <c r="T692" s="165">
        <v>680</v>
      </c>
      <c r="U692" s="159">
        <f t="shared" si="71"/>
        <v>-70.108499999999992</v>
      </c>
      <c r="V692" s="159">
        <f t="shared" si="72"/>
        <v>22.541499999999996</v>
      </c>
      <c r="W692" s="159">
        <f t="shared" si="73"/>
        <v>42.110000000000014</v>
      </c>
      <c r="X692" s="159">
        <f t="shared" si="74"/>
        <v>-5.4569999999999794</v>
      </c>
      <c r="Y692" s="159">
        <f t="shared" ca="1" si="70"/>
        <v>-9.327053436771962</v>
      </c>
      <c r="Z692" s="159">
        <f t="shared" ca="1" si="75"/>
        <v>-14.717576365048929</v>
      </c>
      <c r="AA692" s="161">
        <f t="shared" ca="1" si="76"/>
        <v>-1471.7576365048928</v>
      </c>
    </row>
    <row r="693" spans="5:27" x14ac:dyDescent="0.25">
      <c r="E693" s="142"/>
      <c r="F693" s="142"/>
      <c r="T693" s="165">
        <v>681</v>
      </c>
      <c r="U693" s="159">
        <f t="shared" si="71"/>
        <v>-70.108499999999992</v>
      </c>
      <c r="V693" s="159">
        <f t="shared" si="72"/>
        <v>23.541499999999996</v>
      </c>
      <c r="W693" s="159">
        <f t="shared" si="73"/>
        <v>41.110000000000014</v>
      </c>
      <c r="X693" s="159">
        <f t="shared" si="74"/>
        <v>-5.4569999999999794</v>
      </c>
      <c r="Y693" s="159">
        <f t="shared" ca="1" si="70"/>
        <v>-9.327053436771962</v>
      </c>
      <c r="Z693" s="159">
        <f t="shared" ca="1" si="75"/>
        <v>-14.717576365048929</v>
      </c>
      <c r="AA693" s="161">
        <f t="shared" ca="1" si="76"/>
        <v>-1471.7576365048928</v>
      </c>
    </row>
    <row r="694" spans="5:27" x14ac:dyDescent="0.25">
      <c r="E694" s="142"/>
      <c r="F694" s="142"/>
      <c r="T694" s="165">
        <v>682</v>
      </c>
      <c r="U694" s="159">
        <f t="shared" si="71"/>
        <v>-70.108499999999992</v>
      </c>
      <c r="V694" s="159">
        <f t="shared" si="72"/>
        <v>24.541499999999996</v>
      </c>
      <c r="W694" s="159">
        <f t="shared" si="73"/>
        <v>40.110000000000014</v>
      </c>
      <c r="X694" s="159">
        <f t="shared" si="74"/>
        <v>-5.4569999999999794</v>
      </c>
      <c r="Y694" s="159">
        <f t="shared" ca="1" si="70"/>
        <v>-9.327053436771962</v>
      </c>
      <c r="Z694" s="159">
        <f t="shared" ca="1" si="75"/>
        <v>-14.717576365048929</v>
      </c>
      <c r="AA694" s="161">
        <f t="shared" ca="1" si="76"/>
        <v>-1471.7576365048928</v>
      </c>
    </row>
    <row r="695" spans="5:27" x14ac:dyDescent="0.25">
      <c r="E695" s="142"/>
      <c r="F695" s="142"/>
      <c r="T695" s="165">
        <v>683</v>
      </c>
      <c r="U695" s="159">
        <f t="shared" si="71"/>
        <v>-70.108499999999992</v>
      </c>
      <c r="V695" s="159">
        <f t="shared" si="72"/>
        <v>25.541499999999996</v>
      </c>
      <c r="W695" s="159">
        <f t="shared" si="73"/>
        <v>39.110000000000014</v>
      </c>
      <c r="X695" s="159">
        <f t="shared" si="74"/>
        <v>-5.4569999999999794</v>
      </c>
      <c r="Y695" s="159">
        <f t="shared" ca="1" si="70"/>
        <v>-9.327053436771962</v>
      </c>
      <c r="Z695" s="159">
        <f t="shared" ca="1" si="75"/>
        <v>-14.717576365048929</v>
      </c>
      <c r="AA695" s="161">
        <f t="shared" ca="1" si="76"/>
        <v>-1471.7576365048928</v>
      </c>
    </row>
    <row r="696" spans="5:27" x14ac:dyDescent="0.25">
      <c r="E696" s="142"/>
      <c r="F696" s="142"/>
      <c r="T696" s="165">
        <v>684</v>
      </c>
      <c r="U696" s="159">
        <f t="shared" si="71"/>
        <v>-70.108499999999992</v>
      </c>
      <c r="V696" s="159">
        <f t="shared" si="72"/>
        <v>26.541499999999996</v>
      </c>
      <c r="W696" s="159">
        <f t="shared" si="73"/>
        <v>38.110000000000014</v>
      </c>
      <c r="X696" s="159">
        <f t="shared" si="74"/>
        <v>-5.4569999999999794</v>
      </c>
      <c r="Y696" s="159">
        <f t="shared" ca="1" si="70"/>
        <v>-9.327053436771962</v>
      </c>
      <c r="Z696" s="159">
        <f t="shared" ca="1" si="75"/>
        <v>-14.717576365048929</v>
      </c>
      <c r="AA696" s="161">
        <f t="shared" ca="1" si="76"/>
        <v>-1471.7576365048928</v>
      </c>
    </row>
    <row r="697" spans="5:27" x14ac:dyDescent="0.25">
      <c r="E697" s="142"/>
      <c r="F697" s="142"/>
      <c r="T697" s="165">
        <v>685</v>
      </c>
      <c r="U697" s="159">
        <f t="shared" si="71"/>
        <v>-70.108499999999992</v>
      </c>
      <c r="V697" s="159">
        <f t="shared" si="72"/>
        <v>27.541499999999996</v>
      </c>
      <c r="W697" s="159">
        <f t="shared" si="73"/>
        <v>37.110000000000014</v>
      </c>
      <c r="X697" s="159">
        <f t="shared" si="74"/>
        <v>-5.4569999999999794</v>
      </c>
      <c r="Y697" s="159">
        <f t="shared" ca="1" si="70"/>
        <v>-9.327053436771962</v>
      </c>
      <c r="Z697" s="159">
        <f t="shared" ca="1" si="75"/>
        <v>-14.717576365048929</v>
      </c>
      <c r="AA697" s="161">
        <f t="shared" ca="1" si="76"/>
        <v>-1471.7576365048928</v>
      </c>
    </row>
    <row r="698" spans="5:27" x14ac:dyDescent="0.25">
      <c r="E698" s="142"/>
      <c r="F698" s="142"/>
      <c r="T698" s="165">
        <v>686</v>
      </c>
      <c r="U698" s="159">
        <f t="shared" si="71"/>
        <v>-70.108499999999992</v>
      </c>
      <c r="V698" s="159">
        <f t="shared" si="72"/>
        <v>28.541499999999996</v>
      </c>
      <c r="W698" s="159">
        <f t="shared" si="73"/>
        <v>36.110000000000014</v>
      </c>
      <c r="X698" s="159">
        <f t="shared" si="74"/>
        <v>-5.4569999999999794</v>
      </c>
      <c r="Y698" s="159">
        <f t="shared" ca="1" si="70"/>
        <v>-9.327053436771962</v>
      </c>
      <c r="Z698" s="159">
        <f t="shared" ca="1" si="75"/>
        <v>-14.717576365048929</v>
      </c>
      <c r="AA698" s="161">
        <f t="shared" ca="1" si="76"/>
        <v>-1471.7576365048928</v>
      </c>
    </row>
    <row r="699" spans="5:27" x14ac:dyDescent="0.25">
      <c r="E699" s="142"/>
      <c r="F699" s="142"/>
      <c r="T699" s="165">
        <v>687</v>
      </c>
      <c r="U699" s="159">
        <f t="shared" si="71"/>
        <v>-70.108499999999992</v>
      </c>
      <c r="V699" s="159">
        <f t="shared" si="72"/>
        <v>29.541499999999996</v>
      </c>
      <c r="W699" s="159">
        <f t="shared" si="73"/>
        <v>35.110000000000014</v>
      </c>
      <c r="X699" s="159">
        <f t="shared" si="74"/>
        <v>-5.4569999999999794</v>
      </c>
      <c r="Y699" s="159">
        <f t="shared" ca="1" si="70"/>
        <v>-9.327053436771962</v>
      </c>
      <c r="Z699" s="159">
        <f t="shared" ca="1" si="75"/>
        <v>-14.717576365048929</v>
      </c>
      <c r="AA699" s="161">
        <f t="shared" ca="1" si="76"/>
        <v>-1471.7576365048928</v>
      </c>
    </row>
    <row r="700" spans="5:27" x14ac:dyDescent="0.25">
      <c r="E700" s="142"/>
      <c r="F700" s="142"/>
      <c r="T700" s="165">
        <v>688</v>
      </c>
      <c r="U700" s="159">
        <f t="shared" si="71"/>
        <v>-70.108499999999992</v>
      </c>
      <c r="V700" s="159">
        <f t="shared" si="72"/>
        <v>30.541499999999996</v>
      </c>
      <c r="W700" s="159">
        <f t="shared" si="73"/>
        <v>34.110000000000014</v>
      </c>
      <c r="X700" s="159">
        <f t="shared" si="74"/>
        <v>-5.4569999999999794</v>
      </c>
      <c r="Y700" s="159">
        <f t="shared" ca="1" si="70"/>
        <v>-9.327053436771962</v>
      </c>
      <c r="Z700" s="159">
        <f t="shared" ca="1" si="75"/>
        <v>-14.717576365048929</v>
      </c>
      <c r="AA700" s="161">
        <f t="shared" ca="1" si="76"/>
        <v>-1471.7576365048928</v>
      </c>
    </row>
    <row r="701" spans="5:27" x14ac:dyDescent="0.25">
      <c r="E701" s="142"/>
      <c r="F701" s="142"/>
      <c r="T701" s="165">
        <v>689</v>
      </c>
      <c r="U701" s="159">
        <f t="shared" si="71"/>
        <v>-70.108499999999992</v>
      </c>
      <c r="V701" s="159">
        <f t="shared" si="72"/>
        <v>31.541499999999996</v>
      </c>
      <c r="W701" s="159">
        <f t="shared" si="73"/>
        <v>33.110000000000014</v>
      </c>
      <c r="X701" s="159">
        <f t="shared" si="74"/>
        <v>-5.4569999999999794</v>
      </c>
      <c r="Y701" s="159">
        <f t="shared" ca="1" si="70"/>
        <v>-9.327053436771962</v>
      </c>
      <c r="Z701" s="159">
        <f t="shared" ca="1" si="75"/>
        <v>-14.717576365048929</v>
      </c>
      <c r="AA701" s="161">
        <f t="shared" ca="1" si="76"/>
        <v>-1471.7576365048928</v>
      </c>
    </row>
    <row r="702" spans="5:27" x14ac:dyDescent="0.25">
      <c r="E702" s="142"/>
      <c r="F702" s="142"/>
      <c r="T702" s="165">
        <v>690</v>
      </c>
      <c r="U702" s="159">
        <f t="shared" si="71"/>
        <v>-70.108499999999992</v>
      </c>
      <c r="V702" s="159">
        <f t="shared" si="72"/>
        <v>32.541499999999999</v>
      </c>
      <c r="W702" s="159">
        <f t="shared" si="73"/>
        <v>32.110000000000014</v>
      </c>
      <c r="X702" s="159">
        <f t="shared" si="74"/>
        <v>-5.4569999999999794</v>
      </c>
      <c r="Y702" s="159">
        <f t="shared" ca="1" si="70"/>
        <v>-9.327053436771962</v>
      </c>
      <c r="Z702" s="159">
        <f t="shared" ca="1" si="75"/>
        <v>-14.717576365048929</v>
      </c>
      <c r="AA702" s="161">
        <f t="shared" ca="1" si="76"/>
        <v>-1471.7576365048928</v>
      </c>
    </row>
    <row r="703" spans="5:27" x14ac:dyDescent="0.25">
      <c r="E703" s="142"/>
      <c r="F703" s="142"/>
      <c r="T703" s="165">
        <v>691</v>
      </c>
      <c r="U703" s="159">
        <f t="shared" si="71"/>
        <v>-70.108499999999992</v>
      </c>
      <c r="V703" s="159">
        <f t="shared" si="72"/>
        <v>33.541499999999999</v>
      </c>
      <c r="W703" s="159">
        <f t="shared" si="73"/>
        <v>31.110000000000014</v>
      </c>
      <c r="X703" s="159">
        <f t="shared" si="74"/>
        <v>-5.4569999999999794</v>
      </c>
      <c r="Y703" s="159">
        <f t="shared" ca="1" si="70"/>
        <v>-9.327053436771962</v>
      </c>
      <c r="Z703" s="159">
        <f t="shared" ca="1" si="75"/>
        <v>-14.717576365048929</v>
      </c>
      <c r="AA703" s="161">
        <f t="shared" ca="1" si="76"/>
        <v>-1471.7576365048928</v>
      </c>
    </row>
    <row r="704" spans="5:27" x14ac:dyDescent="0.25">
      <c r="E704" s="142"/>
      <c r="F704" s="142"/>
      <c r="T704" s="165">
        <v>692</v>
      </c>
      <c r="U704" s="159">
        <f t="shared" si="71"/>
        <v>-70.108499999999992</v>
      </c>
      <c r="V704" s="159">
        <f t="shared" si="72"/>
        <v>34.541499999999999</v>
      </c>
      <c r="W704" s="159">
        <f t="shared" si="73"/>
        <v>30.110000000000014</v>
      </c>
      <c r="X704" s="159">
        <f t="shared" si="74"/>
        <v>-5.4569999999999794</v>
      </c>
      <c r="Y704" s="159">
        <f t="shared" ca="1" si="70"/>
        <v>-9.327053436771962</v>
      </c>
      <c r="Z704" s="159">
        <f t="shared" ca="1" si="75"/>
        <v>-14.717576365048929</v>
      </c>
      <c r="AA704" s="161">
        <f t="shared" ca="1" si="76"/>
        <v>-1471.7576365048928</v>
      </c>
    </row>
    <row r="705" spans="5:27" x14ac:dyDescent="0.25">
      <c r="E705" s="142"/>
      <c r="F705" s="142"/>
      <c r="T705" s="165">
        <v>693</v>
      </c>
      <c r="U705" s="159">
        <f t="shared" si="71"/>
        <v>-70.108499999999992</v>
      </c>
      <c r="V705" s="159">
        <f t="shared" si="72"/>
        <v>35.541499999999999</v>
      </c>
      <c r="W705" s="159">
        <f t="shared" si="73"/>
        <v>29.110000000000014</v>
      </c>
      <c r="X705" s="159">
        <f t="shared" si="74"/>
        <v>-5.4569999999999794</v>
      </c>
      <c r="Y705" s="159">
        <f t="shared" ca="1" si="70"/>
        <v>-9.327053436771962</v>
      </c>
      <c r="Z705" s="159">
        <f t="shared" ca="1" si="75"/>
        <v>-14.717576365048929</v>
      </c>
      <c r="AA705" s="161">
        <f t="shared" ca="1" si="76"/>
        <v>-1471.7576365048928</v>
      </c>
    </row>
    <row r="706" spans="5:27" x14ac:dyDescent="0.25">
      <c r="E706" s="142"/>
      <c r="F706" s="142"/>
      <c r="T706" s="165">
        <v>694</v>
      </c>
      <c r="U706" s="159">
        <f t="shared" si="71"/>
        <v>-70.108499999999992</v>
      </c>
      <c r="V706" s="159">
        <f t="shared" si="72"/>
        <v>36.541499999999999</v>
      </c>
      <c r="W706" s="159">
        <f t="shared" si="73"/>
        <v>28.110000000000014</v>
      </c>
      <c r="X706" s="159">
        <f t="shared" si="74"/>
        <v>-5.4569999999999794</v>
      </c>
      <c r="Y706" s="159">
        <f t="shared" ca="1" si="70"/>
        <v>-9.327053436771962</v>
      </c>
      <c r="Z706" s="159">
        <f t="shared" ca="1" si="75"/>
        <v>-14.717576365048929</v>
      </c>
      <c r="AA706" s="161">
        <f t="shared" ca="1" si="76"/>
        <v>-1471.7576365048928</v>
      </c>
    </row>
    <row r="707" spans="5:27" x14ac:dyDescent="0.25">
      <c r="E707" s="142"/>
      <c r="F707" s="142"/>
      <c r="T707" s="165">
        <v>695</v>
      </c>
      <c r="U707" s="159">
        <f t="shared" si="71"/>
        <v>-70.108499999999992</v>
      </c>
      <c r="V707" s="159">
        <f t="shared" si="72"/>
        <v>37.541499999999999</v>
      </c>
      <c r="W707" s="159">
        <f t="shared" si="73"/>
        <v>27.110000000000014</v>
      </c>
      <c r="X707" s="159">
        <f t="shared" si="74"/>
        <v>-5.4569999999999794</v>
      </c>
      <c r="Y707" s="159">
        <f t="shared" ca="1" si="70"/>
        <v>-9.327053436771962</v>
      </c>
      <c r="Z707" s="159">
        <f t="shared" ca="1" si="75"/>
        <v>-14.717576365048929</v>
      </c>
      <c r="AA707" s="161">
        <f t="shared" ca="1" si="76"/>
        <v>-1471.7576365048928</v>
      </c>
    </row>
    <row r="708" spans="5:27" x14ac:dyDescent="0.25">
      <c r="E708" s="142"/>
      <c r="F708" s="142"/>
      <c r="T708" s="165">
        <v>696</v>
      </c>
      <c r="U708" s="159">
        <f t="shared" si="71"/>
        <v>-70.108499999999992</v>
      </c>
      <c r="V708" s="159">
        <f t="shared" si="72"/>
        <v>38.541499999999999</v>
      </c>
      <c r="W708" s="159">
        <f t="shared" si="73"/>
        <v>26.110000000000014</v>
      </c>
      <c r="X708" s="159">
        <f t="shared" si="74"/>
        <v>-5.4569999999999794</v>
      </c>
      <c r="Y708" s="159">
        <f t="shared" ca="1" si="70"/>
        <v>-9.327053436771962</v>
      </c>
      <c r="Z708" s="159">
        <f t="shared" ca="1" si="75"/>
        <v>-14.717576365048929</v>
      </c>
      <c r="AA708" s="161">
        <f t="shared" ca="1" si="76"/>
        <v>-1471.7576365048928</v>
      </c>
    </row>
    <row r="709" spans="5:27" x14ac:dyDescent="0.25">
      <c r="E709" s="142"/>
      <c r="F709" s="142"/>
      <c r="T709" s="165">
        <v>697</v>
      </c>
      <c r="U709" s="159">
        <f t="shared" si="71"/>
        <v>-70.108499999999992</v>
      </c>
      <c r="V709" s="159">
        <f t="shared" si="72"/>
        <v>39.541499999999999</v>
      </c>
      <c r="W709" s="159">
        <f t="shared" si="73"/>
        <v>25.110000000000014</v>
      </c>
      <c r="X709" s="159">
        <f t="shared" si="74"/>
        <v>-5.4569999999999794</v>
      </c>
      <c r="Y709" s="159">
        <f t="shared" ca="1" si="70"/>
        <v>-9.327053436771962</v>
      </c>
      <c r="Z709" s="159">
        <f t="shared" ca="1" si="75"/>
        <v>-14.717576365048929</v>
      </c>
      <c r="AA709" s="161">
        <f t="shared" ca="1" si="76"/>
        <v>-1471.7576365048928</v>
      </c>
    </row>
    <row r="710" spans="5:27" x14ac:dyDescent="0.25">
      <c r="E710" s="142"/>
      <c r="F710" s="142"/>
      <c r="T710" s="165">
        <v>698</v>
      </c>
      <c r="U710" s="159">
        <f t="shared" si="71"/>
        <v>-70.108499999999992</v>
      </c>
      <c r="V710" s="159">
        <f t="shared" si="72"/>
        <v>40.541499999999999</v>
      </c>
      <c r="W710" s="159">
        <f t="shared" si="73"/>
        <v>24.110000000000014</v>
      </c>
      <c r="X710" s="159">
        <f t="shared" si="74"/>
        <v>-5.4569999999999794</v>
      </c>
      <c r="Y710" s="159">
        <f t="shared" ca="1" si="70"/>
        <v>-9.327053436771962</v>
      </c>
      <c r="Z710" s="159">
        <f t="shared" ca="1" si="75"/>
        <v>-14.717576365048929</v>
      </c>
      <c r="AA710" s="161">
        <f t="shared" ca="1" si="76"/>
        <v>-1471.7576365048928</v>
      </c>
    </row>
    <row r="711" spans="5:27" x14ac:dyDescent="0.25">
      <c r="E711" s="142"/>
      <c r="F711" s="142"/>
      <c r="T711" s="165">
        <v>699</v>
      </c>
      <c r="U711" s="159">
        <f t="shared" si="71"/>
        <v>-70.108499999999992</v>
      </c>
      <c r="V711" s="159">
        <f t="shared" si="72"/>
        <v>41.541499999999999</v>
      </c>
      <c r="W711" s="159">
        <f t="shared" si="73"/>
        <v>23.110000000000014</v>
      </c>
      <c r="X711" s="159">
        <f t="shared" si="74"/>
        <v>-5.4569999999999794</v>
      </c>
      <c r="Y711" s="159">
        <f t="shared" ca="1" si="70"/>
        <v>-9.327053436771962</v>
      </c>
      <c r="Z711" s="159">
        <f t="shared" ca="1" si="75"/>
        <v>-14.717576365048929</v>
      </c>
      <c r="AA711" s="161">
        <f t="shared" ca="1" si="76"/>
        <v>-1471.7576365048928</v>
      </c>
    </row>
    <row r="712" spans="5:27" x14ac:dyDescent="0.25">
      <c r="E712" s="142"/>
      <c r="F712" s="142"/>
      <c r="T712" s="165">
        <v>700</v>
      </c>
      <c r="U712" s="159">
        <f t="shared" si="71"/>
        <v>-70.108499999999992</v>
      </c>
      <c r="V712" s="159">
        <f t="shared" si="72"/>
        <v>42.541499999999999</v>
      </c>
      <c r="W712" s="159">
        <f t="shared" si="73"/>
        <v>22.110000000000014</v>
      </c>
      <c r="X712" s="159">
        <f t="shared" si="74"/>
        <v>-5.4569999999999794</v>
      </c>
      <c r="Y712" s="159">
        <f t="shared" ca="1" si="70"/>
        <v>-9.327053436771962</v>
      </c>
      <c r="Z712" s="159">
        <f t="shared" ca="1" si="75"/>
        <v>-14.717576365048929</v>
      </c>
      <c r="AA712" s="161">
        <f t="shared" ca="1" si="76"/>
        <v>-1471.7576365048928</v>
      </c>
    </row>
    <row r="713" spans="5:27" x14ac:dyDescent="0.25">
      <c r="E713" s="142"/>
      <c r="F713" s="142"/>
      <c r="T713" s="165">
        <v>701</v>
      </c>
      <c r="U713" s="159">
        <f t="shared" si="71"/>
        <v>-69.108499999999992</v>
      </c>
      <c r="V713" s="159">
        <f t="shared" si="72"/>
        <v>42.541499999999999</v>
      </c>
      <c r="W713" s="159">
        <f t="shared" si="73"/>
        <v>21.110000000000014</v>
      </c>
      <c r="X713" s="159">
        <f t="shared" si="74"/>
        <v>-5.4569999999999794</v>
      </c>
      <c r="Y713" s="159">
        <f t="shared" ca="1" si="70"/>
        <v>-9.327053436771962</v>
      </c>
      <c r="Z713" s="159">
        <f t="shared" ca="1" si="75"/>
        <v>-14.717576365048929</v>
      </c>
      <c r="AA713" s="161">
        <f t="shared" ca="1" si="76"/>
        <v>-1471.7576365048928</v>
      </c>
    </row>
    <row r="714" spans="5:27" x14ac:dyDescent="0.25">
      <c r="E714" s="142"/>
      <c r="F714" s="142"/>
      <c r="T714" s="165">
        <v>702</v>
      </c>
      <c r="U714" s="159">
        <f t="shared" si="71"/>
        <v>-68.108499999999992</v>
      </c>
      <c r="V714" s="159">
        <f t="shared" si="72"/>
        <v>42.541499999999999</v>
      </c>
      <c r="W714" s="159">
        <f t="shared" si="73"/>
        <v>20.110000000000014</v>
      </c>
      <c r="X714" s="159">
        <f t="shared" si="74"/>
        <v>-5.4569999999999794</v>
      </c>
      <c r="Y714" s="159">
        <f t="shared" ca="1" si="70"/>
        <v>-9.327053436771962</v>
      </c>
      <c r="Z714" s="159">
        <f t="shared" ca="1" si="75"/>
        <v>-14.717576365048929</v>
      </c>
      <c r="AA714" s="161">
        <f t="shared" ca="1" si="76"/>
        <v>-1471.7576365048928</v>
      </c>
    </row>
    <row r="715" spans="5:27" x14ac:dyDescent="0.25">
      <c r="E715" s="142"/>
      <c r="F715" s="142"/>
      <c r="T715" s="165">
        <v>703</v>
      </c>
      <c r="U715" s="159">
        <f t="shared" si="71"/>
        <v>-67.108499999999992</v>
      </c>
      <c r="V715" s="159">
        <f t="shared" si="72"/>
        <v>42.541499999999999</v>
      </c>
      <c r="W715" s="159">
        <f t="shared" si="73"/>
        <v>19.110000000000014</v>
      </c>
      <c r="X715" s="159">
        <f t="shared" si="74"/>
        <v>-5.4569999999999794</v>
      </c>
      <c r="Y715" s="159">
        <f t="shared" ca="1" si="70"/>
        <v>-9.327053436771962</v>
      </c>
      <c r="Z715" s="159">
        <f t="shared" ca="1" si="75"/>
        <v>-14.717576365048929</v>
      </c>
      <c r="AA715" s="161">
        <f t="shared" ca="1" si="76"/>
        <v>-1471.7576365048928</v>
      </c>
    </row>
    <row r="716" spans="5:27" x14ac:dyDescent="0.25">
      <c r="E716" s="142"/>
      <c r="F716" s="142"/>
      <c r="T716" s="165">
        <v>704</v>
      </c>
      <c r="U716" s="159">
        <f t="shared" si="71"/>
        <v>-66.108499999999992</v>
      </c>
      <c r="V716" s="159">
        <f t="shared" si="72"/>
        <v>42.541499999999999</v>
      </c>
      <c r="W716" s="159">
        <f t="shared" si="73"/>
        <v>18.110000000000014</v>
      </c>
      <c r="X716" s="159">
        <f t="shared" si="74"/>
        <v>-5.4569999999999794</v>
      </c>
      <c r="Y716" s="159">
        <f t="shared" ref="Y716:Y779" ca="1" si="77">$Y$10*EXP($Y$7*$C$6)-$Y$10</f>
        <v>-9.327053436771962</v>
      </c>
      <c r="Z716" s="159">
        <f t="shared" ca="1" si="75"/>
        <v>-14.717576365048929</v>
      </c>
      <c r="AA716" s="161">
        <f t="shared" ca="1" si="76"/>
        <v>-1471.7576365048928</v>
      </c>
    </row>
    <row r="717" spans="5:27" x14ac:dyDescent="0.25">
      <c r="E717" s="142"/>
      <c r="F717" s="142"/>
      <c r="T717" s="165">
        <v>705</v>
      </c>
      <c r="U717" s="159">
        <f t="shared" ref="U717:U780" si="78">MAX(0,T717-$U$9)-$U$10-$U$11/100</f>
        <v>-65.108499999999992</v>
      </c>
      <c r="V717" s="159">
        <f t="shared" ref="V717:V780" si="79">$V$10-MAX(0,$V$9-T717)-$V$11/100</f>
        <v>42.541499999999999</v>
      </c>
      <c r="W717" s="159">
        <f t="shared" ref="W717:W780" si="80">$W$10-T717</f>
        <v>17.110000000000014</v>
      </c>
      <c r="X717" s="159">
        <f t="shared" ref="X717:X780" si="81">SUM(U717:W717)</f>
        <v>-5.4569999999999794</v>
      </c>
      <c r="Y717" s="159">
        <f t="shared" ca="1" si="77"/>
        <v>-9.327053436771962</v>
      </c>
      <c r="Z717" s="159">
        <f t="shared" ref="Z717:Z780" ca="1" si="82">EXP(-$E$3*$C$6)*SUM(X717:Y717)</f>
        <v>-14.717576365048929</v>
      </c>
      <c r="AA717" s="161">
        <f t="shared" ref="AA717:AA780" ca="1" si="83">Z717*100</f>
        <v>-1471.7576365048928</v>
      </c>
    </row>
    <row r="718" spans="5:27" x14ac:dyDescent="0.25">
      <c r="E718" s="142"/>
      <c r="F718" s="142"/>
      <c r="T718" s="165">
        <v>706</v>
      </c>
      <c r="U718" s="159">
        <f t="shared" si="78"/>
        <v>-64.108499999999992</v>
      </c>
      <c r="V718" s="159">
        <f t="shared" si="79"/>
        <v>42.541499999999999</v>
      </c>
      <c r="W718" s="159">
        <f t="shared" si="80"/>
        <v>16.110000000000014</v>
      </c>
      <c r="X718" s="159">
        <f t="shared" si="81"/>
        <v>-5.4569999999999794</v>
      </c>
      <c r="Y718" s="159">
        <f t="shared" ca="1" si="77"/>
        <v>-9.327053436771962</v>
      </c>
      <c r="Z718" s="159">
        <f t="shared" ca="1" si="82"/>
        <v>-14.717576365048929</v>
      </c>
      <c r="AA718" s="161">
        <f t="shared" ca="1" si="83"/>
        <v>-1471.7576365048928</v>
      </c>
    </row>
    <row r="719" spans="5:27" x14ac:dyDescent="0.25">
      <c r="E719" s="142"/>
      <c r="F719" s="142"/>
      <c r="T719" s="165">
        <v>707</v>
      </c>
      <c r="U719" s="159">
        <f t="shared" si="78"/>
        <v>-63.108499999999992</v>
      </c>
      <c r="V719" s="159">
        <f t="shared" si="79"/>
        <v>42.541499999999999</v>
      </c>
      <c r="W719" s="159">
        <f t="shared" si="80"/>
        <v>15.110000000000014</v>
      </c>
      <c r="X719" s="159">
        <f t="shared" si="81"/>
        <v>-5.4569999999999794</v>
      </c>
      <c r="Y719" s="159">
        <f t="shared" ca="1" si="77"/>
        <v>-9.327053436771962</v>
      </c>
      <c r="Z719" s="159">
        <f t="shared" ca="1" si="82"/>
        <v>-14.717576365048929</v>
      </c>
      <c r="AA719" s="161">
        <f t="shared" ca="1" si="83"/>
        <v>-1471.7576365048928</v>
      </c>
    </row>
    <row r="720" spans="5:27" x14ac:dyDescent="0.25">
      <c r="E720" s="142"/>
      <c r="F720" s="142"/>
      <c r="T720" s="165">
        <v>708</v>
      </c>
      <c r="U720" s="159">
        <f t="shared" si="78"/>
        <v>-62.108499999999992</v>
      </c>
      <c r="V720" s="159">
        <f t="shared" si="79"/>
        <v>42.541499999999999</v>
      </c>
      <c r="W720" s="159">
        <f t="shared" si="80"/>
        <v>14.110000000000014</v>
      </c>
      <c r="X720" s="159">
        <f t="shared" si="81"/>
        <v>-5.4569999999999794</v>
      </c>
      <c r="Y720" s="159">
        <f t="shared" ca="1" si="77"/>
        <v>-9.327053436771962</v>
      </c>
      <c r="Z720" s="159">
        <f t="shared" ca="1" si="82"/>
        <v>-14.717576365048929</v>
      </c>
      <c r="AA720" s="161">
        <f t="shared" ca="1" si="83"/>
        <v>-1471.7576365048928</v>
      </c>
    </row>
    <row r="721" spans="5:27" x14ac:dyDescent="0.25">
      <c r="E721" s="142"/>
      <c r="F721" s="142"/>
      <c r="T721" s="165">
        <v>709</v>
      </c>
      <c r="U721" s="159">
        <f t="shared" si="78"/>
        <v>-61.108499999999992</v>
      </c>
      <c r="V721" s="159">
        <f t="shared" si="79"/>
        <v>42.541499999999999</v>
      </c>
      <c r="W721" s="159">
        <f t="shared" si="80"/>
        <v>13.110000000000014</v>
      </c>
      <c r="X721" s="159">
        <f t="shared" si="81"/>
        <v>-5.4569999999999794</v>
      </c>
      <c r="Y721" s="159">
        <f t="shared" ca="1" si="77"/>
        <v>-9.327053436771962</v>
      </c>
      <c r="Z721" s="159">
        <f t="shared" ca="1" si="82"/>
        <v>-14.717576365048929</v>
      </c>
      <c r="AA721" s="161">
        <f t="shared" ca="1" si="83"/>
        <v>-1471.7576365048928</v>
      </c>
    </row>
    <row r="722" spans="5:27" x14ac:dyDescent="0.25">
      <c r="E722" s="142"/>
      <c r="F722" s="142"/>
      <c r="T722" s="165">
        <v>710</v>
      </c>
      <c r="U722" s="159">
        <f t="shared" si="78"/>
        <v>-60.108499999999992</v>
      </c>
      <c r="V722" s="159">
        <f t="shared" si="79"/>
        <v>42.541499999999999</v>
      </c>
      <c r="W722" s="159">
        <f t="shared" si="80"/>
        <v>12.110000000000014</v>
      </c>
      <c r="X722" s="159">
        <f t="shared" si="81"/>
        <v>-5.4569999999999794</v>
      </c>
      <c r="Y722" s="159">
        <f t="shared" ca="1" si="77"/>
        <v>-9.327053436771962</v>
      </c>
      <c r="Z722" s="159">
        <f t="shared" ca="1" si="82"/>
        <v>-14.717576365048929</v>
      </c>
      <c r="AA722" s="161">
        <f t="shared" ca="1" si="83"/>
        <v>-1471.7576365048928</v>
      </c>
    </row>
    <row r="723" spans="5:27" x14ac:dyDescent="0.25">
      <c r="E723" s="142"/>
      <c r="F723" s="142"/>
      <c r="T723" s="165">
        <v>711</v>
      </c>
      <c r="U723" s="159">
        <f t="shared" si="78"/>
        <v>-59.108499999999992</v>
      </c>
      <c r="V723" s="159">
        <f t="shared" si="79"/>
        <v>42.541499999999999</v>
      </c>
      <c r="W723" s="159">
        <f t="shared" si="80"/>
        <v>11.110000000000014</v>
      </c>
      <c r="X723" s="159">
        <f t="shared" si="81"/>
        <v>-5.4569999999999794</v>
      </c>
      <c r="Y723" s="159">
        <f t="shared" ca="1" si="77"/>
        <v>-9.327053436771962</v>
      </c>
      <c r="Z723" s="159">
        <f t="shared" ca="1" si="82"/>
        <v>-14.717576365048929</v>
      </c>
      <c r="AA723" s="161">
        <f t="shared" ca="1" si="83"/>
        <v>-1471.7576365048928</v>
      </c>
    </row>
    <row r="724" spans="5:27" x14ac:dyDescent="0.25">
      <c r="E724" s="142"/>
      <c r="F724" s="142"/>
      <c r="T724" s="165">
        <v>712</v>
      </c>
      <c r="U724" s="159">
        <f t="shared" si="78"/>
        <v>-58.108499999999992</v>
      </c>
      <c r="V724" s="159">
        <f t="shared" si="79"/>
        <v>42.541499999999999</v>
      </c>
      <c r="W724" s="159">
        <f t="shared" si="80"/>
        <v>10.110000000000014</v>
      </c>
      <c r="X724" s="159">
        <f t="shared" si="81"/>
        <v>-5.4569999999999794</v>
      </c>
      <c r="Y724" s="159">
        <f t="shared" ca="1" si="77"/>
        <v>-9.327053436771962</v>
      </c>
      <c r="Z724" s="159">
        <f t="shared" ca="1" si="82"/>
        <v>-14.717576365048929</v>
      </c>
      <c r="AA724" s="161">
        <f t="shared" ca="1" si="83"/>
        <v>-1471.7576365048928</v>
      </c>
    </row>
    <row r="725" spans="5:27" x14ac:dyDescent="0.25">
      <c r="E725" s="142"/>
      <c r="F725" s="142"/>
      <c r="T725" s="165">
        <v>713</v>
      </c>
      <c r="U725" s="159">
        <f t="shared" si="78"/>
        <v>-57.108499999999992</v>
      </c>
      <c r="V725" s="159">
        <f t="shared" si="79"/>
        <v>42.541499999999999</v>
      </c>
      <c r="W725" s="159">
        <f t="shared" si="80"/>
        <v>9.1100000000000136</v>
      </c>
      <c r="X725" s="159">
        <f t="shared" si="81"/>
        <v>-5.4569999999999794</v>
      </c>
      <c r="Y725" s="159">
        <f t="shared" ca="1" si="77"/>
        <v>-9.327053436771962</v>
      </c>
      <c r="Z725" s="159">
        <f t="shared" ca="1" si="82"/>
        <v>-14.717576365048929</v>
      </c>
      <c r="AA725" s="161">
        <f t="shared" ca="1" si="83"/>
        <v>-1471.7576365048928</v>
      </c>
    </row>
    <row r="726" spans="5:27" x14ac:dyDescent="0.25">
      <c r="E726" s="142"/>
      <c r="F726" s="142"/>
      <c r="T726" s="165">
        <v>714</v>
      </c>
      <c r="U726" s="159">
        <f t="shared" si="78"/>
        <v>-56.108499999999992</v>
      </c>
      <c r="V726" s="159">
        <f t="shared" si="79"/>
        <v>42.541499999999999</v>
      </c>
      <c r="W726" s="159">
        <f t="shared" si="80"/>
        <v>8.1100000000000136</v>
      </c>
      <c r="X726" s="159">
        <f t="shared" si="81"/>
        <v>-5.4569999999999794</v>
      </c>
      <c r="Y726" s="159">
        <f t="shared" ca="1" si="77"/>
        <v>-9.327053436771962</v>
      </c>
      <c r="Z726" s="159">
        <f t="shared" ca="1" si="82"/>
        <v>-14.717576365048929</v>
      </c>
      <c r="AA726" s="161">
        <f t="shared" ca="1" si="83"/>
        <v>-1471.7576365048928</v>
      </c>
    </row>
    <row r="727" spans="5:27" x14ac:dyDescent="0.25">
      <c r="E727" s="142"/>
      <c r="F727" s="142"/>
      <c r="T727" s="165">
        <v>715</v>
      </c>
      <c r="U727" s="159">
        <f t="shared" si="78"/>
        <v>-55.108499999999992</v>
      </c>
      <c r="V727" s="159">
        <f t="shared" si="79"/>
        <v>42.541499999999999</v>
      </c>
      <c r="W727" s="159">
        <f t="shared" si="80"/>
        <v>7.1100000000000136</v>
      </c>
      <c r="X727" s="159">
        <f t="shared" si="81"/>
        <v>-5.4569999999999794</v>
      </c>
      <c r="Y727" s="159">
        <f t="shared" ca="1" si="77"/>
        <v>-9.327053436771962</v>
      </c>
      <c r="Z727" s="159">
        <f t="shared" ca="1" si="82"/>
        <v>-14.717576365048929</v>
      </c>
      <c r="AA727" s="161">
        <f t="shared" ca="1" si="83"/>
        <v>-1471.7576365048928</v>
      </c>
    </row>
    <row r="728" spans="5:27" x14ac:dyDescent="0.25">
      <c r="E728" s="142"/>
      <c r="F728" s="142"/>
      <c r="T728" s="165">
        <v>716</v>
      </c>
      <c r="U728" s="159">
        <f t="shared" si="78"/>
        <v>-54.108499999999992</v>
      </c>
      <c r="V728" s="159">
        <f t="shared" si="79"/>
        <v>42.541499999999999</v>
      </c>
      <c r="W728" s="159">
        <f t="shared" si="80"/>
        <v>6.1100000000000136</v>
      </c>
      <c r="X728" s="159">
        <f t="shared" si="81"/>
        <v>-5.4569999999999794</v>
      </c>
      <c r="Y728" s="159">
        <f t="shared" ca="1" si="77"/>
        <v>-9.327053436771962</v>
      </c>
      <c r="Z728" s="159">
        <f t="shared" ca="1" si="82"/>
        <v>-14.717576365048929</v>
      </c>
      <c r="AA728" s="161">
        <f t="shared" ca="1" si="83"/>
        <v>-1471.7576365048928</v>
      </c>
    </row>
    <row r="729" spans="5:27" x14ac:dyDescent="0.25">
      <c r="E729" s="142"/>
      <c r="F729" s="142"/>
      <c r="T729" s="165">
        <v>717</v>
      </c>
      <c r="U729" s="159">
        <f t="shared" si="78"/>
        <v>-53.108499999999992</v>
      </c>
      <c r="V729" s="159">
        <f t="shared" si="79"/>
        <v>42.541499999999999</v>
      </c>
      <c r="W729" s="159">
        <f t="shared" si="80"/>
        <v>5.1100000000000136</v>
      </c>
      <c r="X729" s="159">
        <f t="shared" si="81"/>
        <v>-5.4569999999999794</v>
      </c>
      <c r="Y729" s="159">
        <f t="shared" ca="1" si="77"/>
        <v>-9.327053436771962</v>
      </c>
      <c r="Z729" s="159">
        <f t="shared" ca="1" si="82"/>
        <v>-14.717576365048929</v>
      </c>
      <c r="AA729" s="161">
        <f t="shared" ca="1" si="83"/>
        <v>-1471.7576365048928</v>
      </c>
    </row>
    <row r="730" spans="5:27" x14ac:dyDescent="0.25">
      <c r="E730" s="142"/>
      <c r="F730" s="142"/>
      <c r="T730" s="165">
        <v>718</v>
      </c>
      <c r="U730" s="159">
        <f t="shared" si="78"/>
        <v>-52.108499999999992</v>
      </c>
      <c r="V730" s="159">
        <f t="shared" si="79"/>
        <v>42.541499999999999</v>
      </c>
      <c r="W730" s="159">
        <f t="shared" si="80"/>
        <v>4.1100000000000136</v>
      </c>
      <c r="X730" s="159">
        <f t="shared" si="81"/>
        <v>-5.4569999999999794</v>
      </c>
      <c r="Y730" s="159">
        <f t="shared" ca="1" si="77"/>
        <v>-9.327053436771962</v>
      </c>
      <c r="Z730" s="159">
        <f t="shared" ca="1" si="82"/>
        <v>-14.717576365048929</v>
      </c>
      <c r="AA730" s="161">
        <f t="shared" ca="1" si="83"/>
        <v>-1471.7576365048928</v>
      </c>
    </row>
    <row r="731" spans="5:27" x14ac:dyDescent="0.25">
      <c r="E731" s="142"/>
      <c r="F731" s="142"/>
      <c r="T731" s="165">
        <v>719</v>
      </c>
      <c r="U731" s="159">
        <f t="shared" si="78"/>
        <v>-51.108499999999992</v>
      </c>
      <c r="V731" s="159">
        <f t="shared" si="79"/>
        <v>42.541499999999999</v>
      </c>
      <c r="W731" s="159">
        <f t="shared" si="80"/>
        <v>3.1100000000000136</v>
      </c>
      <c r="X731" s="159">
        <f t="shared" si="81"/>
        <v>-5.4569999999999794</v>
      </c>
      <c r="Y731" s="159">
        <f t="shared" ca="1" si="77"/>
        <v>-9.327053436771962</v>
      </c>
      <c r="Z731" s="159">
        <f t="shared" ca="1" si="82"/>
        <v>-14.717576365048929</v>
      </c>
      <c r="AA731" s="161">
        <f t="shared" ca="1" si="83"/>
        <v>-1471.7576365048928</v>
      </c>
    </row>
    <row r="732" spans="5:27" x14ac:dyDescent="0.25">
      <c r="E732" s="142"/>
      <c r="F732" s="142"/>
      <c r="T732" s="165">
        <v>720</v>
      </c>
      <c r="U732" s="159">
        <f t="shared" si="78"/>
        <v>-50.108499999999992</v>
      </c>
      <c r="V732" s="159">
        <f t="shared" si="79"/>
        <v>42.541499999999999</v>
      </c>
      <c r="W732" s="159">
        <f t="shared" si="80"/>
        <v>2.1100000000000136</v>
      </c>
      <c r="X732" s="159">
        <f t="shared" si="81"/>
        <v>-5.4569999999999794</v>
      </c>
      <c r="Y732" s="159">
        <f t="shared" ca="1" si="77"/>
        <v>-9.327053436771962</v>
      </c>
      <c r="Z732" s="159">
        <f t="shared" ca="1" si="82"/>
        <v>-14.717576365048929</v>
      </c>
      <c r="AA732" s="161">
        <f t="shared" ca="1" si="83"/>
        <v>-1471.7576365048928</v>
      </c>
    </row>
    <row r="733" spans="5:27" x14ac:dyDescent="0.25">
      <c r="E733" s="142"/>
      <c r="F733" s="142"/>
      <c r="T733" s="165">
        <v>721</v>
      </c>
      <c r="U733" s="159">
        <f t="shared" si="78"/>
        <v>-49.108499999999992</v>
      </c>
      <c r="V733" s="159">
        <f t="shared" si="79"/>
        <v>42.541499999999999</v>
      </c>
      <c r="W733" s="159">
        <f t="shared" si="80"/>
        <v>1.1100000000000136</v>
      </c>
      <c r="X733" s="159">
        <f t="shared" si="81"/>
        <v>-5.4569999999999794</v>
      </c>
      <c r="Y733" s="159">
        <f t="shared" ca="1" si="77"/>
        <v>-9.327053436771962</v>
      </c>
      <c r="Z733" s="159">
        <f t="shared" ca="1" si="82"/>
        <v>-14.717576365048929</v>
      </c>
      <c r="AA733" s="161">
        <f t="shared" ca="1" si="83"/>
        <v>-1471.7576365048928</v>
      </c>
    </row>
    <row r="734" spans="5:27" x14ac:dyDescent="0.25">
      <c r="E734" s="142"/>
      <c r="F734" s="142"/>
      <c r="T734" s="165">
        <v>722</v>
      </c>
      <c r="U734" s="159">
        <f t="shared" si="78"/>
        <v>-48.108499999999992</v>
      </c>
      <c r="V734" s="159">
        <f t="shared" si="79"/>
        <v>42.541499999999999</v>
      </c>
      <c r="W734" s="159">
        <f t="shared" si="80"/>
        <v>0.11000000000001364</v>
      </c>
      <c r="X734" s="159">
        <f t="shared" si="81"/>
        <v>-5.4569999999999794</v>
      </c>
      <c r="Y734" s="159">
        <f t="shared" ca="1" si="77"/>
        <v>-9.327053436771962</v>
      </c>
      <c r="Z734" s="159">
        <f t="shared" ca="1" si="82"/>
        <v>-14.717576365048929</v>
      </c>
      <c r="AA734" s="161">
        <f t="shared" ca="1" si="83"/>
        <v>-1471.7576365048928</v>
      </c>
    </row>
    <row r="735" spans="5:27" x14ac:dyDescent="0.25">
      <c r="E735" s="142"/>
      <c r="F735" s="142"/>
      <c r="T735" s="165">
        <v>723</v>
      </c>
      <c r="U735" s="159">
        <f t="shared" si="78"/>
        <v>-47.108499999999992</v>
      </c>
      <c r="V735" s="159">
        <f t="shared" si="79"/>
        <v>42.541499999999999</v>
      </c>
      <c r="W735" s="159">
        <f t="shared" si="80"/>
        <v>-0.88999999999998636</v>
      </c>
      <c r="X735" s="159">
        <f t="shared" si="81"/>
        <v>-5.4569999999999794</v>
      </c>
      <c r="Y735" s="159">
        <f t="shared" ca="1" si="77"/>
        <v>-9.327053436771962</v>
      </c>
      <c r="Z735" s="159">
        <f t="shared" ca="1" si="82"/>
        <v>-14.717576365048929</v>
      </c>
      <c r="AA735" s="161">
        <f t="shared" ca="1" si="83"/>
        <v>-1471.7576365048928</v>
      </c>
    </row>
    <row r="736" spans="5:27" x14ac:dyDescent="0.25">
      <c r="E736" s="142"/>
      <c r="F736" s="142"/>
      <c r="T736" s="165">
        <v>724</v>
      </c>
      <c r="U736" s="159">
        <f t="shared" si="78"/>
        <v>-46.108499999999992</v>
      </c>
      <c r="V736" s="159">
        <f t="shared" si="79"/>
        <v>42.541499999999999</v>
      </c>
      <c r="W736" s="159">
        <f t="shared" si="80"/>
        <v>-1.8899999999999864</v>
      </c>
      <c r="X736" s="159">
        <f t="shared" si="81"/>
        <v>-5.4569999999999794</v>
      </c>
      <c r="Y736" s="159">
        <f t="shared" ca="1" si="77"/>
        <v>-9.327053436771962</v>
      </c>
      <c r="Z736" s="159">
        <f t="shared" ca="1" si="82"/>
        <v>-14.717576365048929</v>
      </c>
      <c r="AA736" s="161">
        <f t="shared" ca="1" si="83"/>
        <v>-1471.7576365048928</v>
      </c>
    </row>
    <row r="737" spans="5:27" x14ac:dyDescent="0.25">
      <c r="E737" s="142"/>
      <c r="F737" s="142"/>
      <c r="T737" s="165">
        <v>725</v>
      </c>
      <c r="U737" s="159">
        <f t="shared" si="78"/>
        <v>-45.108499999999992</v>
      </c>
      <c r="V737" s="159">
        <f t="shared" si="79"/>
        <v>42.541499999999999</v>
      </c>
      <c r="W737" s="159">
        <f t="shared" si="80"/>
        <v>-2.8899999999999864</v>
      </c>
      <c r="X737" s="159">
        <f t="shared" si="81"/>
        <v>-5.4569999999999794</v>
      </c>
      <c r="Y737" s="159">
        <f t="shared" ca="1" si="77"/>
        <v>-9.327053436771962</v>
      </c>
      <c r="Z737" s="159">
        <f t="shared" ca="1" si="82"/>
        <v>-14.717576365048929</v>
      </c>
      <c r="AA737" s="161">
        <f t="shared" ca="1" si="83"/>
        <v>-1471.7576365048928</v>
      </c>
    </row>
    <row r="738" spans="5:27" x14ac:dyDescent="0.25">
      <c r="E738" s="142"/>
      <c r="F738" s="142"/>
      <c r="T738" s="165">
        <v>726</v>
      </c>
      <c r="U738" s="159">
        <f t="shared" si="78"/>
        <v>-44.108499999999992</v>
      </c>
      <c r="V738" s="159">
        <f t="shared" si="79"/>
        <v>42.541499999999999</v>
      </c>
      <c r="W738" s="159">
        <f t="shared" si="80"/>
        <v>-3.8899999999999864</v>
      </c>
      <c r="X738" s="159">
        <f t="shared" si="81"/>
        <v>-5.4569999999999794</v>
      </c>
      <c r="Y738" s="159">
        <f t="shared" ca="1" si="77"/>
        <v>-9.327053436771962</v>
      </c>
      <c r="Z738" s="159">
        <f t="shared" ca="1" si="82"/>
        <v>-14.717576365048929</v>
      </c>
      <c r="AA738" s="161">
        <f t="shared" ca="1" si="83"/>
        <v>-1471.7576365048928</v>
      </c>
    </row>
    <row r="739" spans="5:27" x14ac:dyDescent="0.25">
      <c r="E739" s="142"/>
      <c r="F739" s="142"/>
      <c r="T739" s="165">
        <v>727</v>
      </c>
      <c r="U739" s="159">
        <f t="shared" si="78"/>
        <v>-43.108499999999992</v>
      </c>
      <c r="V739" s="159">
        <f t="shared" si="79"/>
        <v>42.541499999999999</v>
      </c>
      <c r="W739" s="159">
        <f t="shared" si="80"/>
        <v>-4.8899999999999864</v>
      </c>
      <c r="X739" s="159">
        <f t="shared" si="81"/>
        <v>-5.4569999999999794</v>
      </c>
      <c r="Y739" s="159">
        <f t="shared" ca="1" si="77"/>
        <v>-9.327053436771962</v>
      </c>
      <c r="Z739" s="159">
        <f t="shared" ca="1" si="82"/>
        <v>-14.717576365048929</v>
      </c>
      <c r="AA739" s="161">
        <f t="shared" ca="1" si="83"/>
        <v>-1471.7576365048928</v>
      </c>
    </row>
    <row r="740" spans="5:27" x14ac:dyDescent="0.25">
      <c r="E740" s="142"/>
      <c r="F740" s="142"/>
      <c r="T740" s="165">
        <v>728</v>
      </c>
      <c r="U740" s="159">
        <f t="shared" si="78"/>
        <v>-42.108499999999992</v>
      </c>
      <c r="V740" s="159">
        <f t="shared" si="79"/>
        <v>42.541499999999999</v>
      </c>
      <c r="W740" s="159">
        <f t="shared" si="80"/>
        <v>-5.8899999999999864</v>
      </c>
      <c r="X740" s="159">
        <f t="shared" si="81"/>
        <v>-5.4569999999999794</v>
      </c>
      <c r="Y740" s="159">
        <f t="shared" ca="1" si="77"/>
        <v>-9.327053436771962</v>
      </c>
      <c r="Z740" s="159">
        <f t="shared" ca="1" si="82"/>
        <v>-14.717576365048929</v>
      </c>
      <c r="AA740" s="161">
        <f t="shared" ca="1" si="83"/>
        <v>-1471.7576365048928</v>
      </c>
    </row>
    <row r="741" spans="5:27" x14ac:dyDescent="0.25">
      <c r="E741" s="142"/>
      <c r="F741" s="142"/>
      <c r="T741" s="165">
        <v>729</v>
      </c>
      <c r="U741" s="159">
        <f t="shared" si="78"/>
        <v>-41.108499999999992</v>
      </c>
      <c r="V741" s="159">
        <f t="shared" si="79"/>
        <v>42.541499999999999</v>
      </c>
      <c r="W741" s="159">
        <f t="shared" si="80"/>
        <v>-6.8899999999999864</v>
      </c>
      <c r="X741" s="159">
        <f t="shared" si="81"/>
        <v>-5.4569999999999794</v>
      </c>
      <c r="Y741" s="159">
        <f t="shared" ca="1" si="77"/>
        <v>-9.327053436771962</v>
      </c>
      <c r="Z741" s="159">
        <f t="shared" ca="1" si="82"/>
        <v>-14.717576365048929</v>
      </c>
      <c r="AA741" s="161">
        <f t="shared" ca="1" si="83"/>
        <v>-1471.7576365048928</v>
      </c>
    </row>
    <row r="742" spans="5:27" x14ac:dyDescent="0.25">
      <c r="E742" s="142"/>
      <c r="F742" s="142"/>
      <c r="T742" s="165">
        <v>730</v>
      </c>
      <c r="U742" s="159">
        <f t="shared" si="78"/>
        <v>-40.108499999999992</v>
      </c>
      <c r="V742" s="159">
        <f t="shared" si="79"/>
        <v>42.541499999999999</v>
      </c>
      <c r="W742" s="159">
        <f t="shared" si="80"/>
        <v>-7.8899999999999864</v>
      </c>
      <c r="X742" s="159">
        <f t="shared" si="81"/>
        <v>-5.4569999999999794</v>
      </c>
      <c r="Y742" s="159">
        <f t="shared" ca="1" si="77"/>
        <v>-9.327053436771962</v>
      </c>
      <c r="Z742" s="159">
        <f t="shared" ca="1" si="82"/>
        <v>-14.717576365048929</v>
      </c>
      <c r="AA742" s="161">
        <f t="shared" ca="1" si="83"/>
        <v>-1471.7576365048928</v>
      </c>
    </row>
    <row r="743" spans="5:27" x14ac:dyDescent="0.25">
      <c r="E743" s="142"/>
      <c r="F743" s="142"/>
      <c r="T743" s="165">
        <v>731</v>
      </c>
      <c r="U743" s="159">
        <f t="shared" si="78"/>
        <v>-39.108499999999992</v>
      </c>
      <c r="V743" s="159">
        <f t="shared" si="79"/>
        <v>42.541499999999999</v>
      </c>
      <c r="W743" s="159">
        <f t="shared" si="80"/>
        <v>-8.8899999999999864</v>
      </c>
      <c r="X743" s="159">
        <f t="shared" si="81"/>
        <v>-5.4569999999999794</v>
      </c>
      <c r="Y743" s="159">
        <f t="shared" ca="1" si="77"/>
        <v>-9.327053436771962</v>
      </c>
      <c r="Z743" s="159">
        <f t="shared" ca="1" si="82"/>
        <v>-14.717576365048929</v>
      </c>
      <c r="AA743" s="161">
        <f t="shared" ca="1" si="83"/>
        <v>-1471.7576365048928</v>
      </c>
    </row>
    <row r="744" spans="5:27" x14ac:dyDescent="0.25">
      <c r="E744" s="142"/>
      <c r="F744" s="142"/>
      <c r="T744" s="165">
        <v>732</v>
      </c>
      <c r="U744" s="159">
        <f t="shared" si="78"/>
        <v>-38.108499999999992</v>
      </c>
      <c r="V744" s="159">
        <f t="shared" si="79"/>
        <v>42.541499999999999</v>
      </c>
      <c r="W744" s="159">
        <f t="shared" si="80"/>
        <v>-9.8899999999999864</v>
      </c>
      <c r="X744" s="159">
        <f t="shared" si="81"/>
        <v>-5.4569999999999794</v>
      </c>
      <c r="Y744" s="159">
        <f t="shared" ca="1" si="77"/>
        <v>-9.327053436771962</v>
      </c>
      <c r="Z744" s="159">
        <f t="shared" ca="1" si="82"/>
        <v>-14.717576365048929</v>
      </c>
      <c r="AA744" s="161">
        <f t="shared" ca="1" si="83"/>
        <v>-1471.7576365048928</v>
      </c>
    </row>
    <row r="745" spans="5:27" x14ac:dyDescent="0.25">
      <c r="E745" s="142"/>
      <c r="F745" s="142"/>
      <c r="T745" s="165">
        <v>733</v>
      </c>
      <c r="U745" s="159">
        <f t="shared" si="78"/>
        <v>-37.108499999999992</v>
      </c>
      <c r="V745" s="159">
        <f t="shared" si="79"/>
        <v>42.541499999999999</v>
      </c>
      <c r="W745" s="159">
        <f t="shared" si="80"/>
        <v>-10.889999999999986</v>
      </c>
      <c r="X745" s="159">
        <f t="shared" si="81"/>
        <v>-5.4569999999999794</v>
      </c>
      <c r="Y745" s="159">
        <f t="shared" ca="1" si="77"/>
        <v>-9.327053436771962</v>
      </c>
      <c r="Z745" s="159">
        <f t="shared" ca="1" si="82"/>
        <v>-14.717576365048929</v>
      </c>
      <c r="AA745" s="161">
        <f t="shared" ca="1" si="83"/>
        <v>-1471.7576365048928</v>
      </c>
    </row>
    <row r="746" spans="5:27" x14ac:dyDescent="0.25">
      <c r="E746" s="142"/>
      <c r="F746" s="142"/>
      <c r="T746" s="165">
        <v>734</v>
      </c>
      <c r="U746" s="159">
        <f t="shared" si="78"/>
        <v>-36.108499999999992</v>
      </c>
      <c r="V746" s="159">
        <f t="shared" si="79"/>
        <v>42.541499999999999</v>
      </c>
      <c r="W746" s="159">
        <f t="shared" si="80"/>
        <v>-11.889999999999986</v>
      </c>
      <c r="X746" s="159">
        <f t="shared" si="81"/>
        <v>-5.4569999999999794</v>
      </c>
      <c r="Y746" s="159">
        <f t="shared" ca="1" si="77"/>
        <v>-9.327053436771962</v>
      </c>
      <c r="Z746" s="159">
        <f t="shared" ca="1" si="82"/>
        <v>-14.717576365048929</v>
      </c>
      <c r="AA746" s="161">
        <f t="shared" ca="1" si="83"/>
        <v>-1471.7576365048928</v>
      </c>
    </row>
    <row r="747" spans="5:27" x14ac:dyDescent="0.25">
      <c r="E747" s="142"/>
      <c r="F747" s="142"/>
      <c r="T747" s="165">
        <v>735</v>
      </c>
      <c r="U747" s="159">
        <f t="shared" si="78"/>
        <v>-35.108499999999992</v>
      </c>
      <c r="V747" s="159">
        <f t="shared" si="79"/>
        <v>42.541499999999999</v>
      </c>
      <c r="W747" s="159">
        <f t="shared" si="80"/>
        <v>-12.889999999999986</v>
      </c>
      <c r="X747" s="159">
        <f t="shared" si="81"/>
        <v>-5.4569999999999794</v>
      </c>
      <c r="Y747" s="159">
        <f t="shared" ca="1" si="77"/>
        <v>-9.327053436771962</v>
      </c>
      <c r="Z747" s="159">
        <f t="shared" ca="1" si="82"/>
        <v>-14.717576365048929</v>
      </c>
      <c r="AA747" s="161">
        <f t="shared" ca="1" si="83"/>
        <v>-1471.7576365048928</v>
      </c>
    </row>
    <row r="748" spans="5:27" x14ac:dyDescent="0.25">
      <c r="E748" s="142"/>
      <c r="F748" s="142"/>
      <c r="T748" s="165">
        <v>736</v>
      </c>
      <c r="U748" s="159">
        <f t="shared" si="78"/>
        <v>-34.108499999999992</v>
      </c>
      <c r="V748" s="159">
        <f t="shared" si="79"/>
        <v>42.541499999999999</v>
      </c>
      <c r="W748" s="159">
        <f t="shared" si="80"/>
        <v>-13.889999999999986</v>
      </c>
      <c r="X748" s="159">
        <f t="shared" si="81"/>
        <v>-5.4569999999999794</v>
      </c>
      <c r="Y748" s="159">
        <f t="shared" ca="1" si="77"/>
        <v>-9.327053436771962</v>
      </c>
      <c r="Z748" s="159">
        <f t="shared" ca="1" si="82"/>
        <v>-14.717576365048929</v>
      </c>
      <c r="AA748" s="161">
        <f t="shared" ca="1" si="83"/>
        <v>-1471.7576365048928</v>
      </c>
    </row>
    <row r="749" spans="5:27" x14ac:dyDescent="0.25">
      <c r="E749" s="142"/>
      <c r="F749" s="142"/>
      <c r="T749" s="165">
        <v>737</v>
      </c>
      <c r="U749" s="159">
        <f t="shared" si="78"/>
        <v>-33.108499999999992</v>
      </c>
      <c r="V749" s="159">
        <f t="shared" si="79"/>
        <v>42.541499999999999</v>
      </c>
      <c r="W749" s="159">
        <f t="shared" si="80"/>
        <v>-14.889999999999986</v>
      </c>
      <c r="X749" s="159">
        <f t="shared" si="81"/>
        <v>-5.4569999999999794</v>
      </c>
      <c r="Y749" s="159">
        <f t="shared" ca="1" si="77"/>
        <v>-9.327053436771962</v>
      </c>
      <c r="Z749" s="159">
        <f t="shared" ca="1" si="82"/>
        <v>-14.717576365048929</v>
      </c>
      <c r="AA749" s="161">
        <f t="shared" ca="1" si="83"/>
        <v>-1471.7576365048928</v>
      </c>
    </row>
    <row r="750" spans="5:27" x14ac:dyDescent="0.25">
      <c r="E750" s="142"/>
      <c r="F750" s="142"/>
      <c r="T750" s="165">
        <v>738</v>
      </c>
      <c r="U750" s="159">
        <f t="shared" si="78"/>
        <v>-32.108499999999992</v>
      </c>
      <c r="V750" s="159">
        <f t="shared" si="79"/>
        <v>42.541499999999999</v>
      </c>
      <c r="W750" s="159">
        <f t="shared" si="80"/>
        <v>-15.889999999999986</v>
      </c>
      <c r="X750" s="159">
        <f t="shared" si="81"/>
        <v>-5.4569999999999794</v>
      </c>
      <c r="Y750" s="159">
        <f t="shared" ca="1" si="77"/>
        <v>-9.327053436771962</v>
      </c>
      <c r="Z750" s="159">
        <f t="shared" ca="1" si="82"/>
        <v>-14.717576365048929</v>
      </c>
      <c r="AA750" s="161">
        <f t="shared" ca="1" si="83"/>
        <v>-1471.7576365048928</v>
      </c>
    </row>
    <row r="751" spans="5:27" x14ac:dyDescent="0.25">
      <c r="E751" s="142"/>
      <c r="F751" s="142"/>
      <c r="T751" s="165">
        <v>739</v>
      </c>
      <c r="U751" s="159">
        <f t="shared" si="78"/>
        <v>-31.108499999999996</v>
      </c>
      <c r="V751" s="159">
        <f t="shared" si="79"/>
        <v>42.541499999999999</v>
      </c>
      <c r="W751" s="159">
        <f t="shared" si="80"/>
        <v>-16.889999999999986</v>
      </c>
      <c r="X751" s="159">
        <f t="shared" si="81"/>
        <v>-5.456999999999983</v>
      </c>
      <c r="Y751" s="159">
        <f t="shared" ca="1" si="77"/>
        <v>-9.327053436771962</v>
      </c>
      <c r="Z751" s="159">
        <f t="shared" ca="1" si="82"/>
        <v>-14.717576365048933</v>
      </c>
      <c r="AA751" s="161">
        <f t="shared" ca="1" si="83"/>
        <v>-1471.7576365048933</v>
      </c>
    </row>
    <row r="752" spans="5:27" x14ac:dyDescent="0.25">
      <c r="E752" s="142"/>
      <c r="F752" s="142"/>
      <c r="T752" s="165">
        <v>740</v>
      </c>
      <c r="U752" s="159">
        <f t="shared" si="78"/>
        <v>-30.108499999999996</v>
      </c>
      <c r="V752" s="159">
        <f t="shared" si="79"/>
        <v>42.541499999999999</v>
      </c>
      <c r="W752" s="159">
        <f t="shared" si="80"/>
        <v>-17.889999999999986</v>
      </c>
      <c r="X752" s="159">
        <f t="shared" si="81"/>
        <v>-5.456999999999983</v>
      </c>
      <c r="Y752" s="159">
        <f t="shared" ca="1" si="77"/>
        <v>-9.327053436771962</v>
      </c>
      <c r="Z752" s="159">
        <f t="shared" ca="1" si="82"/>
        <v>-14.717576365048933</v>
      </c>
      <c r="AA752" s="161">
        <f t="shared" ca="1" si="83"/>
        <v>-1471.7576365048933</v>
      </c>
    </row>
    <row r="753" spans="5:27" x14ac:dyDescent="0.25">
      <c r="E753" s="142"/>
      <c r="F753" s="142"/>
      <c r="T753" s="165">
        <v>741</v>
      </c>
      <c r="U753" s="159">
        <f t="shared" si="78"/>
        <v>-29.108499999999996</v>
      </c>
      <c r="V753" s="159">
        <f t="shared" si="79"/>
        <v>42.541499999999999</v>
      </c>
      <c r="W753" s="159">
        <f t="shared" si="80"/>
        <v>-18.889999999999986</v>
      </c>
      <c r="X753" s="159">
        <f t="shared" si="81"/>
        <v>-5.456999999999983</v>
      </c>
      <c r="Y753" s="159">
        <f t="shared" ca="1" si="77"/>
        <v>-9.327053436771962</v>
      </c>
      <c r="Z753" s="159">
        <f t="shared" ca="1" si="82"/>
        <v>-14.717576365048933</v>
      </c>
      <c r="AA753" s="161">
        <f t="shared" ca="1" si="83"/>
        <v>-1471.7576365048933</v>
      </c>
    </row>
    <row r="754" spans="5:27" x14ac:dyDescent="0.25">
      <c r="E754" s="142"/>
      <c r="F754" s="142"/>
      <c r="T754" s="165">
        <v>742</v>
      </c>
      <c r="U754" s="159">
        <f t="shared" si="78"/>
        <v>-28.108499999999996</v>
      </c>
      <c r="V754" s="159">
        <f t="shared" si="79"/>
        <v>42.541499999999999</v>
      </c>
      <c r="W754" s="159">
        <f t="shared" si="80"/>
        <v>-19.889999999999986</v>
      </c>
      <c r="X754" s="159">
        <f t="shared" si="81"/>
        <v>-5.456999999999983</v>
      </c>
      <c r="Y754" s="159">
        <f t="shared" ca="1" si="77"/>
        <v>-9.327053436771962</v>
      </c>
      <c r="Z754" s="159">
        <f t="shared" ca="1" si="82"/>
        <v>-14.717576365048933</v>
      </c>
      <c r="AA754" s="161">
        <f t="shared" ca="1" si="83"/>
        <v>-1471.7576365048933</v>
      </c>
    </row>
    <row r="755" spans="5:27" x14ac:dyDescent="0.25">
      <c r="E755" s="142"/>
      <c r="F755" s="142"/>
      <c r="T755" s="165">
        <v>743</v>
      </c>
      <c r="U755" s="159">
        <f t="shared" si="78"/>
        <v>-27.108499999999996</v>
      </c>
      <c r="V755" s="159">
        <f t="shared" si="79"/>
        <v>42.541499999999999</v>
      </c>
      <c r="W755" s="159">
        <f t="shared" si="80"/>
        <v>-20.889999999999986</v>
      </c>
      <c r="X755" s="159">
        <f t="shared" si="81"/>
        <v>-5.456999999999983</v>
      </c>
      <c r="Y755" s="159">
        <f t="shared" ca="1" si="77"/>
        <v>-9.327053436771962</v>
      </c>
      <c r="Z755" s="159">
        <f t="shared" ca="1" si="82"/>
        <v>-14.717576365048933</v>
      </c>
      <c r="AA755" s="161">
        <f t="shared" ca="1" si="83"/>
        <v>-1471.7576365048933</v>
      </c>
    </row>
    <row r="756" spans="5:27" x14ac:dyDescent="0.25">
      <c r="E756" s="142"/>
      <c r="F756" s="142"/>
      <c r="T756" s="165">
        <v>744</v>
      </c>
      <c r="U756" s="159">
        <f t="shared" si="78"/>
        <v>-26.108499999999996</v>
      </c>
      <c r="V756" s="159">
        <f t="shared" si="79"/>
        <v>42.541499999999999</v>
      </c>
      <c r="W756" s="159">
        <f t="shared" si="80"/>
        <v>-21.889999999999986</v>
      </c>
      <c r="X756" s="159">
        <f t="shared" si="81"/>
        <v>-5.456999999999983</v>
      </c>
      <c r="Y756" s="159">
        <f t="shared" ca="1" si="77"/>
        <v>-9.327053436771962</v>
      </c>
      <c r="Z756" s="159">
        <f t="shared" ca="1" si="82"/>
        <v>-14.717576365048933</v>
      </c>
      <c r="AA756" s="161">
        <f t="shared" ca="1" si="83"/>
        <v>-1471.7576365048933</v>
      </c>
    </row>
    <row r="757" spans="5:27" x14ac:dyDescent="0.25">
      <c r="E757" s="142"/>
      <c r="F757" s="142"/>
      <c r="T757" s="165">
        <v>745</v>
      </c>
      <c r="U757" s="159">
        <f t="shared" si="78"/>
        <v>-25.108499999999996</v>
      </c>
      <c r="V757" s="159">
        <f t="shared" si="79"/>
        <v>42.541499999999999</v>
      </c>
      <c r="W757" s="159">
        <f t="shared" si="80"/>
        <v>-22.889999999999986</v>
      </c>
      <c r="X757" s="159">
        <f t="shared" si="81"/>
        <v>-5.456999999999983</v>
      </c>
      <c r="Y757" s="159">
        <f t="shared" ca="1" si="77"/>
        <v>-9.327053436771962</v>
      </c>
      <c r="Z757" s="159">
        <f t="shared" ca="1" si="82"/>
        <v>-14.717576365048933</v>
      </c>
      <c r="AA757" s="161">
        <f t="shared" ca="1" si="83"/>
        <v>-1471.7576365048933</v>
      </c>
    </row>
    <row r="758" spans="5:27" x14ac:dyDescent="0.25">
      <c r="E758" s="142"/>
      <c r="F758" s="142"/>
      <c r="T758" s="165">
        <v>746</v>
      </c>
      <c r="U758" s="159">
        <f t="shared" si="78"/>
        <v>-24.108499999999996</v>
      </c>
      <c r="V758" s="159">
        <f t="shared" si="79"/>
        <v>42.541499999999999</v>
      </c>
      <c r="W758" s="159">
        <f t="shared" si="80"/>
        <v>-23.889999999999986</v>
      </c>
      <c r="X758" s="159">
        <f t="shared" si="81"/>
        <v>-5.456999999999983</v>
      </c>
      <c r="Y758" s="159">
        <f t="shared" ca="1" si="77"/>
        <v>-9.327053436771962</v>
      </c>
      <c r="Z758" s="159">
        <f t="shared" ca="1" si="82"/>
        <v>-14.717576365048933</v>
      </c>
      <c r="AA758" s="161">
        <f t="shared" ca="1" si="83"/>
        <v>-1471.7576365048933</v>
      </c>
    </row>
    <row r="759" spans="5:27" x14ac:dyDescent="0.25">
      <c r="E759" s="142"/>
      <c r="F759" s="142"/>
      <c r="T759" s="165">
        <v>747</v>
      </c>
      <c r="U759" s="159">
        <f t="shared" si="78"/>
        <v>-23.108499999999996</v>
      </c>
      <c r="V759" s="159">
        <f t="shared" si="79"/>
        <v>42.541499999999999</v>
      </c>
      <c r="W759" s="159">
        <f t="shared" si="80"/>
        <v>-24.889999999999986</v>
      </c>
      <c r="X759" s="159">
        <f t="shared" si="81"/>
        <v>-5.456999999999983</v>
      </c>
      <c r="Y759" s="159">
        <f t="shared" ca="1" si="77"/>
        <v>-9.327053436771962</v>
      </c>
      <c r="Z759" s="159">
        <f t="shared" ca="1" si="82"/>
        <v>-14.717576365048933</v>
      </c>
      <c r="AA759" s="161">
        <f t="shared" ca="1" si="83"/>
        <v>-1471.7576365048933</v>
      </c>
    </row>
    <row r="760" spans="5:27" x14ac:dyDescent="0.25">
      <c r="E760" s="142"/>
      <c r="F760" s="142"/>
      <c r="T760" s="165">
        <v>748</v>
      </c>
      <c r="U760" s="159">
        <f t="shared" si="78"/>
        <v>-22.108499999999996</v>
      </c>
      <c r="V760" s="159">
        <f t="shared" si="79"/>
        <v>42.541499999999999</v>
      </c>
      <c r="W760" s="159">
        <f t="shared" si="80"/>
        <v>-25.889999999999986</v>
      </c>
      <c r="X760" s="159">
        <f t="shared" si="81"/>
        <v>-5.456999999999983</v>
      </c>
      <c r="Y760" s="159">
        <f t="shared" ca="1" si="77"/>
        <v>-9.327053436771962</v>
      </c>
      <c r="Z760" s="159">
        <f t="shared" ca="1" si="82"/>
        <v>-14.717576365048933</v>
      </c>
      <c r="AA760" s="161">
        <f t="shared" ca="1" si="83"/>
        <v>-1471.7576365048933</v>
      </c>
    </row>
    <row r="761" spans="5:27" x14ac:dyDescent="0.25">
      <c r="E761" s="142"/>
      <c r="F761" s="142"/>
      <c r="T761" s="165">
        <v>749</v>
      </c>
      <c r="U761" s="159">
        <f t="shared" si="78"/>
        <v>-21.108499999999996</v>
      </c>
      <c r="V761" s="159">
        <f t="shared" si="79"/>
        <v>42.541499999999999</v>
      </c>
      <c r="W761" s="159">
        <f t="shared" si="80"/>
        <v>-26.889999999999986</v>
      </c>
      <c r="X761" s="159">
        <f t="shared" si="81"/>
        <v>-5.456999999999983</v>
      </c>
      <c r="Y761" s="159">
        <f t="shared" ca="1" si="77"/>
        <v>-9.327053436771962</v>
      </c>
      <c r="Z761" s="159">
        <f t="shared" ca="1" si="82"/>
        <v>-14.717576365048933</v>
      </c>
      <c r="AA761" s="161">
        <f t="shared" ca="1" si="83"/>
        <v>-1471.7576365048933</v>
      </c>
    </row>
    <row r="762" spans="5:27" x14ac:dyDescent="0.25">
      <c r="E762" s="142"/>
      <c r="F762" s="142"/>
      <c r="T762" s="165">
        <v>750</v>
      </c>
      <c r="U762" s="159">
        <f t="shared" si="78"/>
        <v>-20.108499999999996</v>
      </c>
      <c r="V762" s="159">
        <f t="shared" si="79"/>
        <v>42.541499999999999</v>
      </c>
      <c r="W762" s="159">
        <f t="shared" si="80"/>
        <v>-27.889999999999986</v>
      </c>
      <c r="X762" s="159">
        <f t="shared" si="81"/>
        <v>-5.456999999999983</v>
      </c>
      <c r="Y762" s="159">
        <f t="shared" ca="1" si="77"/>
        <v>-9.327053436771962</v>
      </c>
      <c r="Z762" s="159">
        <f t="shared" ca="1" si="82"/>
        <v>-14.717576365048933</v>
      </c>
      <c r="AA762" s="161">
        <f t="shared" ca="1" si="83"/>
        <v>-1471.7576365048933</v>
      </c>
    </row>
    <row r="763" spans="5:27" x14ac:dyDescent="0.25">
      <c r="E763" s="142"/>
      <c r="F763" s="142"/>
      <c r="T763" s="165">
        <v>751</v>
      </c>
      <c r="U763" s="159">
        <f t="shared" si="78"/>
        <v>-19.108499999999996</v>
      </c>
      <c r="V763" s="159">
        <f t="shared" si="79"/>
        <v>42.541499999999999</v>
      </c>
      <c r="W763" s="159">
        <f t="shared" si="80"/>
        <v>-28.889999999999986</v>
      </c>
      <c r="X763" s="159">
        <f t="shared" si="81"/>
        <v>-5.456999999999983</v>
      </c>
      <c r="Y763" s="159">
        <f t="shared" ca="1" si="77"/>
        <v>-9.327053436771962</v>
      </c>
      <c r="Z763" s="159">
        <f t="shared" ca="1" si="82"/>
        <v>-14.717576365048933</v>
      </c>
      <c r="AA763" s="161">
        <f t="shared" ca="1" si="83"/>
        <v>-1471.7576365048933</v>
      </c>
    </row>
    <row r="764" spans="5:27" x14ac:dyDescent="0.25">
      <c r="E764" s="142"/>
      <c r="F764" s="142"/>
      <c r="T764" s="165">
        <v>752</v>
      </c>
      <c r="U764" s="159">
        <f t="shared" si="78"/>
        <v>-18.108499999999996</v>
      </c>
      <c r="V764" s="159">
        <f t="shared" si="79"/>
        <v>42.541499999999999</v>
      </c>
      <c r="W764" s="159">
        <f t="shared" si="80"/>
        <v>-29.889999999999986</v>
      </c>
      <c r="X764" s="159">
        <f t="shared" si="81"/>
        <v>-5.456999999999983</v>
      </c>
      <c r="Y764" s="159">
        <f t="shared" ca="1" si="77"/>
        <v>-9.327053436771962</v>
      </c>
      <c r="Z764" s="159">
        <f t="shared" ca="1" si="82"/>
        <v>-14.717576365048933</v>
      </c>
      <c r="AA764" s="161">
        <f t="shared" ca="1" si="83"/>
        <v>-1471.7576365048933</v>
      </c>
    </row>
    <row r="765" spans="5:27" x14ac:dyDescent="0.25">
      <c r="E765" s="142"/>
      <c r="F765" s="142"/>
      <c r="T765" s="165">
        <v>753</v>
      </c>
      <c r="U765" s="159">
        <f t="shared" si="78"/>
        <v>-17.108499999999996</v>
      </c>
      <c r="V765" s="159">
        <f t="shared" si="79"/>
        <v>42.541499999999999</v>
      </c>
      <c r="W765" s="159">
        <f t="shared" si="80"/>
        <v>-30.889999999999986</v>
      </c>
      <c r="X765" s="159">
        <f t="shared" si="81"/>
        <v>-5.456999999999983</v>
      </c>
      <c r="Y765" s="159">
        <f t="shared" ca="1" si="77"/>
        <v>-9.327053436771962</v>
      </c>
      <c r="Z765" s="159">
        <f t="shared" ca="1" si="82"/>
        <v>-14.717576365048933</v>
      </c>
      <c r="AA765" s="161">
        <f t="shared" ca="1" si="83"/>
        <v>-1471.7576365048933</v>
      </c>
    </row>
    <row r="766" spans="5:27" x14ac:dyDescent="0.25">
      <c r="E766" s="142"/>
      <c r="F766" s="142"/>
      <c r="T766" s="165">
        <v>754</v>
      </c>
      <c r="U766" s="159">
        <f t="shared" si="78"/>
        <v>-16.108499999999996</v>
      </c>
      <c r="V766" s="159">
        <f t="shared" si="79"/>
        <v>42.541499999999999</v>
      </c>
      <c r="W766" s="159">
        <f t="shared" si="80"/>
        <v>-31.889999999999986</v>
      </c>
      <c r="X766" s="159">
        <f t="shared" si="81"/>
        <v>-5.456999999999983</v>
      </c>
      <c r="Y766" s="159">
        <f t="shared" ca="1" si="77"/>
        <v>-9.327053436771962</v>
      </c>
      <c r="Z766" s="159">
        <f t="shared" ca="1" si="82"/>
        <v>-14.717576365048933</v>
      </c>
      <c r="AA766" s="161">
        <f t="shared" ca="1" si="83"/>
        <v>-1471.7576365048933</v>
      </c>
    </row>
    <row r="767" spans="5:27" x14ac:dyDescent="0.25">
      <c r="E767" s="142"/>
      <c r="F767" s="142"/>
      <c r="T767" s="165">
        <v>755</v>
      </c>
      <c r="U767" s="159">
        <f t="shared" si="78"/>
        <v>-15.108499999999994</v>
      </c>
      <c r="V767" s="159">
        <f t="shared" si="79"/>
        <v>42.541499999999999</v>
      </c>
      <c r="W767" s="159">
        <f t="shared" si="80"/>
        <v>-32.889999999999986</v>
      </c>
      <c r="X767" s="159">
        <f t="shared" si="81"/>
        <v>-5.4569999999999794</v>
      </c>
      <c r="Y767" s="159">
        <f t="shared" ca="1" si="77"/>
        <v>-9.327053436771962</v>
      </c>
      <c r="Z767" s="159">
        <f t="shared" ca="1" si="82"/>
        <v>-14.717576365048929</v>
      </c>
      <c r="AA767" s="161">
        <f t="shared" ca="1" si="83"/>
        <v>-1471.7576365048928</v>
      </c>
    </row>
    <row r="768" spans="5:27" x14ac:dyDescent="0.25">
      <c r="E768" s="142"/>
      <c r="F768" s="142"/>
      <c r="T768" s="165">
        <v>756</v>
      </c>
      <c r="U768" s="159">
        <f t="shared" si="78"/>
        <v>-14.108499999999994</v>
      </c>
      <c r="V768" s="159">
        <f t="shared" si="79"/>
        <v>42.541499999999999</v>
      </c>
      <c r="W768" s="159">
        <f t="shared" si="80"/>
        <v>-33.889999999999986</v>
      </c>
      <c r="X768" s="159">
        <f t="shared" si="81"/>
        <v>-5.4569999999999794</v>
      </c>
      <c r="Y768" s="159">
        <f t="shared" ca="1" si="77"/>
        <v>-9.327053436771962</v>
      </c>
      <c r="Z768" s="159">
        <f t="shared" ca="1" si="82"/>
        <v>-14.717576365048929</v>
      </c>
      <c r="AA768" s="161">
        <f t="shared" ca="1" si="83"/>
        <v>-1471.7576365048928</v>
      </c>
    </row>
    <row r="769" spans="5:27" x14ac:dyDescent="0.25">
      <c r="E769" s="142"/>
      <c r="F769" s="142"/>
      <c r="T769" s="165">
        <v>757</v>
      </c>
      <c r="U769" s="159">
        <f t="shared" si="78"/>
        <v>-13.108499999999994</v>
      </c>
      <c r="V769" s="159">
        <f t="shared" si="79"/>
        <v>42.541499999999999</v>
      </c>
      <c r="W769" s="159">
        <f t="shared" si="80"/>
        <v>-34.889999999999986</v>
      </c>
      <c r="X769" s="159">
        <f t="shared" si="81"/>
        <v>-5.4569999999999794</v>
      </c>
      <c r="Y769" s="159">
        <f t="shared" ca="1" si="77"/>
        <v>-9.327053436771962</v>
      </c>
      <c r="Z769" s="159">
        <f t="shared" ca="1" si="82"/>
        <v>-14.717576365048929</v>
      </c>
      <c r="AA769" s="161">
        <f t="shared" ca="1" si="83"/>
        <v>-1471.7576365048928</v>
      </c>
    </row>
    <row r="770" spans="5:27" x14ac:dyDescent="0.25">
      <c r="E770" s="142"/>
      <c r="F770" s="142"/>
      <c r="T770" s="165">
        <v>758</v>
      </c>
      <c r="U770" s="159">
        <f t="shared" si="78"/>
        <v>-12.108499999999994</v>
      </c>
      <c r="V770" s="159">
        <f t="shared" si="79"/>
        <v>42.541499999999999</v>
      </c>
      <c r="W770" s="159">
        <f t="shared" si="80"/>
        <v>-35.889999999999986</v>
      </c>
      <c r="X770" s="159">
        <f t="shared" si="81"/>
        <v>-5.4569999999999794</v>
      </c>
      <c r="Y770" s="159">
        <f t="shared" ca="1" si="77"/>
        <v>-9.327053436771962</v>
      </c>
      <c r="Z770" s="159">
        <f t="shared" ca="1" si="82"/>
        <v>-14.717576365048929</v>
      </c>
      <c r="AA770" s="161">
        <f t="shared" ca="1" si="83"/>
        <v>-1471.7576365048928</v>
      </c>
    </row>
    <row r="771" spans="5:27" x14ac:dyDescent="0.25">
      <c r="E771" s="142"/>
      <c r="F771" s="142"/>
      <c r="T771" s="165">
        <v>759</v>
      </c>
      <c r="U771" s="159">
        <f t="shared" si="78"/>
        <v>-11.108499999999994</v>
      </c>
      <c r="V771" s="159">
        <f t="shared" si="79"/>
        <v>42.541499999999999</v>
      </c>
      <c r="W771" s="159">
        <f t="shared" si="80"/>
        <v>-36.889999999999986</v>
      </c>
      <c r="X771" s="159">
        <f t="shared" si="81"/>
        <v>-5.4569999999999794</v>
      </c>
      <c r="Y771" s="159">
        <f t="shared" ca="1" si="77"/>
        <v>-9.327053436771962</v>
      </c>
      <c r="Z771" s="159">
        <f t="shared" ca="1" si="82"/>
        <v>-14.717576365048929</v>
      </c>
      <c r="AA771" s="161">
        <f t="shared" ca="1" si="83"/>
        <v>-1471.7576365048928</v>
      </c>
    </row>
    <row r="772" spans="5:27" x14ac:dyDescent="0.25">
      <c r="E772" s="142"/>
      <c r="F772" s="142"/>
      <c r="T772" s="165">
        <v>760</v>
      </c>
      <c r="U772" s="159">
        <f t="shared" si="78"/>
        <v>-10.108499999999994</v>
      </c>
      <c r="V772" s="159">
        <f t="shared" si="79"/>
        <v>42.541499999999999</v>
      </c>
      <c r="W772" s="159">
        <f t="shared" si="80"/>
        <v>-37.889999999999986</v>
      </c>
      <c r="X772" s="159">
        <f t="shared" si="81"/>
        <v>-5.4569999999999794</v>
      </c>
      <c r="Y772" s="159">
        <f t="shared" ca="1" si="77"/>
        <v>-9.327053436771962</v>
      </c>
      <c r="Z772" s="159">
        <f t="shared" ca="1" si="82"/>
        <v>-14.717576365048929</v>
      </c>
      <c r="AA772" s="161">
        <f t="shared" ca="1" si="83"/>
        <v>-1471.7576365048928</v>
      </c>
    </row>
    <row r="773" spans="5:27" x14ac:dyDescent="0.25">
      <c r="E773" s="142"/>
      <c r="F773" s="142"/>
      <c r="T773" s="165">
        <v>761</v>
      </c>
      <c r="U773" s="159">
        <f t="shared" si="78"/>
        <v>-9.108499999999994</v>
      </c>
      <c r="V773" s="159">
        <f t="shared" si="79"/>
        <v>42.541499999999999</v>
      </c>
      <c r="W773" s="159">
        <f t="shared" si="80"/>
        <v>-38.889999999999986</v>
      </c>
      <c r="X773" s="159">
        <f t="shared" si="81"/>
        <v>-5.4569999999999794</v>
      </c>
      <c r="Y773" s="159">
        <f t="shared" ca="1" si="77"/>
        <v>-9.327053436771962</v>
      </c>
      <c r="Z773" s="159">
        <f t="shared" ca="1" si="82"/>
        <v>-14.717576365048929</v>
      </c>
      <c r="AA773" s="161">
        <f t="shared" ca="1" si="83"/>
        <v>-1471.7576365048928</v>
      </c>
    </row>
    <row r="774" spans="5:27" x14ac:dyDescent="0.25">
      <c r="E774" s="142"/>
      <c r="F774" s="142"/>
      <c r="T774" s="165">
        <v>762</v>
      </c>
      <c r="U774" s="159">
        <f t="shared" si="78"/>
        <v>-8.108499999999994</v>
      </c>
      <c r="V774" s="159">
        <f t="shared" si="79"/>
        <v>42.541499999999999</v>
      </c>
      <c r="W774" s="159">
        <f t="shared" si="80"/>
        <v>-39.889999999999986</v>
      </c>
      <c r="X774" s="159">
        <f t="shared" si="81"/>
        <v>-5.4569999999999794</v>
      </c>
      <c r="Y774" s="159">
        <f t="shared" ca="1" si="77"/>
        <v>-9.327053436771962</v>
      </c>
      <c r="Z774" s="159">
        <f t="shared" ca="1" si="82"/>
        <v>-14.717576365048929</v>
      </c>
      <c r="AA774" s="161">
        <f t="shared" ca="1" si="83"/>
        <v>-1471.7576365048928</v>
      </c>
    </row>
    <row r="775" spans="5:27" x14ac:dyDescent="0.25">
      <c r="E775" s="142"/>
      <c r="F775" s="142"/>
      <c r="T775" s="165">
        <v>763</v>
      </c>
      <c r="U775" s="159">
        <f t="shared" si="78"/>
        <v>-7.108499999999994</v>
      </c>
      <c r="V775" s="159">
        <f t="shared" si="79"/>
        <v>42.541499999999999</v>
      </c>
      <c r="W775" s="159">
        <f t="shared" si="80"/>
        <v>-40.889999999999986</v>
      </c>
      <c r="X775" s="159">
        <f t="shared" si="81"/>
        <v>-5.4569999999999794</v>
      </c>
      <c r="Y775" s="159">
        <f t="shared" ca="1" si="77"/>
        <v>-9.327053436771962</v>
      </c>
      <c r="Z775" s="159">
        <f t="shared" ca="1" si="82"/>
        <v>-14.717576365048929</v>
      </c>
      <c r="AA775" s="161">
        <f t="shared" ca="1" si="83"/>
        <v>-1471.7576365048928</v>
      </c>
    </row>
    <row r="776" spans="5:27" x14ac:dyDescent="0.25">
      <c r="E776" s="142"/>
      <c r="F776" s="142"/>
      <c r="T776" s="165">
        <v>764</v>
      </c>
      <c r="U776" s="159">
        <f t="shared" si="78"/>
        <v>-6.108499999999994</v>
      </c>
      <c r="V776" s="159">
        <f t="shared" si="79"/>
        <v>42.541499999999999</v>
      </c>
      <c r="W776" s="159">
        <f t="shared" si="80"/>
        <v>-41.889999999999986</v>
      </c>
      <c r="X776" s="159">
        <f t="shared" si="81"/>
        <v>-5.4569999999999794</v>
      </c>
      <c r="Y776" s="159">
        <f t="shared" ca="1" si="77"/>
        <v>-9.327053436771962</v>
      </c>
      <c r="Z776" s="159">
        <f t="shared" ca="1" si="82"/>
        <v>-14.717576365048929</v>
      </c>
      <c r="AA776" s="161">
        <f t="shared" ca="1" si="83"/>
        <v>-1471.7576365048928</v>
      </c>
    </row>
    <row r="777" spans="5:27" x14ac:dyDescent="0.25">
      <c r="E777" s="142"/>
      <c r="F777" s="142"/>
      <c r="T777" s="165">
        <v>765</v>
      </c>
      <c r="U777" s="159">
        <f t="shared" si="78"/>
        <v>-5.108499999999994</v>
      </c>
      <c r="V777" s="159">
        <f t="shared" si="79"/>
        <v>42.541499999999999</v>
      </c>
      <c r="W777" s="159">
        <f t="shared" si="80"/>
        <v>-42.889999999999986</v>
      </c>
      <c r="X777" s="159">
        <f t="shared" si="81"/>
        <v>-5.4569999999999794</v>
      </c>
      <c r="Y777" s="159">
        <f t="shared" ca="1" si="77"/>
        <v>-9.327053436771962</v>
      </c>
      <c r="Z777" s="159">
        <f t="shared" ca="1" si="82"/>
        <v>-14.717576365048929</v>
      </c>
      <c r="AA777" s="161">
        <f t="shared" ca="1" si="83"/>
        <v>-1471.7576365048928</v>
      </c>
    </row>
    <row r="778" spans="5:27" x14ac:dyDescent="0.25">
      <c r="E778" s="142"/>
      <c r="F778" s="142"/>
      <c r="T778" s="165">
        <v>766</v>
      </c>
      <c r="U778" s="159">
        <f t="shared" si="78"/>
        <v>-4.108499999999994</v>
      </c>
      <c r="V778" s="159">
        <f t="shared" si="79"/>
        <v>42.541499999999999</v>
      </c>
      <c r="W778" s="159">
        <f t="shared" si="80"/>
        <v>-43.889999999999986</v>
      </c>
      <c r="X778" s="159">
        <f t="shared" si="81"/>
        <v>-5.4569999999999794</v>
      </c>
      <c r="Y778" s="159">
        <f t="shared" ca="1" si="77"/>
        <v>-9.327053436771962</v>
      </c>
      <c r="Z778" s="159">
        <f t="shared" ca="1" si="82"/>
        <v>-14.717576365048929</v>
      </c>
      <c r="AA778" s="161">
        <f t="shared" ca="1" si="83"/>
        <v>-1471.7576365048928</v>
      </c>
    </row>
    <row r="779" spans="5:27" x14ac:dyDescent="0.25">
      <c r="E779" s="142"/>
      <c r="F779" s="142"/>
      <c r="T779" s="165">
        <v>767</v>
      </c>
      <c r="U779" s="159">
        <f t="shared" si="78"/>
        <v>-3.1084999999999945</v>
      </c>
      <c r="V779" s="159">
        <f t="shared" si="79"/>
        <v>42.541499999999999</v>
      </c>
      <c r="W779" s="159">
        <f t="shared" si="80"/>
        <v>-44.889999999999986</v>
      </c>
      <c r="X779" s="159">
        <f t="shared" si="81"/>
        <v>-5.4569999999999794</v>
      </c>
      <c r="Y779" s="159">
        <f t="shared" ca="1" si="77"/>
        <v>-9.327053436771962</v>
      </c>
      <c r="Z779" s="159">
        <f t="shared" ca="1" si="82"/>
        <v>-14.717576365048929</v>
      </c>
      <c r="AA779" s="161">
        <f t="shared" ca="1" si="83"/>
        <v>-1471.7576365048928</v>
      </c>
    </row>
    <row r="780" spans="5:27" x14ac:dyDescent="0.25">
      <c r="E780" s="142"/>
      <c r="F780" s="142"/>
      <c r="T780" s="165">
        <v>768</v>
      </c>
      <c r="U780" s="159">
        <f t="shared" si="78"/>
        <v>-2.1084999999999945</v>
      </c>
      <c r="V780" s="159">
        <f t="shared" si="79"/>
        <v>42.541499999999999</v>
      </c>
      <c r="W780" s="159">
        <f t="shared" si="80"/>
        <v>-45.889999999999986</v>
      </c>
      <c r="X780" s="159">
        <f t="shared" si="81"/>
        <v>-5.4569999999999794</v>
      </c>
      <c r="Y780" s="159">
        <f t="shared" ref="Y780:Y843" ca="1" si="84">$Y$10*EXP($Y$7*$C$6)-$Y$10</f>
        <v>-9.327053436771962</v>
      </c>
      <c r="Z780" s="159">
        <f t="shared" ca="1" si="82"/>
        <v>-14.717576365048929</v>
      </c>
      <c r="AA780" s="161">
        <f t="shared" ca="1" si="83"/>
        <v>-1471.7576365048928</v>
      </c>
    </row>
    <row r="781" spans="5:27" x14ac:dyDescent="0.25">
      <c r="E781" s="142"/>
      <c r="F781" s="142"/>
      <c r="T781" s="165">
        <v>769</v>
      </c>
      <c r="U781" s="159">
        <f t="shared" ref="U781:U844" si="85">MAX(0,T781-$U$9)-$U$10-$U$11/100</f>
        <v>-1.1084999999999943</v>
      </c>
      <c r="V781" s="159">
        <f t="shared" ref="V781:V844" si="86">$V$10-MAX(0,$V$9-T781)-$V$11/100</f>
        <v>42.541499999999999</v>
      </c>
      <c r="W781" s="159">
        <f t="shared" ref="W781:W844" si="87">$W$10-T781</f>
        <v>-46.889999999999986</v>
      </c>
      <c r="X781" s="159">
        <f t="shared" ref="X781:X844" si="88">SUM(U781:W781)</f>
        <v>-5.4569999999999794</v>
      </c>
      <c r="Y781" s="159">
        <f t="shared" ca="1" si="84"/>
        <v>-9.327053436771962</v>
      </c>
      <c r="Z781" s="159">
        <f t="shared" ref="Z781:Z844" ca="1" si="89">EXP(-$E$3*$C$6)*SUM(X781:Y781)</f>
        <v>-14.717576365048929</v>
      </c>
      <c r="AA781" s="161">
        <f t="shared" ref="AA781:AA844" ca="1" si="90">Z781*100</f>
        <v>-1471.7576365048928</v>
      </c>
    </row>
    <row r="782" spans="5:27" x14ac:dyDescent="0.25">
      <c r="E782" s="142"/>
      <c r="F782" s="142"/>
      <c r="T782" s="165">
        <v>770</v>
      </c>
      <c r="U782" s="159">
        <f t="shared" si="85"/>
        <v>-0.10849999999999432</v>
      </c>
      <c r="V782" s="159">
        <f t="shared" si="86"/>
        <v>42.541499999999999</v>
      </c>
      <c r="W782" s="159">
        <f t="shared" si="87"/>
        <v>-47.889999999999986</v>
      </c>
      <c r="X782" s="159">
        <f t="shared" si="88"/>
        <v>-5.4569999999999794</v>
      </c>
      <c r="Y782" s="159">
        <f t="shared" ca="1" si="84"/>
        <v>-9.327053436771962</v>
      </c>
      <c r="Z782" s="159">
        <f t="shared" ca="1" si="89"/>
        <v>-14.717576365048929</v>
      </c>
      <c r="AA782" s="161">
        <f t="shared" ca="1" si="90"/>
        <v>-1471.7576365048928</v>
      </c>
    </row>
    <row r="783" spans="5:27" x14ac:dyDescent="0.25">
      <c r="E783" s="142"/>
      <c r="F783" s="142"/>
      <c r="T783" s="165">
        <v>771</v>
      </c>
      <c r="U783" s="159">
        <f t="shared" si="85"/>
        <v>0.89150000000000573</v>
      </c>
      <c r="V783" s="159">
        <f t="shared" si="86"/>
        <v>42.541499999999999</v>
      </c>
      <c r="W783" s="159">
        <f t="shared" si="87"/>
        <v>-48.889999999999986</v>
      </c>
      <c r="X783" s="159">
        <f t="shared" si="88"/>
        <v>-5.4569999999999794</v>
      </c>
      <c r="Y783" s="159">
        <f t="shared" ca="1" si="84"/>
        <v>-9.327053436771962</v>
      </c>
      <c r="Z783" s="159">
        <f t="shared" ca="1" si="89"/>
        <v>-14.717576365048929</v>
      </c>
      <c r="AA783" s="161">
        <f t="shared" ca="1" si="90"/>
        <v>-1471.7576365048928</v>
      </c>
    </row>
    <row r="784" spans="5:27" x14ac:dyDescent="0.25">
      <c r="E784" s="142"/>
      <c r="F784" s="142"/>
      <c r="T784" s="165">
        <v>772</v>
      </c>
      <c r="U784" s="159">
        <f t="shared" si="85"/>
        <v>1.8915000000000057</v>
      </c>
      <c r="V784" s="159">
        <f t="shared" si="86"/>
        <v>42.541499999999999</v>
      </c>
      <c r="W784" s="159">
        <f t="shared" si="87"/>
        <v>-49.889999999999986</v>
      </c>
      <c r="X784" s="159">
        <f t="shared" si="88"/>
        <v>-5.4569999999999794</v>
      </c>
      <c r="Y784" s="159">
        <f t="shared" ca="1" si="84"/>
        <v>-9.327053436771962</v>
      </c>
      <c r="Z784" s="159">
        <f t="shared" ca="1" si="89"/>
        <v>-14.717576365048929</v>
      </c>
      <c r="AA784" s="161">
        <f t="shared" ca="1" si="90"/>
        <v>-1471.7576365048928</v>
      </c>
    </row>
    <row r="785" spans="5:27" x14ac:dyDescent="0.25">
      <c r="E785" s="142"/>
      <c r="F785" s="142"/>
      <c r="T785" s="165">
        <v>773</v>
      </c>
      <c r="U785" s="159">
        <f t="shared" si="85"/>
        <v>2.8915000000000055</v>
      </c>
      <c r="V785" s="159">
        <f t="shared" si="86"/>
        <v>42.541499999999999</v>
      </c>
      <c r="W785" s="159">
        <f t="shared" si="87"/>
        <v>-50.889999999999986</v>
      </c>
      <c r="X785" s="159">
        <f t="shared" si="88"/>
        <v>-5.4569999999999794</v>
      </c>
      <c r="Y785" s="159">
        <f t="shared" ca="1" si="84"/>
        <v>-9.327053436771962</v>
      </c>
      <c r="Z785" s="159">
        <f t="shared" ca="1" si="89"/>
        <v>-14.717576365048929</v>
      </c>
      <c r="AA785" s="161">
        <f t="shared" ca="1" si="90"/>
        <v>-1471.7576365048928</v>
      </c>
    </row>
    <row r="786" spans="5:27" x14ac:dyDescent="0.25">
      <c r="E786" s="142"/>
      <c r="F786" s="142"/>
      <c r="T786" s="165">
        <v>774</v>
      </c>
      <c r="U786" s="159">
        <f t="shared" si="85"/>
        <v>3.8915000000000055</v>
      </c>
      <c r="V786" s="159">
        <f t="shared" si="86"/>
        <v>42.541499999999999</v>
      </c>
      <c r="W786" s="159">
        <f t="shared" si="87"/>
        <v>-51.889999999999986</v>
      </c>
      <c r="X786" s="159">
        <f t="shared" si="88"/>
        <v>-5.4569999999999794</v>
      </c>
      <c r="Y786" s="159">
        <f t="shared" ca="1" si="84"/>
        <v>-9.327053436771962</v>
      </c>
      <c r="Z786" s="159">
        <f t="shared" ca="1" si="89"/>
        <v>-14.717576365048929</v>
      </c>
      <c r="AA786" s="161">
        <f t="shared" ca="1" si="90"/>
        <v>-1471.7576365048928</v>
      </c>
    </row>
    <row r="787" spans="5:27" x14ac:dyDescent="0.25">
      <c r="E787" s="142"/>
      <c r="F787" s="142"/>
      <c r="T787" s="165">
        <v>775</v>
      </c>
      <c r="U787" s="159">
        <f t="shared" si="85"/>
        <v>4.891500000000006</v>
      </c>
      <c r="V787" s="159">
        <f t="shared" si="86"/>
        <v>42.541499999999999</v>
      </c>
      <c r="W787" s="159">
        <f t="shared" si="87"/>
        <v>-52.889999999999986</v>
      </c>
      <c r="X787" s="159">
        <f t="shared" si="88"/>
        <v>-5.4569999999999794</v>
      </c>
      <c r="Y787" s="159">
        <f t="shared" ca="1" si="84"/>
        <v>-9.327053436771962</v>
      </c>
      <c r="Z787" s="159">
        <f t="shared" ca="1" si="89"/>
        <v>-14.717576365048929</v>
      </c>
      <c r="AA787" s="161">
        <f t="shared" ca="1" si="90"/>
        <v>-1471.7576365048928</v>
      </c>
    </row>
    <row r="788" spans="5:27" x14ac:dyDescent="0.25">
      <c r="E788" s="142"/>
      <c r="F788" s="142"/>
      <c r="T788" s="165">
        <v>776</v>
      </c>
      <c r="U788" s="159">
        <f t="shared" si="85"/>
        <v>5.891500000000006</v>
      </c>
      <c r="V788" s="159">
        <f t="shared" si="86"/>
        <v>42.541499999999999</v>
      </c>
      <c r="W788" s="159">
        <f t="shared" si="87"/>
        <v>-53.889999999999986</v>
      </c>
      <c r="X788" s="159">
        <f t="shared" si="88"/>
        <v>-5.4569999999999794</v>
      </c>
      <c r="Y788" s="159">
        <f t="shared" ca="1" si="84"/>
        <v>-9.327053436771962</v>
      </c>
      <c r="Z788" s="159">
        <f t="shared" ca="1" si="89"/>
        <v>-14.717576365048929</v>
      </c>
      <c r="AA788" s="161">
        <f t="shared" ca="1" si="90"/>
        <v>-1471.7576365048928</v>
      </c>
    </row>
    <row r="789" spans="5:27" x14ac:dyDescent="0.25">
      <c r="E789" s="142"/>
      <c r="F789" s="142"/>
      <c r="T789" s="165">
        <v>777</v>
      </c>
      <c r="U789" s="159">
        <f t="shared" si="85"/>
        <v>6.891500000000006</v>
      </c>
      <c r="V789" s="159">
        <f t="shared" si="86"/>
        <v>42.541499999999999</v>
      </c>
      <c r="W789" s="159">
        <f t="shared" si="87"/>
        <v>-54.889999999999986</v>
      </c>
      <c r="X789" s="159">
        <f t="shared" si="88"/>
        <v>-5.4569999999999794</v>
      </c>
      <c r="Y789" s="159">
        <f t="shared" ca="1" si="84"/>
        <v>-9.327053436771962</v>
      </c>
      <c r="Z789" s="159">
        <f t="shared" ca="1" si="89"/>
        <v>-14.717576365048929</v>
      </c>
      <c r="AA789" s="161">
        <f t="shared" ca="1" si="90"/>
        <v>-1471.7576365048928</v>
      </c>
    </row>
    <row r="790" spans="5:27" x14ac:dyDescent="0.25">
      <c r="E790" s="142"/>
      <c r="F790" s="142"/>
      <c r="T790" s="165">
        <v>778</v>
      </c>
      <c r="U790" s="159">
        <f t="shared" si="85"/>
        <v>7.891500000000006</v>
      </c>
      <c r="V790" s="159">
        <f t="shared" si="86"/>
        <v>42.541499999999999</v>
      </c>
      <c r="W790" s="159">
        <f t="shared" si="87"/>
        <v>-55.889999999999986</v>
      </c>
      <c r="X790" s="159">
        <f t="shared" si="88"/>
        <v>-5.4569999999999794</v>
      </c>
      <c r="Y790" s="159">
        <f t="shared" ca="1" si="84"/>
        <v>-9.327053436771962</v>
      </c>
      <c r="Z790" s="159">
        <f t="shared" ca="1" si="89"/>
        <v>-14.717576365048929</v>
      </c>
      <c r="AA790" s="161">
        <f t="shared" ca="1" si="90"/>
        <v>-1471.7576365048928</v>
      </c>
    </row>
    <row r="791" spans="5:27" x14ac:dyDescent="0.25">
      <c r="E791" s="142"/>
      <c r="F791" s="142"/>
      <c r="T791" s="165">
        <v>779</v>
      </c>
      <c r="U791" s="159">
        <f t="shared" si="85"/>
        <v>8.891500000000006</v>
      </c>
      <c r="V791" s="159">
        <f t="shared" si="86"/>
        <v>42.541499999999999</v>
      </c>
      <c r="W791" s="159">
        <f t="shared" si="87"/>
        <v>-56.889999999999986</v>
      </c>
      <c r="X791" s="159">
        <f t="shared" si="88"/>
        <v>-5.4569999999999794</v>
      </c>
      <c r="Y791" s="159">
        <f t="shared" ca="1" si="84"/>
        <v>-9.327053436771962</v>
      </c>
      <c r="Z791" s="159">
        <f t="shared" ca="1" si="89"/>
        <v>-14.717576365048929</v>
      </c>
      <c r="AA791" s="161">
        <f t="shared" ca="1" si="90"/>
        <v>-1471.7576365048928</v>
      </c>
    </row>
    <row r="792" spans="5:27" x14ac:dyDescent="0.25">
      <c r="E792" s="142"/>
      <c r="F792" s="142"/>
      <c r="T792" s="165">
        <v>780</v>
      </c>
      <c r="U792" s="159">
        <f t="shared" si="85"/>
        <v>9.891500000000006</v>
      </c>
      <c r="V792" s="159">
        <f t="shared" si="86"/>
        <v>42.541499999999999</v>
      </c>
      <c r="W792" s="159">
        <f t="shared" si="87"/>
        <v>-57.889999999999986</v>
      </c>
      <c r="X792" s="159">
        <f t="shared" si="88"/>
        <v>-5.4569999999999794</v>
      </c>
      <c r="Y792" s="159">
        <f t="shared" ca="1" si="84"/>
        <v>-9.327053436771962</v>
      </c>
      <c r="Z792" s="159">
        <f t="shared" ca="1" si="89"/>
        <v>-14.717576365048929</v>
      </c>
      <c r="AA792" s="161">
        <f t="shared" ca="1" si="90"/>
        <v>-1471.7576365048928</v>
      </c>
    </row>
    <row r="793" spans="5:27" x14ac:dyDescent="0.25">
      <c r="E793" s="142"/>
      <c r="F793" s="142"/>
      <c r="T793" s="165">
        <v>781</v>
      </c>
      <c r="U793" s="159">
        <f t="shared" si="85"/>
        <v>10.891500000000006</v>
      </c>
      <c r="V793" s="159">
        <f t="shared" si="86"/>
        <v>42.541499999999999</v>
      </c>
      <c r="W793" s="159">
        <f t="shared" si="87"/>
        <v>-58.889999999999986</v>
      </c>
      <c r="X793" s="159">
        <f t="shared" si="88"/>
        <v>-5.4569999999999794</v>
      </c>
      <c r="Y793" s="159">
        <f t="shared" ca="1" si="84"/>
        <v>-9.327053436771962</v>
      </c>
      <c r="Z793" s="159">
        <f t="shared" ca="1" si="89"/>
        <v>-14.717576365048929</v>
      </c>
      <c r="AA793" s="161">
        <f t="shared" ca="1" si="90"/>
        <v>-1471.7576365048928</v>
      </c>
    </row>
    <row r="794" spans="5:27" x14ac:dyDescent="0.25">
      <c r="E794" s="142"/>
      <c r="F794" s="142"/>
      <c r="T794" s="165">
        <v>782</v>
      </c>
      <c r="U794" s="159">
        <f t="shared" si="85"/>
        <v>11.891500000000006</v>
      </c>
      <c r="V794" s="159">
        <f t="shared" si="86"/>
        <v>42.541499999999999</v>
      </c>
      <c r="W794" s="159">
        <f t="shared" si="87"/>
        <v>-59.889999999999986</v>
      </c>
      <c r="X794" s="159">
        <f t="shared" si="88"/>
        <v>-5.4569999999999794</v>
      </c>
      <c r="Y794" s="159">
        <f t="shared" ca="1" si="84"/>
        <v>-9.327053436771962</v>
      </c>
      <c r="Z794" s="159">
        <f t="shared" ca="1" si="89"/>
        <v>-14.717576365048929</v>
      </c>
      <c r="AA794" s="161">
        <f t="shared" ca="1" si="90"/>
        <v>-1471.7576365048928</v>
      </c>
    </row>
    <row r="795" spans="5:27" x14ac:dyDescent="0.25">
      <c r="E795" s="142"/>
      <c r="F795" s="142"/>
      <c r="T795" s="165">
        <v>783</v>
      </c>
      <c r="U795" s="159">
        <f t="shared" si="85"/>
        <v>12.891500000000006</v>
      </c>
      <c r="V795" s="159">
        <f t="shared" si="86"/>
        <v>42.541499999999999</v>
      </c>
      <c r="W795" s="159">
        <f t="shared" si="87"/>
        <v>-60.889999999999986</v>
      </c>
      <c r="X795" s="159">
        <f t="shared" si="88"/>
        <v>-5.4569999999999794</v>
      </c>
      <c r="Y795" s="159">
        <f t="shared" ca="1" si="84"/>
        <v>-9.327053436771962</v>
      </c>
      <c r="Z795" s="159">
        <f t="shared" ca="1" si="89"/>
        <v>-14.717576365048929</v>
      </c>
      <c r="AA795" s="161">
        <f t="shared" ca="1" si="90"/>
        <v>-1471.7576365048928</v>
      </c>
    </row>
    <row r="796" spans="5:27" x14ac:dyDescent="0.25">
      <c r="E796" s="142"/>
      <c r="F796" s="142"/>
      <c r="T796" s="165">
        <v>784</v>
      </c>
      <c r="U796" s="159">
        <f t="shared" si="85"/>
        <v>13.891500000000006</v>
      </c>
      <c r="V796" s="159">
        <f t="shared" si="86"/>
        <v>42.541499999999999</v>
      </c>
      <c r="W796" s="159">
        <f t="shared" si="87"/>
        <v>-61.889999999999986</v>
      </c>
      <c r="X796" s="159">
        <f t="shared" si="88"/>
        <v>-5.4569999999999794</v>
      </c>
      <c r="Y796" s="159">
        <f t="shared" ca="1" si="84"/>
        <v>-9.327053436771962</v>
      </c>
      <c r="Z796" s="159">
        <f t="shared" ca="1" si="89"/>
        <v>-14.717576365048929</v>
      </c>
      <c r="AA796" s="161">
        <f t="shared" ca="1" si="90"/>
        <v>-1471.7576365048928</v>
      </c>
    </row>
    <row r="797" spans="5:27" x14ac:dyDescent="0.25">
      <c r="E797" s="142"/>
      <c r="F797" s="142"/>
      <c r="T797" s="165">
        <v>785</v>
      </c>
      <c r="U797" s="159">
        <f t="shared" si="85"/>
        <v>14.891500000000006</v>
      </c>
      <c r="V797" s="159">
        <f t="shared" si="86"/>
        <v>42.541499999999999</v>
      </c>
      <c r="W797" s="159">
        <f t="shared" si="87"/>
        <v>-62.889999999999986</v>
      </c>
      <c r="X797" s="159">
        <f t="shared" si="88"/>
        <v>-5.4569999999999794</v>
      </c>
      <c r="Y797" s="159">
        <f t="shared" ca="1" si="84"/>
        <v>-9.327053436771962</v>
      </c>
      <c r="Z797" s="159">
        <f t="shared" ca="1" si="89"/>
        <v>-14.717576365048929</v>
      </c>
      <c r="AA797" s="161">
        <f t="shared" ca="1" si="90"/>
        <v>-1471.7576365048928</v>
      </c>
    </row>
    <row r="798" spans="5:27" x14ac:dyDescent="0.25">
      <c r="E798" s="142"/>
      <c r="F798" s="142"/>
      <c r="T798" s="165">
        <v>786</v>
      </c>
      <c r="U798" s="159">
        <f t="shared" si="85"/>
        <v>15.891500000000006</v>
      </c>
      <c r="V798" s="159">
        <f t="shared" si="86"/>
        <v>42.541499999999999</v>
      </c>
      <c r="W798" s="159">
        <f t="shared" si="87"/>
        <v>-63.889999999999986</v>
      </c>
      <c r="X798" s="159">
        <f t="shared" si="88"/>
        <v>-5.4569999999999794</v>
      </c>
      <c r="Y798" s="159">
        <f t="shared" ca="1" si="84"/>
        <v>-9.327053436771962</v>
      </c>
      <c r="Z798" s="159">
        <f t="shared" ca="1" si="89"/>
        <v>-14.717576365048929</v>
      </c>
      <c r="AA798" s="161">
        <f t="shared" ca="1" si="90"/>
        <v>-1471.7576365048928</v>
      </c>
    </row>
    <row r="799" spans="5:27" x14ac:dyDescent="0.25">
      <c r="E799" s="142"/>
      <c r="F799" s="142"/>
      <c r="T799" s="165">
        <v>787</v>
      </c>
      <c r="U799" s="159">
        <f t="shared" si="85"/>
        <v>16.891500000000004</v>
      </c>
      <c r="V799" s="159">
        <f t="shared" si="86"/>
        <v>42.541499999999999</v>
      </c>
      <c r="W799" s="159">
        <f t="shared" si="87"/>
        <v>-64.889999999999986</v>
      </c>
      <c r="X799" s="159">
        <f t="shared" si="88"/>
        <v>-5.4569999999999794</v>
      </c>
      <c r="Y799" s="159">
        <f t="shared" ca="1" si="84"/>
        <v>-9.327053436771962</v>
      </c>
      <c r="Z799" s="159">
        <f t="shared" ca="1" si="89"/>
        <v>-14.717576365048929</v>
      </c>
      <c r="AA799" s="161">
        <f t="shared" ca="1" si="90"/>
        <v>-1471.7576365048928</v>
      </c>
    </row>
    <row r="800" spans="5:27" x14ac:dyDescent="0.25">
      <c r="E800" s="142"/>
      <c r="F800" s="142"/>
      <c r="T800" s="165">
        <v>788</v>
      </c>
      <c r="U800" s="159">
        <f t="shared" si="85"/>
        <v>17.891500000000004</v>
      </c>
      <c r="V800" s="159">
        <f t="shared" si="86"/>
        <v>42.541499999999999</v>
      </c>
      <c r="W800" s="159">
        <f t="shared" si="87"/>
        <v>-65.889999999999986</v>
      </c>
      <c r="X800" s="159">
        <f t="shared" si="88"/>
        <v>-5.4569999999999794</v>
      </c>
      <c r="Y800" s="159">
        <f t="shared" ca="1" si="84"/>
        <v>-9.327053436771962</v>
      </c>
      <c r="Z800" s="159">
        <f t="shared" ca="1" si="89"/>
        <v>-14.717576365048929</v>
      </c>
      <c r="AA800" s="161">
        <f t="shared" ca="1" si="90"/>
        <v>-1471.7576365048928</v>
      </c>
    </row>
    <row r="801" spans="5:27" x14ac:dyDescent="0.25">
      <c r="E801" s="142"/>
      <c r="F801" s="142"/>
      <c r="T801" s="165">
        <v>789</v>
      </c>
      <c r="U801" s="159">
        <f t="shared" si="85"/>
        <v>18.891500000000004</v>
      </c>
      <c r="V801" s="159">
        <f t="shared" si="86"/>
        <v>42.541499999999999</v>
      </c>
      <c r="W801" s="159">
        <f t="shared" si="87"/>
        <v>-66.889999999999986</v>
      </c>
      <c r="X801" s="159">
        <f t="shared" si="88"/>
        <v>-5.4569999999999794</v>
      </c>
      <c r="Y801" s="159">
        <f t="shared" ca="1" si="84"/>
        <v>-9.327053436771962</v>
      </c>
      <c r="Z801" s="159">
        <f t="shared" ca="1" si="89"/>
        <v>-14.717576365048929</v>
      </c>
      <c r="AA801" s="161">
        <f t="shared" ca="1" si="90"/>
        <v>-1471.7576365048928</v>
      </c>
    </row>
    <row r="802" spans="5:27" x14ac:dyDescent="0.25">
      <c r="E802" s="142"/>
      <c r="F802" s="142"/>
      <c r="T802" s="165">
        <v>790</v>
      </c>
      <c r="U802" s="159">
        <f t="shared" si="85"/>
        <v>19.891500000000004</v>
      </c>
      <c r="V802" s="159">
        <f t="shared" si="86"/>
        <v>42.541499999999999</v>
      </c>
      <c r="W802" s="159">
        <f t="shared" si="87"/>
        <v>-67.889999999999986</v>
      </c>
      <c r="X802" s="159">
        <f t="shared" si="88"/>
        <v>-5.4569999999999794</v>
      </c>
      <c r="Y802" s="159">
        <f t="shared" ca="1" si="84"/>
        <v>-9.327053436771962</v>
      </c>
      <c r="Z802" s="159">
        <f t="shared" ca="1" si="89"/>
        <v>-14.717576365048929</v>
      </c>
      <c r="AA802" s="161">
        <f t="shared" ca="1" si="90"/>
        <v>-1471.7576365048928</v>
      </c>
    </row>
    <row r="803" spans="5:27" x14ac:dyDescent="0.25">
      <c r="E803" s="142"/>
      <c r="F803" s="142"/>
      <c r="T803" s="165">
        <v>791</v>
      </c>
      <c r="U803" s="159">
        <f t="shared" si="85"/>
        <v>20.891500000000004</v>
      </c>
      <c r="V803" s="159">
        <f t="shared" si="86"/>
        <v>42.541499999999999</v>
      </c>
      <c r="W803" s="159">
        <f t="shared" si="87"/>
        <v>-68.889999999999986</v>
      </c>
      <c r="X803" s="159">
        <f t="shared" si="88"/>
        <v>-5.4569999999999794</v>
      </c>
      <c r="Y803" s="159">
        <f t="shared" ca="1" si="84"/>
        <v>-9.327053436771962</v>
      </c>
      <c r="Z803" s="159">
        <f t="shared" ca="1" si="89"/>
        <v>-14.717576365048929</v>
      </c>
      <c r="AA803" s="161">
        <f t="shared" ca="1" si="90"/>
        <v>-1471.7576365048928</v>
      </c>
    </row>
    <row r="804" spans="5:27" x14ac:dyDescent="0.25">
      <c r="E804" s="142"/>
      <c r="F804" s="142"/>
      <c r="T804" s="165">
        <v>792</v>
      </c>
      <c r="U804" s="159">
        <f t="shared" si="85"/>
        <v>21.891500000000004</v>
      </c>
      <c r="V804" s="159">
        <f t="shared" si="86"/>
        <v>42.541499999999999</v>
      </c>
      <c r="W804" s="159">
        <f t="shared" si="87"/>
        <v>-69.889999999999986</v>
      </c>
      <c r="X804" s="159">
        <f t="shared" si="88"/>
        <v>-5.4569999999999794</v>
      </c>
      <c r="Y804" s="159">
        <f t="shared" ca="1" si="84"/>
        <v>-9.327053436771962</v>
      </c>
      <c r="Z804" s="159">
        <f t="shared" ca="1" si="89"/>
        <v>-14.717576365048929</v>
      </c>
      <c r="AA804" s="161">
        <f t="shared" ca="1" si="90"/>
        <v>-1471.7576365048928</v>
      </c>
    </row>
    <row r="805" spans="5:27" x14ac:dyDescent="0.25">
      <c r="E805" s="142"/>
      <c r="F805" s="142"/>
      <c r="T805" s="165">
        <v>793</v>
      </c>
      <c r="U805" s="159">
        <f t="shared" si="85"/>
        <v>22.891500000000004</v>
      </c>
      <c r="V805" s="159">
        <f t="shared" si="86"/>
        <v>42.541499999999999</v>
      </c>
      <c r="W805" s="159">
        <f t="shared" si="87"/>
        <v>-70.889999999999986</v>
      </c>
      <c r="X805" s="159">
        <f t="shared" si="88"/>
        <v>-5.4569999999999794</v>
      </c>
      <c r="Y805" s="159">
        <f t="shared" ca="1" si="84"/>
        <v>-9.327053436771962</v>
      </c>
      <c r="Z805" s="159">
        <f t="shared" ca="1" si="89"/>
        <v>-14.717576365048929</v>
      </c>
      <c r="AA805" s="161">
        <f t="shared" ca="1" si="90"/>
        <v>-1471.7576365048928</v>
      </c>
    </row>
    <row r="806" spans="5:27" x14ac:dyDescent="0.25">
      <c r="E806" s="142"/>
      <c r="F806" s="142"/>
      <c r="T806" s="165">
        <v>794</v>
      </c>
      <c r="U806" s="159">
        <f t="shared" si="85"/>
        <v>23.891500000000004</v>
      </c>
      <c r="V806" s="159">
        <f t="shared" si="86"/>
        <v>42.541499999999999</v>
      </c>
      <c r="W806" s="159">
        <f t="shared" si="87"/>
        <v>-71.889999999999986</v>
      </c>
      <c r="X806" s="159">
        <f t="shared" si="88"/>
        <v>-5.4569999999999794</v>
      </c>
      <c r="Y806" s="159">
        <f t="shared" ca="1" si="84"/>
        <v>-9.327053436771962</v>
      </c>
      <c r="Z806" s="159">
        <f t="shared" ca="1" si="89"/>
        <v>-14.717576365048929</v>
      </c>
      <c r="AA806" s="161">
        <f t="shared" ca="1" si="90"/>
        <v>-1471.7576365048928</v>
      </c>
    </row>
    <row r="807" spans="5:27" x14ac:dyDescent="0.25">
      <c r="E807" s="142"/>
      <c r="F807" s="142"/>
      <c r="T807" s="165">
        <v>795</v>
      </c>
      <c r="U807" s="159">
        <f t="shared" si="85"/>
        <v>24.891500000000004</v>
      </c>
      <c r="V807" s="159">
        <f t="shared" si="86"/>
        <v>42.541499999999999</v>
      </c>
      <c r="W807" s="159">
        <f t="shared" si="87"/>
        <v>-72.889999999999986</v>
      </c>
      <c r="X807" s="159">
        <f t="shared" si="88"/>
        <v>-5.4569999999999794</v>
      </c>
      <c r="Y807" s="159">
        <f t="shared" ca="1" si="84"/>
        <v>-9.327053436771962</v>
      </c>
      <c r="Z807" s="159">
        <f t="shared" ca="1" si="89"/>
        <v>-14.717576365048929</v>
      </c>
      <c r="AA807" s="161">
        <f t="shared" ca="1" si="90"/>
        <v>-1471.7576365048928</v>
      </c>
    </row>
    <row r="808" spans="5:27" x14ac:dyDescent="0.25">
      <c r="E808" s="142"/>
      <c r="F808" s="142"/>
      <c r="T808" s="165">
        <v>796</v>
      </c>
      <c r="U808" s="159">
        <f t="shared" si="85"/>
        <v>25.891500000000004</v>
      </c>
      <c r="V808" s="159">
        <f t="shared" si="86"/>
        <v>42.541499999999999</v>
      </c>
      <c r="W808" s="159">
        <f t="shared" si="87"/>
        <v>-73.889999999999986</v>
      </c>
      <c r="X808" s="159">
        <f t="shared" si="88"/>
        <v>-5.4569999999999794</v>
      </c>
      <c r="Y808" s="159">
        <f t="shared" ca="1" si="84"/>
        <v>-9.327053436771962</v>
      </c>
      <c r="Z808" s="159">
        <f t="shared" ca="1" si="89"/>
        <v>-14.717576365048929</v>
      </c>
      <c r="AA808" s="161">
        <f t="shared" ca="1" si="90"/>
        <v>-1471.7576365048928</v>
      </c>
    </row>
    <row r="809" spans="5:27" x14ac:dyDescent="0.25">
      <c r="E809" s="142"/>
      <c r="F809" s="142"/>
      <c r="T809" s="165">
        <v>797</v>
      </c>
      <c r="U809" s="159">
        <f t="shared" si="85"/>
        <v>26.891500000000004</v>
      </c>
      <c r="V809" s="159">
        <f t="shared" si="86"/>
        <v>42.541499999999999</v>
      </c>
      <c r="W809" s="159">
        <f t="shared" si="87"/>
        <v>-74.889999999999986</v>
      </c>
      <c r="X809" s="159">
        <f t="shared" si="88"/>
        <v>-5.4569999999999794</v>
      </c>
      <c r="Y809" s="159">
        <f t="shared" ca="1" si="84"/>
        <v>-9.327053436771962</v>
      </c>
      <c r="Z809" s="159">
        <f t="shared" ca="1" si="89"/>
        <v>-14.717576365048929</v>
      </c>
      <c r="AA809" s="161">
        <f t="shared" ca="1" si="90"/>
        <v>-1471.7576365048928</v>
      </c>
    </row>
    <row r="810" spans="5:27" x14ac:dyDescent="0.25">
      <c r="E810" s="142"/>
      <c r="F810" s="142"/>
      <c r="T810" s="165">
        <v>798</v>
      </c>
      <c r="U810" s="159">
        <f t="shared" si="85"/>
        <v>27.891500000000004</v>
      </c>
      <c r="V810" s="159">
        <f t="shared" si="86"/>
        <v>42.541499999999999</v>
      </c>
      <c r="W810" s="159">
        <f t="shared" si="87"/>
        <v>-75.889999999999986</v>
      </c>
      <c r="X810" s="159">
        <f t="shared" si="88"/>
        <v>-5.4569999999999794</v>
      </c>
      <c r="Y810" s="159">
        <f t="shared" ca="1" si="84"/>
        <v>-9.327053436771962</v>
      </c>
      <c r="Z810" s="159">
        <f t="shared" ca="1" si="89"/>
        <v>-14.717576365048929</v>
      </c>
      <c r="AA810" s="161">
        <f t="shared" ca="1" si="90"/>
        <v>-1471.7576365048928</v>
      </c>
    </row>
    <row r="811" spans="5:27" x14ac:dyDescent="0.25">
      <c r="E811" s="142"/>
      <c r="F811" s="142"/>
      <c r="T811" s="165">
        <v>799</v>
      </c>
      <c r="U811" s="159">
        <f t="shared" si="85"/>
        <v>28.891500000000004</v>
      </c>
      <c r="V811" s="159">
        <f t="shared" si="86"/>
        <v>42.541499999999999</v>
      </c>
      <c r="W811" s="159">
        <f t="shared" si="87"/>
        <v>-76.889999999999986</v>
      </c>
      <c r="X811" s="159">
        <f t="shared" si="88"/>
        <v>-5.4569999999999794</v>
      </c>
      <c r="Y811" s="159">
        <f t="shared" ca="1" si="84"/>
        <v>-9.327053436771962</v>
      </c>
      <c r="Z811" s="159">
        <f t="shared" ca="1" si="89"/>
        <v>-14.717576365048929</v>
      </c>
      <c r="AA811" s="161">
        <f t="shared" ca="1" si="90"/>
        <v>-1471.7576365048928</v>
      </c>
    </row>
    <row r="812" spans="5:27" x14ac:dyDescent="0.25">
      <c r="E812" s="142"/>
      <c r="F812" s="142"/>
      <c r="T812" s="165">
        <v>800</v>
      </c>
      <c r="U812" s="159">
        <f t="shared" si="85"/>
        <v>29.891500000000004</v>
      </c>
      <c r="V812" s="159">
        <f t="shared" si="86"/>
        <v>42.541499999999999</v>
      </c>
      <c r="W812" s="159">
        <f t="shared" si="87"/>
        <v>-77.889999999999986</v>
      </c>
      <c r="X812" s="159">
        <f t="shared" si="88"/>
        <v>-5.4569999999999794</v>
      </c>
      <c r="Y812" s="159">
        <f t="shared" ca="1" si="84"/>
        <v>-9.327053436771962</v>
      </c>
      <c r="Z812" s="159">
        <f t="shared" ca="1" si="89"/>
        <v>-14.717576365048929</v>
      </c>
      <c r="AA812" s="161">
        <f t="shared" ca="1" si="90"/>
        <v>-1471.7576365048928</v>
      </c>
    </row>
    <row r="813" spans="5:27" x14ac:dyDescent="0.25">
      <c r="E813" s="142"/>
      <c r="F813" s="142"/>
      <c r="T813" s="165">
        <v>801</v>
      </c>
      <c r="U813" s="159">
        <f t="shared" si="85"/>
        <v>30.891500000000004</v>
      </c>
      <c r="V813" s="159">
        <f t="shared" si="86"/>
        <v>42.541499999999999</v>
      </c>
      <c r="W813" s="159">
        <f t="shared" si="87"/>
        <v>-78.889999999999986</v>
      </c>
      <c r="X813" s="159">
        <f t="shared" si="88"/>
        <v>-5.4569999999999794</v>
      </c>
      <c r="Y813" s="159">
        <f t="shared" ca="1" si="84"/>
        <v>-9.327053436771962</v>
      </c>
      <c r="Z813" s="159">
        <f t="shared" ca="1" si="89"/>
        <v>-14.717576365048929</v>
      </c>
      <c r="AA813" s="161">
        <f t="shared" ca="1" si="90"/>
        <v>-1471.7576365048928</v>
      </c>
    </row>
    <row r="814" spans="5:27" x14ac:dyDescent="0.25">
      <c r="E814" s="142"/>
      <c r="F814" s="142"/>
      <c r="T814" s="165">
        <v>802</v>
      </c>
      <c r="U814" s="159">
        <f t="shared" si="85"/>
        <v>31.891500000000004</v>
      </c>
      <c r="V814" s="159">
        <f t="shared" si="86"/>
        <v>42.541499999999999</v>
      </c>
      <c r="W814" s="159">
        <f t="shared" si="87"/>
        <v>-79.889999999999986</v>
      </c>
      <c r="X814" s="159">
        <f t="shared" si="88"/>
        <v>-5.4569999999999794</v>
      </c>
      <c r="Y814" s="159">
        <f t="shared" ca="1" si="84"/>
        <v>-9.327053436771962</v>
      </c>
      <c r="Z814" s="159">
        <f t="shared" ca="1" si="89"/>
        <v>-14.717576365048929</v>
      </c>
      <c r="AA814" s="161">
        <f t="shared" ca="1" si="90"/>
        <v>-1471.7576365048928</v>
      </c>
    </row>
    <row r="815" spans="5:27" x14ac:dyDescent="0.25">
      <c r="E815" s="142"/>
      <c r="F815" s="142"/>
      <c r="T815" s="165">
        <v>803</v>
      </c>
      <c r="U815" s="159">
        <f t="shared" si="85"/>
        <v>32.891500000000008</v>
      </c>
      <c r="V815" s="159">
        <f t="shared" si="86"/>
        <v>42.541499999999999</v>
      </c>
      <c r="W815" s="159">
        <f t="shared" si="87"/>
        <v>-80.889999999999986</v>
      </c>
      <c r="X815" s="159">
        <f t="shared" si="88"/>
        <v>-5.4569999999999794</v>
      </c>
      <c r="Y815" s="159">
        <f t="shared" ca="1" si="84"/>
        <v>-9.327053436771962</v>
      </c>
      <c r="Z815" s="159">
        <f t="shared" ca="1" si="89"/>
        <v>-14.717576365048929</v>
      </c>
      <c r="AA815" s="161">
        <f t="shared" ca="1" si="90"/>
        <v>-1471.7576365048928</v>
      </c>
    </row>
    <row r="816" spans="5:27" x14ac:dyDescent="0.25">
      <c r="E816" s="142"/>
      <c r="F816" s="142"/>
      <c r="T816" s="165">
        <v>804</v>
      </c>
      <c r="U816" s="159">
        <f t="shared" si="85"/>
        <v>33.891500000000008</v>
      </c>
      <c r="V816" s="159">
        <f t="shared" si="86"/>
        <v>42.541499999999999</v>
      </c>
      <c r="W816" s="159">
        <f t="shared" si="87"/>
        <v>-81.889999999999986</v>
      </c>
      <c r="X816" s="159">
        <f t="shared" si="88"/>
        <v>-5.4569999999999794</v>
      </c>
      <c r="Y816" s="159">
        <f t="shared" ca="1" si="84"/>
        <v>-9.327053436771962</v>
      </c>
      <c r="Z816" s="159">
        <f t="shared" ca="1" si="89"/>
        <v>-14.717576365048929</v>
      </c>
      <c r="AA816" s="161">
        <f t="shared" ca="1" si="90"/>
        <v>-1471.7576365048928</v>
      </c>
    </row>
    <row r="817" spans="5:27" x14ac:dyDescent="0.25">
      <c r="E817" s="142"/>
      <c r="F817" s="142"/>
      <c r="T817" s="165">
        <v>805</v>
      </c>
      <c r="U817" s="159">
        <f t="shared" si="85"/>
        <v>34.891500000000008</v>
      </c>
      <c r="V817" s="159">
        <f t="shared" si="86"/>
        <v>42.541499999999999</v>
      </c>
      <c r="W817" s="159">
        <f t="shared" si="87"/>
        <v>-82.889999999999986</v>
      </c>
      <c r="X817" s="159">
        <f t="shared" si="88"/>
        <v>-5.4569999999999794</v>
      </c>
      <c r="Y817" s="159">
        <f t="shared" ca="1" si="84"/>
        <v>-9.327053436771962</v>
      </c>
      <c r="Z817" s="159">
        <f t="shared" ca="1" si="89"/>
        <v>-14.717576365048929</v>
      </c>
      <c r="AA817" s="161">
        <f t="shared" ca="1" si="90"/>
        <v>-1471.7576365048928</v>
      </c>
    </row>
    <row r="818" spans="5:27" x14ac:dyDescent="0.25">
      <c r="E818" s="142"/>
      <c r="F818" s="142"/>
      <c r="T818" s="165">
        <v>806</v>
      </c>
      <c r="U818" s="159">
        <f t="shared" si="85"/>
        <v>35.891500000000008</v>
      </c>
      <c r="V818" s="159">
        <f t="shared" si="86"/>
        <v>42.541499999999999</v>
      </c>
      <c r="W818" s="159">
        <f t="shared" si="87"/>
        <v>-83.889999999999986</v>
      </c>
      <c r="X818" s="159">
        <f t="shared" si="88"/>
        <v>-5.4569999999999794</v>
      </c>
      <c r="Y818" s="159">
        <f t="shared" ca="1" si="84"/>
        <v>-9.327053436771962</v>
      </c>
      <c r="Z818" s="159">
        <f t="shared" ca="1" si="89"/>
        <v>-14.717576365048929</v>
      </c>
      <c r="AA818" s="161">
        <f t="shared" ca="1" si="90"/>
        <v>-1471.7576365048928</v>
      </c>
    </row>
    <row r="819" spans="5:27" x14ac:dyDescent="0.25">
      <c r="E819" s="142"/>
      <c r="F819" s="142"/>
      <c r="T819" s="165">
        <v>807</v>
      </c>
      <c r="U819" s="159">
        <f t="shared" si="85"/>
        <v>36.891500000000008</v>
      </c>
      <c r="V819" s="159">
        <f t="shared" si="86"/>
        <v>42.541499999999999</v>
      </c>
      <c r="W819" s="159">
        <f t="shared" si="87"/>
        <v>-84.889999999999986</v>
      </c>
      <c r="X819" s="159">
        <f t="shared" si="88"/>
        <v>-5.4569999999999794</v>
      </c>
      <c r="Y819" s="159">
        <f t="shared" ca="1" si="84"/>
        <v>-9.327053436771962</v>
      </c>
      <c r="Z819" s="159">
        <f t="shared" ca="1" si="89"/>
        <v>-14.717576365048929</v>
      </c>
      <c r="AA819" s="161">
        <f t="shared" ca="1" si="90"/>
        <v>-1471.7576365048928</v>
      </c>
    </row>
    <row r="820" spans="5:27" x14ac:dyDescent="0.25">
      <c r="E820" s="142"/>
      <c r="F820" s="142"/>
      <c r="T820" s="165">
        <v>808</v>
      </c>
      <c r="U820" s="159">
        <f t="shared" si="85"/>
        <v>37.891500000000008</v>
      </c>
      <c r="V820" s="159">
        <f t="shared" si="86"/>
        <v>42.541499999999999</v>
      </c>
      <c r="W820" s="159">
        <f t="shared" si="87"/>
        <v>-85.889999999999986</v>
      </c>
      <c r="X820" s="159">
        <f t="shared" si="88"/>
        <v>-5.4569999999999794</v>
      </c>
      <c r="Y820" s="159">
        <f t="shared" ca="1" si="84"/>
        <v>-9.327053436771962</v>
      </c>
      <c r="Z820" s="159">
        <f t="shared" ca="1" si="89"/>
        <v>-14.717576365048929</v>
      </c>
      <c r="AA820" s="161">
        <f t="shared" ca="1" si="90"/>
        <v>-1471.7576365048928</v>
      </c>
    </row>
    <row r="821" spans="5:27" x14ac:dyDescent="0.25">
      <c r="E821" s="142"/>
      <c r="F821" s="142"/>
      <c r="T821" s="165">
        <v>809</v>
      </c>
      <c r="U821" s="159">
        <f t="shared" si="85"/>
        <v>38.891500000000008</v>
      </c>
      <c r="V821" s="159">
        <f t="shared" si="86"/>
        <v>42.541499999999999</v>
      </c>
      <c r="W821" s="159">
        <f t="shared" si="87"/>
        <v>-86.889999999999986</v>
      </c>
      <c r="X821" s="159">
        <f t="shared" si="88"/>
        <v>-5.4569999999999794</v>
      </c>
      <c r="Y821" s="159">
        <f t="shared" ca="1" si="84"/>
        <v>-9.327053436771962</v>
      </c>
      <c r="Z821" s="159">
        <f t="shared" ca="1" si="89"/>
        <v>-14.717576365048929</v>
      </c>
      <c r="AA821" s="161">
        <f t="shared" ca="1" si="90"/>
        <v>-1471.7576365048928</v>
      </c>
    </row>
    <row r="822" spans="5:27" x14ac:dyDescent="0.25">
      <c r="E822" s="142"/>
      <c r="F822" s="142"/>
      <c r="T822" s="165">
        <v>810</v>
      </c>
      <c r="U822" s="159">
        <f t="shared" si="85"/>
        <v>39.891500000000008</v>
      </c>
      <c r="V822" s="159">
        <f t="shared" si="86"/>
        <v>42.541499999999999</v>
      </c>
      <c r="W822" s="159">
        <f t="shared" si="87"/>
        <v>-87.889999999999986</v>
      </c>
      <c r="X822" s="159">
        <f t="shared" si="88"/>
        <v>-5.4569999999999794</v>
      </c>
      <c r="Y822" s="159">
        <f t="shared" ca="1" si="84"/>
        <v>-9.327053436771962</v>
      </c>
      <c r="Z822" s="159">
        <f t="shared" ca="1" si="89"/>
        <v>-14.717576365048929</v>
      </c>
      <c r="AA822" s="161">
        <f t="shared" ca="1" si="90"/>
        <v>-1471.7576365048928</v>
      </c>
    </row>
    <row r="823" spans="5:27" x14ac:dyDescent="0.25">
      <c r="E823" s="142"/>
      <c r="F823" s="142"/>
      <c r="T823" s="165">
        <v>811</v>
      </c>
      <c r="U823" s="159">
        <f t="shared" si="85"/>
        <v>40.891500000000008</v>
      </c>
      <c r="V823" s="159">
        <f t="shared" si="86"/>
        <v>42.541499999999999</v>
      </c>
      <c r="W823" s="159">
        <f t="shared" si="87"/>
        <v>-88.889999999999986</v>
      </c>
      <c r="X823" s="159">
        <f t="shared" si="88"/>
        <v>-5.4569999999999794</v>
      </c>
      <c r="Y823" s="159">
        <f t="shared" ca="1" si="84"/>
        <v>-9.327053436771962</v>
      </c>
      <c r="Z823" s="159">
        <f t="shared" ca="1" si="89"/>
        <v>-14.717576365048929</v>
      </c>
      <c r="AA823" s="161">
        <f t="shared" ca="1" si="90"/>
        <v>-1471.7576365048928</v>
      </c>
    </row>
    <row r="824" spans="5:27" x14ac:dyDescent="0.25">
      <c r="E824" s="142"/>
      <c r="F824" s="142"/>
      <c r="T824" s="165">
        <v>812</v>
      </c>
      <c r="U824" s="159">
        <f t="shared" si="85"/>
        <v>41.891500000000008</v>
      </c>
      <c r="V824" s="159">
        <f t="shared" si="86"/>
        <v>42.541499999999999</v>
      </c>
      <c r="W824" s="159">
        <f t="shared" si="87"/>
        <v>-89.889999999999986</v>
      </c>
      <c r="X824" s="159">
        <f t="shared" si="88"/>
        <v>-5.4569999999999794</v>
      </c>
      <c r="Y824" s="159">
        <f t="shared" ca="1" si="84"/>
        <v>-9.327053436771962</v>
      </c>
      <c r="Z824" s="159">
        <f t="shared" ca="1" si="89"/>
        <v>-14.717576365048929</v>
      </c>
      <c r="AA824" s="161">
        <f t="shared" ca="1" si="90"/>
        <v>-1471.7576365048928</v>
      </c>
    </row>
    <row r="825" spans="5:27" x14ac:dyDescent="0.25">
      <c r="E825" s="142"/>
      <c r="F825" s="142"/>
      <c r="T825" s="165">
        <v>813</v>
      </c>
      <c r="U825" s="159">
        <f t="shared" si="85"/>
        <v>42.891500000000008</v>
      </c>
      <c r="V825" s="159">
        <f t="shared" si="86"/>
        <v>42.541499999999999</v>
      </c>
      <c r="W825" s="159">
        <f t="shared" si="87"/>
        <v>-90.889999999999986</v>
      </c>
      <c r="X825" s="159">
        <f t="shared" si="88"/>
        <v>-5.4569999999999794</v>
      </c>
      <c r="Y825" s="159">
        <f t="shared" ca="1" si="84"/>
        <v>-9.327053436771962</v>
      </c>
      <c r="Z825" s="159">
        <f t="shared" ca="1" si="89"/>
        <v>-14.717576365048929</v>
      </c>
      <c r="AA825" s="161">
        <f t="shared" ca="1" si="90"/>
        <v>-1471.7576365048928</v>
      </c>
    </row>
    <row r="826" spans="5:27" x14ac:dyDescent="0.25">
      <c r="E826" s="142"/>
      <c r="F826" s="142"/>
      <c r="T826" s="165">
        <v>814</v>
      </c>
      <c r="U826" s="159">
        <f t="shared" si="85"/>
        <v>43.891500000000008</v>
      </c>
      <c r="V826" s="159">
        <f t="shared" si="86"/>
        <v>42.541499999999999</v>
      </c>
      <c r="W826" s="159">
        <f t="shared" si="87"/>
        <v>-91.889999999999986</v>
      </c>
      <c r="X826" s="159">
        <f t="shared" si="88"/>
        <v>-5.4569999999999794</v>
      </c>
      <c r="Y826" s="159">
        <f t="shared" ca="1" si="84"/>
        <v>-9.327053436771962</v>
      </c>
      <c r="Z826" s="159">
        <f t="shared" ca="1" si="89"/>
        <v>-14.717576365048929</v>
      </c>
      <c r="AA826" s="161">
        <f t="shared" ca="1" si="90"/>
        <v>-1471.7576365048928</v>
      </c>
    </row>
    <row r="827" spans="5:27" x14ac:dyDescent="0.25">
      <c r="E827" s="142"/>
      <c r="F827" s="142"/>
      <c r="T827" s="165">
        <v>815</v>
      </c>
      <c r="U827" s="159">
        <f t="shared" si="85"/>
        <v>44.891500000000008</v>
      </c>
      <c r="V827" s="159">
        <f t="shared" si="86"/>
        <v>42.541499999999999</v>
      </c>
      <c r="W827" s="159">
        <f t="shared" si="87"/>
        <v>-92.889999999999986</v>
      </c>
      <c r="X827" s="159">
        <f t="shared" si="88"/>
        <v>-5.4569999999999794</v>
      </c>
      <c r="Y827" s="159">
        <f t="shared" ca="1" si="84"/>
        <v>-9.327053436771962</v>
      </c>
      <c r="Z827" s="159">
        <f t="shared" ca="1" si="89"/>
        <v>-14.717576365048929</v>
      </c>
      <c r="AA827" s="161">
        <f t="shared" ca="1" si="90"/>
        <v>-1471.7576365048928</v>
      </c>
    </row>
    <row r="828" spans="5:27" x14ac:dyDescent="0.25">
      <c r="E828" s="142"/>
      <c r="F828" s="142"/>
      <c r="T828" s="165">
        <v>816</v>
      </c>
      <c r="U828" s="159">
        <f t="shared" si="85"/>
        <v>45.891500000000008</v>
      </c>
      <c r="V828" s="159">
        <f t="shared" si="86"/>
        <v>42.541499999999999</v>
      </c>
      <c r="W828" s="159">
        <f t="shared" si="87"/>
        <v>-93.889999999999986</v>
      </c>
      <c r="X828" s="159">
        <f t="shared" si="88"/>
        <v>-5.4569999999999794</v>
      </c>
      <c r="Y828" s="159">
        <f t="shared" ca="1" si="84"/>
        <v>-9.327053436771962</v>
      </c>
      <c r="Z828" s="159">
        <f t="shared" ca="1" si="89"/>
        <v>-14.717576365048929</v>
      </c>
      <c r="AA828" s="161">
        <f t="shared" ca="1" si="90"/>
        <v>-1471.7576365048928</v>
      </c>
    </row>
    <row r="829" spans="5:27" x14ac:dyDescent="0.25">
      <c r="E829" s="142"/>
      <c r="F829" s="142"/>
      <c r="T829" s="165">
        <v>817</v>
      </c>
      <c r="U829" s="159">
        <f t="shared" si="85"/>
        <v>46.891500000000008</v>
      </c>
      <c r="V829" s="159">
        <f t="shared" si="86"/>
        <v>42.541499999999999</v>
      </c>
      <c r="W829" s="159">
        <f t="shared" si="87"/>
        <v>-94.889999999999986</v>
      </c>
      <c r="X829" s="159">
        <f t="shared" si="88"/>
        <v>-5.4569999999999794</v>
      </c>
      <c r="Y829" s="159">
        <f t="shared" ca="1" si="84"/>
        <v>-9.327053436771962</v>
      </c>
      <c r="Z829" s="159">
        <f t="shared" ca="1" si="89"/>
        <v>-14.717576365048929</v>
      </c>
      <c r="AA829" s="161">
        <f t="shared" ca="1" si="90"/>
        <v>-1471.7576365048928</v>
      </c>
    </row>
    <row r="830" spans="5:27" x14ac:dyDescent="0.25">
      <c r="E830" s="142"/>
      <c r="F830" s="142"/>
      <c r="T830" s="165">
        <v>818</v>
      </c>
      <c r="U830" s="159">
        <f t="shared" si="85"/>
        <v>47.891500000000008</v>
      </c>
      <c r="V830" s="159">
        <f t="shared" si="86"/>
        <v>42.541499999999999</v>
      </c>
      <c r="W830" s="159">
        <f t="shared" si="87"/>
        <v>-95.889999999999986</v>
      </c>
      <c r="X830" s="159">
        <f t="shared" si="88"/>
        <v>-5.4569999999999794</v>
      </c>
      <c r="Y830" s="159">
        <f t="shared" ca="1" si="84"/>
        <v>-9.327053436771962</v>
      </c>
      <c r="Z830" s="159">
        <f t="shared" ca="1" si="89"/>
        <v>-14.717576365048929</v>
      </c>
      <c r="AA830" s="161">
        <f t="shared" ca="1" si="90"/>
        <v>-1471.7576365048928</v>
      </c>
    </row>
    <row r="831" spans="5:27" x14ac:dyDescent="0.25">
      <c r="E831" s="142"/>
      <c r="F831" s="142"/>
      <c r="T831" s="165">
        <v>819</v>
      </c>
      <c r="U831" s="159">
        <f t="shared" si="85"/>
        <v>48.891500000000008</v>
      </c>
      <c r="V831" s="159">
        <f t="shared" si="86"/>
        <v>42.541499999999999</v>
      </c>
      <c r="W831" s="159">
        <f t="shared" si="87"/>
        <v>-96.889999999999986</v>
      </c>
      <c r="X831" s="159">
        <f t="shared" si="88"/>
        <v>-5.4569999999999794</v>
      </c>
      <c r="Y831" s="159">
        <f t="shared" ca="1" si="84"/>
        <v>-9.327053436771962</v>
      </c>
      <c r="Z831" s="159">
        <f t="shared" ca="1" si="89"/>
        <v>-14.717576365048929</v>
      </c>
      <c r="AA831" s="161">
        <f t="shared" ca="1" si="90"/>
        <v>-1471.7576365048928</v>
      </c>
    </row>
    <row r="832" spans="5:27" x14ac:dyDescent="0.25">
      <c r="E832" s="142"/>
      <c r="F832" s="142"/>
      <c r="T832" s="165">
        <v>820</v>
      </c>
      <c r="U832" s="159">
        <f t="shared" si="85"/>
        <v>49.891500000000008</v>
      </c>
      <c r="V832" s="159">
        <f t="shared" si="86"/>
        <v>42.541499999999999</v>
      </c>
      <c r="W832" s="159">
        <f t="shared" si="87"/>
        <v>-97.889999999999986</v>
      </c>
      <c r="X832" s="159">
        <f t="shared" si="88"/>
        <v>-5.4569999999999794</v>
      </c>
      <c r="Y832" s="159">
        <f t="shared" ca="1" si="84"/>
        <v>-9.327053436771962</v>
      </c>
      <c r="Z832" s="159">
        <f t="shared" ca="1" si="89"/>
        <v>-14.717576365048929</v>
      </c>
      <c r="AA832" s="161">
        <f t="shared" ca="1" si="90"/>
        <v>-1471.7576365048928</v>
      </c>
    </row>
    <row r="833" spans="5:27" x14ac:dyDescent="0.25">
      <c r="E833" s="142"/>
      <c r="F833" s="142"/>
      <c r="T833" s="165">
        <v>821</v>
      </c>
      <c r="U833" s="159">
        <f t="shared" si="85"/>
        <v>50.891500000000008</v>
      </c>
      <c r="V833" s="159">
        <f t="shared" si="86"/>
        <v>42.541499999999999</v>
      </c>
      <c r="W833" s="159">
        <f t="shared" si="87"/>
        <v>-98.889999999999986</v>
      </c>
      <c r="X833" s="159">
        <f t="shared" si="88"/>
        <v>-5.4569999999999794</v>
      </c>
      <c r="Y833" s="159">
        <f t="shared" ca="1" si="84"/>
        <v>-9.327053436771962</v>
      </c>
      <c r="Z833" s="159">
        <f t="shared" ca="1" si="89"/>
        <v>-14.717576365048929</v>
      </c>
      <c r="AA833" s="161">
        <f t="shared" ca="1" si="90"/>
        <v>-1471.7576365048928</v>
      </c>
    </row>
    <row r="834" spans="5:27" x14ac:dyDescent="0.25">
      <c r="E834" s="142"/>
      <c r="F834" s="142"/>
      <c r="T834" s="165">
        <v>822</v>
      </c>
      <c r="U834" s="159">
        <f t="shared" si="85"/>
        <v>51.891500000000008</v>
      </c>
      <c r="V834" s="159">
        <f t="shared" si="86"/>
        <v>42.541499999999999</v>
      </c>
      <c r="W834" s="159">
        <f t="shared" si="87"/>
        <v>-99.889999999999986</v>
      </c>
      <c r="X834" s="159">
        <f t="shared" si="88"/>
        <v>-5.4569999999999794</v>
      </c>
      <c r="Y834" s="159">
        <f t="shared" ca="1" si="84"/>
        <v>-9.327053436771962</v>
      </c>
      <c r="Z834" s="159">
        <f t="shared" ca="1" si="89"/>
        <v>-14.717576365048929</v>
      </c>
      <c r="AA834" s="161">
        <f t="shared" ca="1" si="90"/>
        <v>-1471.7576365048928</v>
      </c>
    </row>
    <row r="835" spans="5:27" x14ac:dyDescent="0.25">
      <c r="E835" s="142"/>
      <c r="F835" s="142"/>
      <c r="T835" s="165">
        <v>823</v>
      </c>
      <c r="U835" s="159">
        <f t="shared" si="85"/>
        <v>52.891500000000008</v>
      </c>
      <c r="V835" s="159">
        <f t="shared" si="86"/>
        <v>42.541499999999999</v>
      </c>
      <c r="W835" s="159">
        <f t="shared" si="87"/>
        <v>-100.88999999999999</v>
      </c>
      <c r="X835" s="159">
        <f t="shared" si="88"/>
        <v>-5.4569999999999794</v>
      </c>
      <c r="Y835" s="159">
        <f t="shared" ca="1" si="84"/>
        <v>-9.327053436771962</v>
      </c>
      <c r="Z835" s="159">
        <f t="shared" ca="1" si="89"/>
        <v>-14.717576365048929</v>
      </c>
      <c r="AA835" s="161">
        <f t="shared" ca="1" si="90"/>
        <v>-1471.7576365048928</v>
      </c>
    </row>
    <row r="836" spans="5:27" x14ac:dyDescent="0.25">
      <c r="E836" s="142"/>
      <c r="F836" s="142"/>
      <c r="T836" s="165">
        <v>824</v>
      </c>
      <c r="U836" s="159">
        <f t="shared" si="85"/>
        <v>53.891500000000008</v>
      </c>
      <c r="V836" s="159">
        <f t="shared" si="86"/>
        <v>42.541499999999999</v>
      </c>
      <c r="W836" s="159">
        <f t="shared" si="87"/>
        <v>-101.88999999999999</v>
      </c>
      <c r="X836" s="159">
        <f t="shared" si="88"/>
        <v>-5.4569999999999794</v>
      </c>
      <c r="Y836" s="159">
        <f t="shared" ca="1" si="84"/>
        <v>-9.327053436771962</v>
      </c>
      <c r="Z836" s="159">
        <f t="shared" ca="1" si="89"/>
        <v>-14.717576365048929</v>
      </c>
      <c r="AA836" s="161">
        <f t="shared" ca="1" si="90"/>
        <v>-1471.7576365048928</v>
      </c>
    </row>
    <row r="837" spans="5:27" x14ac:dyDescent="0.25">
      <c r="E837" s="142"/>
      <c r="F837" s="142"/>
      <c r="T837" s="165">
        <v>825</v>
      </c>
      <c r="U837" s="159">
        <f t="shared" si="85"/>
        <v>54.891500000000008</v>
      </c>
      <c r="V837" s="159">
        <f t="shared" si="86"/>
        <v>42.541499999999999</v>
      </c>
      <c r="W837" s="159">
        <f t="shared" si="87"/>
        <v>-102.88999999999999</v>
      </c>
      <c r="X837" s="159">
        <f t="shared" si="88"/>
        <v>-5.4569999999999794</v>
      </c>
      <c r="Y837" s="159">
        <f t="shared" ca="1" si="84"/>
        <v>-9.327053436771962</v>
      </c>
      <c r="Z837" s="159">
        <f t="shared" ca="1" si="89"/>
        <v>-14.717576365048929</v>
      </c>
      <c r="AA837" s="161">
        <f t="shared" ca="1" si="90"/>
        <v>-1471.7576365048928</v>
      </c>
    </row>
    <row r="838" spans="5:27" x14ac:dyDescent="0.25">
      <c r="E838" s="142"/>
      <c r="F838" s="142"/>
      <c r="T838" s="165">
        <v>826</v>
      </c>
      <c r="U838" s="159">
        <f t="shared" si="85"/>
        <v>55.891500000000008</v>
      </c>
      <c r="V838" s="159">
        <f t="shared" si="86"/>
        <v>42.541499999999999</v>
      </c>
      <c r="W838" s="159">
        <f t="shared" si="87"/>
        <v>-103.88999999999999</v>
      </c>
      <c r="X838" s="159">
        <f t="shared" si="88"/>
        <v>-5.4569999999999794</v>
      </c>
      <c r="Y838" s="159">
        <f t="shared" ca="1" si="84"/>
        <v>-9.327053436771962</v>
      </c>
      <c r="Z838" s="159">
        <f t="shared" ca="1" si="89"/>
        <v>-14.717576365048929</v>
      </c>
      <c r="AA838" s="161">
        <f t="shared" ca="1" si="90"/>
        <v>-1471.7576365048928</v>
      </c>
    </row>
    <row r="839" spans="5:27" x14ac:dyDescent="0.25">
      <c r="E839" s="142"/>
      <c r="F839" s="142"/>
      <c r="T839" s="165">
        <v>827</v>
      </c>
      <c r="U839" s="159">
        <f t="shared" si="85"/>
        <v>56.891500000000008</v>
      </c>
      <c r="V839" s="159">
        <f t="shared" si="86"/>
        <v>42.541499999999999</v>
      </c>
      <c r="W839" s="159">
        <f t="shared" si="87"/>
        <v>-104.88999999999999</v>
      </c>
      <c r="X839" s="159">
        <f t="shared" si="88"/>
        <v>-5.4569999999999794</v>
      </c>
      <c r="Y839" s="159">
        <f t="shared" ca="1" si="84"/>
        <v>-9.327053436771962</v>
      </c>
      <c r="Z839" s="159">
        <f t="shared" ca="1" si="89"/>
        <v>-14.717576365048929</v>
      </c>
      <c r="AA839" s="161">
        <f t="shared" ca="1" si="90"/>
        <v>-1471.7576365048928</v>
      </c>
    </row>
    <row r="840" spans="5:27" x14ac:dyDescent="0.25">
      <c r="E840" s="142"/>
      <c r="F840" s="142"/>
      <c r="T840" s="165">
        <v>828</v>
      </c>
      <c r="U840" s="159">
        <f t="shared" si="85"/>
        <v>57.891500000000008</v>
      </c>
      <c r="V840" s="159">
        <f t="shared" si="86"/>
        <v>42.541499999999999</v>
      </c>
      <c r="W840" s="159">
        <f t="shared" si="87"/>
        <v>-105.88999999999999</v>
      </c>
      <c r="X840" s="159">
        <f t="shared" si="88"/>
        <v>-5.4569999999999794</v>
      </c>
      <c r="Y840" s="159">
        <f t="shared" ca="1" si="84"/>
        <v>-9.327053436771962</v>
      </c>
      <c r="Z840" s="159">
        <f t="shared" ca="1" si="89"/>
        <v>-14.717576365048929</v>
      </c>
      <c r="AA840" s="161">
        <f t="shared" ca="1" si="90"/>
        <v>-1471.7576365048928</v>
      </c>
    </row>
    <row r="841" spans="5:27" x14ac:dyDescent="0.25">
      <c r="E841" s="142"/>
      <c r="F841" s="142"/>
      <c r="T841" s="165">
        <v>829</v>
      </c>
      <c r="U841" s="159">
        <f t="shared" si="85"/>
        <v>58.891500000000008</v>
      </c>
      <c r="V841" s="159">
        <f t="shared" si="86"/>
        <v>42.541499999999999</v>
      </c>
      <c r="W841" s="159">
        <f t="shared" si="87"/>
        <v>-106.88999999999999</v>
      </c>
      <c r="X841" s="159">
        <f t="shared" si="88"/>
        <v>-5.4569999999999794</v>
      </c>
      <c r="Y841" s="159">
        <f t="shared" ca="1" si="84"/>
        <v>-9.327053436771962</v>
      </c>
      <c r="Z841" s="159">
        <f t="shared" ca="1" si="89"/>
        <v>-14.717576365048929</v>
      </c>
      <c r="AA841" s="161">
        <f t="shared" ca="1" si="90"/>
        <v>-1471.7576365048928</v>
      </c>
    </row>
    <row r="842" spans="5:27" x14ac:dyDescent="0.25">
      <c r="E842" s="142"/>
      <c r="F842" s="142"/>
      <c r="T842" s="165">
        <v>830</v>
      </c>
      <c r="U842" s="159">
        <f t="shared" si="85"/>
        <v>59.891500000000008</v>
      </c>
      <c r="V842" s="159">
        <f t="shared" si="86"/>
        <v>42.541499999999999</v>
      </c>
      <c r="W842" s="159">
        <f t="shared" si="87"/>
        <v>-107.88999999999999</v>
      </c>
      <c r="X842" s="159">
        <f t="shared" si="88"/>
        <v>-5.4569999999999794</v>
      </c>
      <c r="Y842" s="159">
        <f t="shared" ca="1" si="84"/>
        <v>-9.327053436771962</v>
      </c>
      <c r="Z842" s="159">
        <f t="shared" ca="1" si="89"/>
        <v>-14.717576365048929</v>
      </c>
      <c r="AA842" s="161">
        <f t="shared" ca="1" si="90"/>
        <v>-1471.7576365048928</v>
      </c>
    </row>
    <row r="843" spans="5:27" x14ac:dyDescent="0.25">
      <c r="E843" s="142"/>
      <c r="F843" s="142"/>
      <c r="T843" s="165">
        <v>831</v>
      </c>
      <c r="U843" s="159">
        <f t="shared" si="85"/>
        <v>60.891500000000008</v>
      </c>
      <c r="V843" s="159">
        <f t="shared" si="86"/>
        <v>42.541499999999999</v>
      </c>
      <c r="W843" s="159">
        <f t="shared" si="87"/>
        <v>-108.88999999999999</v>
      </c>
      <c r="X843" s="159">
        <f t="shared" si="88"/>
        <v>-5.4569999999999794</v>
      </c>
      <c r="Y843" s="159">
        <f t="shared" ca="1" si="84"/>
        <v>-9.327053436771962</v>
      </c>
      <c r="Z843" s="159">
        <f t="shared" ca="1" si="89"/>
        <v>-14.717576365048929</v>
      </c>
      <c r="AA843" s="161">
        <f t="shared" ca="1" si="90"/>
        <v>-1471.7576365048928</v>
      </c>
    </row>
    <row r="844" spans="5:27" x14ac:dyDescent="0.25">
      <c r="E844" s="142"/>
      <c r="F844" s="142"/>
      <c r="T844" s="165">
        <v>832</v>
      </c>
      <c r="U844" s="159">
        <f t="shared" si="85"/>
        <v>61.891500000000008</v>
      </c>
      <c r="V844" s="159">
        <f t="shared" si="86"/>
        <v>42.541499999999999</v>
      </c>
      <c r="W844" s="159">
        <f t="shared" si="87"/>
        <v>-109.88999999999999</v>
      </c>
      <c r="X844" s="159">
        <f t="shared" si="88"/>
        <v>-5.4569999999999794</v>
      </c>
      <c r="Y844" s="159">
        <f t="shared" ref="Y844:Y907" ca="1" si="91">$Y$10*EXP($Y$7*$C$6)-$Y$10</f>
        <v>-9.327053436771962</v>
      </c>
      <c r="Z844" s="159">
        <f t="shared" ca="1" si="89"/>
        <v>-14.717576365048929</v>
      </c>
      <c r="AA844" s="161">
        <f t="shared" ca="1" si="90"/>
        <v>-1471.7576365048928</v>
      </c>
    </row>
    <row r="845" spans="5:27" x14ac:dyDescent="0.25">
      <c r="E845" s="142"/>
      <c r="F845" s="142"/>
      <c r="T845" s="165">
        <v>833</v>
      </c>
      <c r="U845" s="159">
        <f t="shared" ref="U845:U908" si="92">MAX(0,T845-$U$9)-$U$10-$U$11/100</f>
        <v>62.891500000000008</v>
      </c>
      <c r="V845" s="159">
        <f t="shared" ref="V845:V908" si="93">$V$10-MAX(0,$V$9-T845)-$V$11/100</f>
        <v>42.541499999999999</v>
      </c>
      <c r="W845" s="159">
        <f t="shared" ref="W845:W908" si="94">$W$10-T845</f>
        <v>-110.88999999999999</v>
      </c>
      <c r="X845" s="159">
        <f t="shared" ref="X845:X908" si="95">SUM(U845:W845)</f>
        <v>-5.4569999999999794</v>
      </c>
      <c r="Y845" s="159">
        <f t="shared" ca="1" si="91"/>
        <v>-9.327053436771962</v>
      </c>
      <c r="Z845" s="159">
        <f t="shared" ref="Z845:Z908" ca="1" si="96">EXP(-$E$3*$C$6)*SUM(X845:Y845)</f>
        <v>-14.717576365048929</v>
      </c>
      <c r="AA845" s="161">
        <f t="shared" ref="AA845:AA908" ca="1" si="97">Z845*100</f>
        <v>-1471.7576365048928</v>
      </c>
    </row>
    <row r="846" spans="5:27" x14ac:dyDescent="0.25">
      <c r="E846" s="142"/>
      <c r="F846" s="142"/>
      <c r="T846" s="165">
        <v>834</v>
      </c>
      <c r="U846" s="159">
        <f t="shared" si="92"/>
        <v>63.891500000000008</v>
      </c>
      <c r="V846" s="159">
        <f t="shared" si="93"/>
        <v>42.541499999999999</v>
      </c>
      <c r="W846" s="159">
        <f t="shared" si="94"/>
        <v>-111.88999999999999</v>
      </c>
      <c r="X846" s="159">
        <f t="shared" si="95"/>
        <v>-5.4569999999999794</v>
      </c>
      <c r="Y846" s="159">
        <f t="shared" ca="1" si="91"/>
        <v>-9.327053436771962</v>
      </c>
      <c r="Z846" s="159">
        <f t="shared" ca="1" si="96"/>
        <v>-14.717576365048929</v>
      </c>
      <c r="AA846" s="161">
        <f t="shared" ca="1" si="97"/>
        <v>-1471.7576365048928</v>
      </c>
    </row>
    <row r="847" spans="5:27" x14ac:dyDescent="0.25">
      <c r="E847" s="142"/>
      <c r="F847" s="142"/>
      <c r="T847" s="165">
        <v>835</v>
      </c>
      <c r="U847" s="159">
        <f t="shared" si="92"/>
        <v>64.891500000000008</v>
      </c>
      <c r="V847" s="159">
        <f t="shared" si="93"/>
        <v>42.541499999999999</v>
      </c>
      <c r="W847" s="159">
        <f t="shared" si="94"/>
        <v>-112.88999999999999</v>
      </c>
      <c r="X847" s="159">
        <f t="shared" si="95"/>
        <v>-5.4569999999999794</v>
      </c>
      <c r="Y847" s="159">
        <f t="shared" ca="1" si="91"/>
        <v>-9.327053436771962</v>
      </c>
      <c r="Z847" s="159">
        <f t="shared" ca="1" si="96"/>
        <v>-14.717576365048929</v>
      </c>
      <c r="AA847" s="161">
        <f t="shared" ca="1" si="97"/>
        <v>-1471.7576365048928</v>
      </c>
    </row>
    <row r="848" spans="5:27" x14ac:dyDescent="0.25">
      <c r="E848" s="142"/>
      <c r="F848" s="142"/>
      <c r="T848" s="165">
        <v>836</v>
      </c>
      <c r="U848" s="159">
        <f t="shared" si="92"/>
        <v>65.891500000000008</v>
      </c>
      <c r="V848" s="159">
        <f t="shared" si="93"/>
        <v>42.541499999999999</v>
      </c>
      <c r="W848" s="159">
        <f t="shared" si="94"/>
        <v>-113.88999999999999</v>
      </c>
      <c r="X848" s="159">
        <f t="shared" si="95"/>
        <v>-5.4569999999999794</v>
      </c>
      <c r="Y848" s="159">
        <f t="shared" ca="1" si="91"/>
        <v>-9.327053436771962</v>
      </c>
      <c r="Z848" s="159">
        <f t="shared" ca="1" si="96"/>
        <v>-14.717576365048929</v>
      </c>
      <c r="AA848" s="161">
        <f t="shared" ca="1" si="97"/>
        <v>-1471.7576365048928</v>
      </c>
    </row>
    <row r="849" spans="5:27" x14ac:dyDescent="0.25">
      <c r="E849" s="142"/>
      <c r="F849" s="142"/>
      <c r="T849" s="165">
        <v>837</v>
      </c>
      <c r="U849" s="159">
        <f t="shared" si="92"/>
        <v>66.891500000000008</v>
      </c>
      <c r="V849" s="159">
        <f t="shared" si="93"/>
        <v>42.541499999999999</v>
      </c>
      <c r="W849" s="159">
        <f t="shared" si="94"/>
        <v>-114.88999999999999</v>
      </c>
      <c r="X849" s="159">
        <f t="shared" si="95"/>
        <v>-5.4569999999999794</v>
      </c>
      <c r="Y849" s="159">
        <f t="shared" ca="1" si="91"/>
        <v>-9.327053436771962</v>
      </c>
      <c r="Z849" s="159">
        <f t="shared" ca="1" si="96"/>
        <v>-14.717576365048929</v>
      </c>
      <c r="AA849" s="161">
        <f t="shared" ca="1" si="97"/>
        <v>-1471.7576365048928</v>
      </c>
    </row>
    <row r="850" spans="5:27" x14ac:dyDescent="0.25">
      <c r="E850" s="142"/>
      <c r="F850" s="142"/>
      <c r="T850" s="165">
        <v>838</v>
      </c>
      <c r="U850" s="159">
        <f t="shared" si="92"/>
        <v>67.891500000000008</v>
      </c>
      <c r="V850" s="159">
        <f t="shared" si="93"/>
        <v>42.541499999999999</v>
      </c>
      <c r="W850" s="159">
        <f t="shared" si="94"/>
        <v>-115.88999999999999</v>
      </c>
      <c r="X850" s="159">
        <f t="shared" si="95"/>
        <v>-5.4569999999999794</v>
      </c>
      <c r="Y850" s="159">
        <f t="shared" ca="1" si="91"/>
        <v>-9.327053436771962</v>
      </c>
      <c r="Z850" s="159">
        <f t="shared" ca="1" si="96"/>
        <v>-14.717576365048929</v>
      </c>
      <c r="AA850" s="161">
        <f t="shared" ca="1" si="97"/>
        <v>-1471.7576365048928</v>
      </c>
    </row>
    <row r="851" spans="5:27" x14ac:dyDescent="0.25">
      <c r="E851" s="142"/>
      <c r="F851" s="142"/>
      <c r="T851" s="165">
        <v>839</v>
      </c>
      <c r="U851" s="159">
        <f t="shared" si="92"/>
        <v>68.891500000000008</v>
      </c>
      <c r="V851" s="159">
        <f t="shared" si="93"/>
        <v>42.541499999999999</v>
      </c>
      <c r="W851" s="159">
        <f t="shared" si="94"/>
        <v>-116.88999999999999</v>
      </c>
      <c r="X851" s="159">
        <f t="shared" si="95"/>
        <v>-5.4569999999999794</v>
      </c>
      <c r="Y851" s="159">
        <f t="shared" ca="1" si="91"/>
        <v>-9.327053436771962</v>
      </c>
      <c r="Z851" s="159">
        <f t="shared" ca="1" si="96"/>
        <v>-14.717576365048929</v>
      </c>
      <c r="AA851" s="161">
        <f t="shared" ca="1" si="97"/>
        <v>-1471.7576365048928</v>
      </c>
    </row>
    <row r="852" spans="5:27" x14ac:dyDescent="0.25">
      <c r="E852" s="142"/>
      <c r="F852" s="142"/>
      <c r="T852" s="165">
        <v>840</v>
      </c>
      <c r="U852" s="159">
        <f t="shared" si="92"/>
        <v>69.891500000000008</v>
      </c>
      <c r="V852" s="159">
        <f t="shared" si="93"/>
        <v>42.541499999999999</v>
      </c>
      <c r="W852" s="159">
        <f t="shared" si="94"/>
        <v>-117.88999999999999</v>
      </c>
      <c r="X852" s="159">
        <f t="shared" si="95"/>
        <v>-5.4569999999999794</v>
      </c>
      <c r="Y852" s="159">
        <f t="shared" ca="1" si="91"/>
        <v>-9.327053436771962</v>
      </c>
      <c r="Z852" s="159">
        <f t="shared" ca="1" si="96"/>
        <v>-14.717576365048929</v>
      </c>
      <c r="AA852" s="161">
        <f t="shared" ca="1" si="97"/>
        <v>-1471.7576365048928</v>
      </c>
    </row>
    <row r="853" spans="5:27" x14ac:dyDescent="0.25">
      <c r="E853" s="142"/>
      <c r="F853" s="142"/>
      <c r="T853" s="165">
        <v>841</v>
      </c>
      <c r="U853" s="159">
        <f t="shared" si="92"/>
        <v>70.891500000000008</v>
      </c>
      <c r="V853" s="159">
        <f t="shared" si="93"/>
        <v>42.541499999999999</v>
      </c>
      <c r="W853" s="159">
        <f t="shared" si="94"/>
        <v>-118.88999999999999</v>
      </c>
      <c r="X853" s="159">
        <f t="shared" si="95"/>
        <v>-5.4569999999999794</v>
      </c>
      <c r="Y853" s="159">
        <f t="shared" ca="1" si="91"/>
        <v>-9.327053436771962</v>
      </c>
      <c r="Z853" s="159">
        <f t="shared" ca="1" si="96"/>
        <v>-14.717576365048929</v>
      </c>
      <c r="AA853" s="161">
        <f t="shared" ca="1" si="97"/>
        <v>-1471.7576365048928</v>
      </c>
    </row>
    <row r="854" spans="5:27" x14ac:dyDescent="0.25">
      <c r="E854" s="142"/>
      <c r="F854" s="142"/>
      <c r="T854" s="165">
        <v>842</v>
      </c>
      <c r="U854" s="159">
        <f t="shared" si="92"/>
        <v>71.891500000000008</v>
      </c>
      <c r="V854" s="159">
        <f t="shared" si="93"/>
        <v>42.541499999999999</v>
      </c>
      <c r="W854" s="159">
        <f t="shared" si="94"/>
        <v>-119.88999999999999</v>
      </c>
      <c r="X854" s="159">
        <f t="shared" si="95"/>
        <v>-5.4569999999999794</v>
      </c>
      <c r="Y854" s="159">
        <f t="shared" ca="1" si="91"/>
        <v>-9.327053436771962</v>
      </c>
      <c r="Z854" s="159">
        <f t="shared" ca="1" si="96"/>
        <v>-14.717576365048929</v>
      </c>
      <c r="AA854" s="161">
        <f t="shared" ca="1" si="97"/>
        <v>-1471.7576365048928</v>
      </c>
    </row>
    <row r="855" spans="5:27" x14ac:dyDescent="0.25">
      <c r="E855" s="142"/>
      <c r="F855" s="142"/>
      <c r="T855" s="165">
        <v>843</v>
      </c>
      <c r="U855" s="159">
        <f t="shared" si="92"/>
        <v>72.891500000000008</v>
      </c>
      <c r="V855" s="159">
        <f t="shared" si="93"/>
        <v>42.541499999999999</v>
      </c>
      <c r="W855" s="159">
        <f t="shared" si="94"/>
        <v>-120.88999999999999</v>
      </c>
      <c r="X855" s="159">
        <f t="shared" si="95"/>
        <v>-5.4569999999999794</v>
      </c>
      <c r="Y855" s="159">
        <f t="shared" ca="1" si="91"/>
        <v>-9.327053436771962</v>
      </c>
      <c r="Z855" s="159">
        <f t="shared" ca="1" si="96"/>
        <v>-14.717576365048929</v>
      </c>
      <c r="AA855" s="161">
        <f t="shared" ca="1" si="97"/>
        <v>-1471.7576365048928</v>
      </c>
    </row>
    <row r="856" spans="5:27" x14ac:dyDescent="0.25">
      <c r="E856" s="142"/>
      <c r="F856" s="142"/>
      <c r="T856" s="165">
        <v>844</v>
      </c>
      <c r="U856" s="159">
        <f t="shared" si="92"/>
        <v>73.891500000000008</v>
      </c>
      <c r="V856" s="159">
        <f t="shared" si="93"/>
        <v>42.541499999999999</v>
      </c>
      <c r="W856" s="159">
        <f t="shared" si="94"/>
        <v>-121.88999999999999</v>
      </c>
      <c r="X856" s="159">
        <f t="shared" si="95"/>
        <v>-5.4569999999999794</v>
      </c>
      <c r="Y856" s="159">
        <f t="shared" ca="1" si="91"/>
        <v>-9.327053436771962</v>
      </c>
      <c r="Z856" s="159">
        <f t="shared" ca="1" si="96"/>
        <v>-14.717576365048929</v>
      </c>
      <c r="AA856" s="161">
        <f t="shared" ca="1" si="97"/>
        <v>-1471.7576365048928</v>
      </c>
    </row>
    <row r="857" spans="5:27" x14ac:dyDescent="0.25">
      <c r="E857" s="142"/>
      <c r="F857" s="142"/>
      <c r="T857" s="165">
        <v>845</v>
      </c>
      <c r="U857" s="159">
        <f t="shared" si="92"/>
        <v>74.891500000000008</v>
      </c>
      <c r="V857" s="159">
        <f t="shared" si="93"/>
        <v>42.541499999999999</v>
      </c>
      <c r="W857" s="159">
        <f t="shared" si="94"/>
        <v>-122.88999999999999</v>
      </c>
      <c r="X857" s="159">
        <f t="shared" si="95"/>
        <v>-5.4569999999999794</v>
      </c>
      <c r="Y857" s="159">
        <f t="shared" ca="1" si="91"/>
        <v>-9.327053436771962</v>
      </c>
      <c r="Z857" s="159">
        <f t="shared" ca="1" si="96"/>
        <v>-14.717576365048929</v>
      </c>
      <c r="AA857" s="161">
        <f t="shared" ca="1" si="97"/>
        <v>-1471.7576365048928</v>
      </c>
    </row>
    <row r="858" spans="5:27" x14ac:dyDescent="0.25">
      <c r="E858" s="142"/>
      <c r="F858" s="142"/>
      <c r="T858" s="165">
        <v>846</v>
      </c>
      <c r="U858" s="159">
        <f t="shared" si="92"/>
        <v>75.891500000000008</v>
      </c>
      <c r="V858" s="159">
        <f t="shared" si="93"/>
        <v>42.541499999999999</v>
      </c>
      <c r="W858" s="159">
        <f t="shared" si="94"/>
        <v>-123.88999999999999</v>
      </c>
      <c r="X858" s="159">
        <f t="shared" si="95"/>
        <v>-5.4569999999999794</v>
      </c>
      <c r="Y858" s="159">
        <f t="shared" ca="1" si="91"/>
        <v>-9.327053436771962</v>
      </c>
      <c r="Z858" s="159">
        <f t="shared" ca="1" si="96"/>
        <v>-14.717576365048929</v>
      </c>
      <c r="AA858" s="161">
        <f t="shared" ca="1" si="97"/>
        <v>-1471.7576365048928</v>
      </c>
    </row>
    <row r="859" spans="5:27" x14ac:dyDescent="0.25">
      <c r="E859" s="142"/>
      <c r="F859" s="142"/>
      <c r="T859" s="165">
        <v>847</v>
      </c>
      <c r="U859" s="159">
        <f t="shared" si="92"/>
        <v>76.891500000000008</v>
      </c>
      <c r="V859" s="159">
        <f t="shared" si="93"/>
        <v>42.541499999999999</v>
      </c>
      <c r="W859" s="159">
        <f t="shared" si="94"/>
        <v>-124.88999999999999</v>
      </c>
      <c r="X859" s="159">
        <f t="shared" si="95"/>
        <v>-5.4569999999999794</v>
      </c>
      <c r="Y859" s="159">
        <f t="shared" ca="1" si="91"/>
        <v>-9.327053436771962</v>
      </c>
      <c r="Z859" s="159">
        <f t="shared" ca="1" si="96"/>
        <v>-14.717576365048929</v>
      </c>
      <c r="AA859" s="161">
        <f t="shared" ca="1" si="97"/>
        <v>-1471.7576365048928</v>
      </c>
    </row>
    <row r="860" spans="5:27" x14ac:dyDescent="0.25">
      <c r="E860" s="142"/>
      <c r="F860" s="142"/>
      <c r="T860" s="165">
        <v>848</v>
      </c>
      <c r="U860" s="159">
        <f t="shared" si="92"/>
        <v>77.891500000000008</v>
      </c>
      <c r="V860" s="159">
        <f t="shared" si="93"/>
        <v>42.541499999999999</v>
      </c>
      <c r="W860" s="159">
        <f t="shared" si="94"/>
        <v>-125.88999999999999</v>
      </c>
      <c r="X860" s="159">
        <f t="shared" si="95"/>
        <v>-5.4569999999999794</v>
      </c>
      <c r="Y860" s="159">
        <f t="shared" ca="1" si="91"/>
        <v>-9.327053436771962</v>
      </c>
      <c r="Z860" s="159">
        <f t="shared" ca="1" si="96"/>
        <v>-14.717576365048929</v>
      </c>
      <c r="AA860" s="161">
        <f t="shared" ca="1" si="97"/>
        <v>-1471.7576365048928</v>
      </c>
    </row>
    <row r="861" spans="5:27" x14ac:dyDescent="0.25">
      <c r="E861" s="142"/>
      <c r="F861" s="142"/>
      <c r="T861" s="165">
        <v>849</v>
      </c>
      <c r="U861" s="159">
        <f t="shared" si="92"/>
        <v>78.891500000000008</v>
      </c>
      <c r="V861" s="159">
        <f t="shared" si="93"/>
        <v>42.541499999999999</v>
      </c>
      <c r="W861" s="159">
        <f t="shared" si="94"/>
        <v>-126.88999999999999</v>
      </c>
      <c r="X861" s="159">
        <f t="shared" si="95"/>
        <v>-5.4569999999999794</v>
      </c>
      <c r="Y861" s="159">
        <f t="shared" ca="1" si="91"/>
        <v>-9.327053436771962</v>
      </c>
      <c r="Z861" s="159">
        <f t="shared" ca="1" si="96"/>
        <v>-14.717576365048929</v>
      </c>
      <c r="AA861" s="161">
        <f t="shared" ca="1" si="97"/>
        <v>-1471.7576365048928</v>
      </c>
    </row>
    <row r="862" spans="5:27" x14ac:dyDescent="0.25">
      <c r="E862" s="142"/>
      <c r="F862" s="142"/>
      <c r="T862" s="165">
        <v>850</v>
      </c>
      <c r="U862" s="159">
        <f t="shared" si="92"/>
        <v>79.891500000000008</v>
      </c>
      <c r="V862" s="159">
        <f t="shared" si="93"/>
        <v>42.541499999999999</v>
      </c>
      <c r="W862" s="159">
        <f t="shared" si="94"/>
        <v>-127.88999999999999</v>
      </c>
      <c r="X862" s="159">
        <f t="shared" si="95"/>
        <v>-5.4569999999999794</v>
      </c>
      <c r="Y862" s="159">
        <f t="shared" ca="1" si="91"/>
        <v>-9.327053436771962</v>
      </c>
      <c r="Z862" s="159">
        <f t="shared" ca="1" si="96"/>
        <v>-14.717576365048929</v>
      </c>
      <c r="AA862" s="161">
        <f t="shared" ca="1" si="97"/>
        <v>-1471.7576365048928</v>
      </c>
    </row>
    <row r="863" spans="5:27" x14ac:dyDescent="0.25">
      <c r="E863" s="142"/>
      <c r="F863" s="142"/>
      <c r="T863" s="165">
        <v>851</v>
      </c>
      <c r="U863" s="159">
        <f t="shared" si="92"/>
        <v>80.891500000000008</v>
      </c>
      <c r="V863" s="159">
        <f t="shared" si="93"/>
        <v>42.541499999999999</v>
      </c>
      <c r="W863" s="159">
        <f t="shared" si="94"/>
        <v>-128.88999999999999</v>
      </c>
      <c r="X863" s="159">
        <f t="shared" si="95"/>
        <v>-5.4569999999999794</v>
      </c>
      <c r="Y863" s="159">
        <f t="shared" ca="1" si="91"/>
        <v>-9.327053436771962</v>
      </c>
      <c r="Z863" s="159">
        <f t="shared" ca="1" si="96"/>
        <v>-14.717576365048929</v>
      </c>
      <c r="AA863" s="161">
        <f t="shared" ca="1" si="97"/>
        <v>-1471.7576365048928</v>
      </c>
    </row>
    <row r="864" spans="5:27" x14ac:dyDescent="0.25">
      <c r="E864" s="142"/>
      <c r="F864" s="142"/>
      <c r="T864" s="165">
        <v>852</v>
      </c>
      <c r="U864" s="159">
        <f t="shared" si="92"/>
        <v>81.891500000000008</v>
      </c>
      <c r="V864" s="159">
        <f t="shared" si="93"/>
        <v>42.541499999999999</v>
      </c>
      <c r="W864" s="159">
        <f t="shared" si="94"/>
        <v>-129.88999999999999</v>
      </c>
      <c r="X864" s="159">
        <f t="shared" si="95"/>
        <v>-5.4569999999999794</v>
      </c>
      <c r="Y864" s="159">
        <f t="shared" ca="1" si="91"/>
        <v>-9.327053436771962</v>
      </c>
      <c r="Z864" s="159">
        <f t="shared" ca="1" si="96"/>
        <v>-14.717576365048929</v>
      </c>
      <c r="AA864" s="161">
        <f t="shared" ca="1" si="97"/>
        <v>-1471.7576365048928</v>
      </c>
    </row>
    <row r="865" spans="5:27" x14ac:dyDescent="0.25">
      <c r="E865" s="142"/>
      <c r="F865" s="142"/>
      <c r="T865" s="165">
        <v>853</v>
      </c>
      <c r="U865" s="159">
        <f t="shared" si="92"/>
        <v>82.891500000000008</v>
      </c>
      <c r="V865" s="159">
        <f t="shared" si="93"/>
        <v>42.541499999999999</v>
      </c>
      <c r="W865" s="159">
        <f t="shared" si="94"/>
        <v>-130.88999999999999</v>
      </c>
      <c r="X865" s="159">
        <f t="shared" si="95"/>
        <v>-5.4569999999999794</v>
      </c>
      <c r="Y865" s="159">
        <f t="shared" ca="1" si="91"/>
        <v>-9.327053436771962</v>
      </c>
      <c r="Z865" s="159">
        <f t="shared" ca="1" si="96"/>
        <v>-14.717576365048929</v>
      </c>
      <c r="AA865" s="161">
        <f t="shared" ca="1" si="97"/>
        <v>-1471.7576365048928</v>
      </c>
    </row>
    <row r="866" spans="5:27" x14ac:dyDescent="0.25">
      <c r="E866" s="142"/>
      <c r="F866" s="142"/>
      <c r="T866" s="165">
        <v>854</v>
      </c>
      <c r="U866" s="159">
        <f t="shared" si="92"/>
        <v>83.891500000000008</v>
      </c>
      <c r="V866" s="159">
        <f t="shared" si="93"/>
        <v>42.541499999999999</v>
      </c>
      <c r="W866" s="159">
        <f t="shared" si="94"/>
        <v>-131.88999999999999</v>
      </c>
      <c r="X866" s="159">
        <f t="shared" si="95"/>
        <v>-5.4569999999999794</v>
      </c>
      <c r="Y866" s="159">
        <f t="shared" ca="1" si="91"/>
        <v>-9.327053436771962</v>
      </c>
      <c r="Z866" s="159">
        <f t="shared" ca="1" si="96"/>
        <v>-14.717576365048929</v>
      </c>
      <c r="AA866" s="161">
        <f t="shared" ca="1" si="97"/>
        <v>-1471.7576365048928</v>
      </c>
    </row>
    <row r="867" spans="5:27" x14ac:dyDescent="0.25">
      <c r="E867" s="142"/>
      <c r="F867" s="142"/>
      <c r="T867" s="165">
        <v>855</v>
      </c>
      <c r="U867" s="159">
        <f t="shared" si="92"/>
        <v>84.891500000000008</v>
      </c>
      <c r="V867" s="159">
        <f t="shared" si="93"/>
        <v>42.541499999999999</v>
      </c>
      <c r="W867" s="159">
        <f t="shared" si="94"/>
        <v>-132.88999999999999</v>
      </c>
      <c r="X867" s="159">
        <f t="shared" si="95"/>
        <v>-5.4569999999999794</v>
      </c>
      <c r="Y867" s="159">
        <f t="shared" ca="1" si="91"/>
        <v>-9.327053436771962</v>
      </c>
      <c r="Z867" s="159">
        <f t="shared" ca="1" si="96"/>
        <v>-14.717576365048929</v>
      </c>
      <c r="AA867" s="161">
        <f t="shared" ca="1" si="97"/>
        <v>-1471.7576365048928</v>
      </c>
    </row>
    <row r="868" spans="5:27" x14ac:dyDescent="0.25">
      <c r="E868" s="142"/>
      <c r="F868" s="142"/>
      <c r="T868" s="165">
        <v>856</v>
      </c>
      <c r="U868" s="159">
        <f t="shared" si="92"/>
        <v>85.891500000000008</v>
      </c>
      <c r="V868" s="159">
        <f t="shared" si="93"/>
        <v>42.541499999999999</v>
      </c>
      <c r="W868" s="159">
        <f t="shared" si="94"/>
        <v>-133.88999999999999</v>
      </c>
      <c r="X868" s="159">
        <f t="shared" si="95"/>
        <v>-5.4569999999999936</v>
      </c>
      <c r="Y868" s="159">
        <f t="shared" ca="1" si="91"/>
        <v>-9.327053436771962</v>
      </c>
      <c r="Z868" s="159">
        <f t="shared" ca="1" si="96"/>
        <v>-14.717576365048943</v>
      </c>
      <c r="AA868" s="161">
        <f t="shared" ca="1" si="97"/>
        <v>-1471.7576365048944</v>
      </c>
    </row>
    <row r="869" spans="5:27" x14ac:dyDescent="0.25">
      <c r="E869" s="142"/>
      <c r="F869" s="142"/>
      <c r="T869" s="165">
        <v>857</v>
      </c>
      <c r="U869" s="159">
        <f t="shared" si="92"/>
        <v>86.891500000000008</v>
      </c>
      <c r="V869" s="159">
        <f t="shared" si="93"/>
        <v>42.541499999999999</v>
      </c>
      <c r="W869" s="159">
        <f t="shared" si="94"/>
        <v>-134.88999999999999</v>
      </c>
      <c r="X869" s="159">
        <f t="shared" si="95"/>
        <v>-5.4569999999999936</v>
      </c>
      <c r="Y869" s="159">
        <f t="shared" ca="1" si="91"/>
        <v>-9.327053436771962</v>
      </c>
      <c r="Z869" s="159">
        <f t="shared" ca="1" si="96"/>
        <v>-14.717576365048943</v>
      </c>
      <c r="AA869" s="161">
        <f t="shared" ca="1" si="97"/>
        <v>-1471.7576365048944</v>
      </c>
    </row>
    <row r="870" spans="5:27" x14ac:dyDescent="0.25">
      <c r="E870" s="142"/>
      <c r="F870" s="142"/>
      <c r="T870" s="165">
        <v>858</v>
      </c>
      <c r="U870" s="159">
        <f t="shared" si="92"/>
        <v>87.891500000000008</v>
      </c>
      <c r="V870" s="159">
        <f t="shared" si="93"/>
        <v>42.541499999999999</v>
      </c>
      <c r="W870" s="159">
        <f t="shared" si="94"/>
        <v>-135.88999999999999</v>
      </c>
      <c r="X870" s="159">
        <f t="shared" si="95"/>
        <v>-5.4569999999999936</v>
      </c>
      <c r="Y870" s="159">
        <f t="shared" ca="1" si="91"/>
        <v>-9.327053436771962</v>
      </c>
      <c r="Z870" s="159">
        <f t="shared" ca="1" si="96"/>
        <v>-14.717576365048943</v>
      </c>
      <c r="AA870" s="161">
        <f t="shared" ca="1" si="97"/>
        <v>-1471.7576365048944</v>
      </c>
    </row>
    <row r="871" spans="5:27" x14ac:dyDescent="0.25">
      <c r="E871" s="142"/>
      <c r="F871" s="142"/>
      <c r="T871" s="165">
        <v>859</v>
      </c>
      <c r="U871" s="159">
        <f t="shared" si="92"/>
        <v>88.891500000000008</v>
      </c>
      <c r="V871" s="159">
        <f t="shared" si="93"/>
        <v>42.541499999999999</v>
      </c>
      <c r="W871" s="159">
        <f t="shared" si="94"/>
        <v>-136.88999999999999</v>
      </c>
      <c r="X871" s="159">
        <f t="shared" si="95"/>
        <v>-5.4569999999999936</v>
      </c>
      <c r="Y871" s="159">
        <f t="shared" ca="1" si="91"/>
        <v>-9.327053436771962</v>
      </c>
      <c r="Z871" s="159">
        <f t="shared" ca="1" si="96"/>
        <v>-14.717576365048943</v>
      </c>
      <c r="AA871" s="161">
        <f t="shared" ca="1" si="97"/>
        <v>-1471.7576365048944</v>
      </c>
    </row>
    <row r="872" spans="5:27" x14ac:dyDescent="0.25">
      <c r="E872" s="142"/>
      <c r="F872" s="142"/>
      <c r="T872" s="165">
        <v>860</v>
      </c>
      <c r="U872" s="159">
        <f t="shared" si="92"/>
        <v>89.891500000000008</v>
      </c>
      <c r="V872" s="159">
        <f t="shared" si="93"/>
        <v>42.541499999999999</v>
      </c>
      <c r="W872" s="159">
        <f t="shared" si="94"/>
        <v>-137.88999999999999</v>
      </c>
      <c r="X872" s="159">
        <f t="shared" si="95"/>
        <v>-5.4569999999999936</v>
      </c>
      <c r="Y872" s="159">
        <f t="shared" ca="1" si="91"/>
        <v>-9.327053436771962</v>
      </c>
      <c r="Z872" s="159">
        <f t="shared" ca="1" si="96"/>
        <v>-14.717576365048943</v>
      </c>
      <c r="AA872" s="161">
        <f t="shared" ca="1" si="97"/>
        <v>-1471.7576365048944</v>
      </c>
    </row>
    <row r="873" spans="5:27" x14ac:dyDescent="0.25">
      <c r="E873" s="142"/>
      <c r="F873" s="142"/>
      <c r="T873" s="165">
        <v>861</v>
      </c>
      <c r="U873" s="159">
        <f t="shared" si="92"/>
        <v>90.891500000000008</v>
      </c>
      <c r="V873" s="159">
        <f t="shared" si="93"/>
        <v>42.541499999999999</v>
      </c>
      <c r="W873" s="159">
        <f t="shared" si="94"/>
        <v>-138.88999999999999</v>
      </c>
      <c r="X873" s="159">
        <f t="shared" si="95"/>
        <v>-5.4569999999999936</v>
      </c>
      <c r="Y873" s="159">
        <f t="shared" ca="1" si="91"/>
        <v>-9.327053436771962</v>
      </c>
      <c r="Z873" s="159">
        <f t="shared" ca="1" si="96"/>
        <v>-14.717576365048943</v>
      </c>
      <c r="AA873" s="161">
        <f t="shared" ca="1" si="97"/>
        <v>-1471.7576365048944</v>
      </c>
    </row>
    <row r="874" spans="5:27" x14ac:dyDescent="0.25">
      <c r="E874" s="142"/>
      <c r="F874" s="142"/>
      <c r="T874" s="165">
        <v>862</v>
      </c>
      <c r="U874" s="159">
        <f t="shared" si="92"/>
        <v>91.891500000000008</v>
      </c>
      <c r="V874" s="159">
        <f t="shared" si="93"/>
        <v>42.541499999999999</v>
      </c>
      <c r="W874" s="159">
        <f t="shared" si="94"/>
        <v>-139.88999999999999</v>
      </c>
      <c r="X874" s="159">
        <f t="shared" si="95"/>
        <v>-5.4569999999999936</v>
      </c>
      <c r="Y874" s="159">
        <f t="shared" ca="1" si="91"/>
        <v>-9.327053436771962</v>
      </c>
      <c r="Z874" s="159">
        <f t="shared" ca="1" si="96"/>
        <v>-14.717576365048943</v>
      </c>
      <c r="AA874" s="161">
        <f t="shared" ca="1" si="97"/>
        <v>-1471.7576365048944</v>
      </c>
    </row>
    <row r="875" spans="5:27" x14ac:dyDescent="0.25">
      <c r="E875" s="142"/>
      <c r="F875" s="142"/>
      <c r="T875" s="165">
        <v>863</v>
      </c>
      <c r="U875" s="159">
        <f t="shared" si="92"/>
        <v>92.891500000000008</v>
      </c>
      <c r="V875" s="159">
        <f t="shared" si="93"/>
        <v>42.541499999999999</v>
      </c>
      <c r="W875" s="159">
        <f t="shared" si="94"/>
        <v>-140.88999999999999</v>
      </c>
      <c r="X875" s="159">
        <f t="shared" si="95"/>
        <v>-5.4569999999999936</v>
      </c>
      <c r="Y875" s="159">
        <f t="shared" ca="1" si="91"/>
        <v>-9.327053436771962</v>
      </c>
      <c r="Z875" s="159">
        <f t="shared" ca="1" si="96"/>
        <v>-14.717576365048943</v>
      </c>
      <c r="AA875" s="161">
        <f t="shared" ca="1" si="97"/>
        <v>-1471.7576365048944</v>
      </c>
    </row>
    <row r="876" spans="5:27" x14ac:dyDescent="0.25">
      <c r="E876" s="142"/>
      <c r="F876" s="142"/>
      <c r="T876" s="165">
        <v>864</v>
      </c>
      <c r="U876" s="159">
        <f t="shared" si="92"/>
        <v>93.891500000000008</v>
      </c>
      <c r="V876" s="159">
        <f t="shared" si="93"/>
        <v>42.541499999999999</v>
      </c>
      <c r="W876" s="159">
        <f t="shared" si="94"/>
        <v>-141.88999999999999</v>
      </c>
      <c r="X876" s="159">
        <f t="shared" si="95"/>
        <v>-5.4569999999999936</v>
      </c>
      <c r="Y876" s="159">
        <f t="shared" ca="1" si="91"/>
        <v>-9.327053436771962</v>
      </c>
      <c r="Z876" s="159">
        <f t="shared" ca="1" si="96"/>
        <v>-14.717576365048943</v>
      </c>
      <c r="AA876" s="161">
        <f t="shared" ca="1" si="97"/>
        <v>-1471.7576365048944</v>
      </c>
    </row>
    <row r="877" spans="5:27" x14ac:dyDescent="0.25">
      <c r="E877" s="142"/>
      <c r="F877" s="142"/>
      <c r="T877" s="165">
        <v>865</v>
      </c>
      <c r="U877" s="159">
        <f t="shared" si="92"/>
        <v>94.891500000000008</v>
      </c>
      <c r="V877" s="159">
        <f t="shared" si="93"/>
        <v>42.541499999999999</v>
      </c>
      <c r="W877" s="159">
        <f t="shared" si="94"/>
        <v>-142.88999999999999</v>
      </c>
      <c r="X877" s="159">
        <f t="shared" si="95"/>
        <v>-5.4569999999999936</v>
      </c>
      <c r="Y877" s="159">
        <f t="shared" ca="1" si="91"/>
        <v>-9.327053436771962</v>
      </c>
      <c r="Z877" s="159">
        <f t="shared" ca="1" si="96"/>
        <v>-14.717576365048943</v>
      </c>
      <c r="AA877" s="161">
        <f t="shared" ca="1" si="97"/>
        <v>-1471.7576365048944</v>
      </c>
    </row>
    <row r="878" spans="5:27" x14ac:dyDescent="0.25">
      <c r="E878" s="142"/>
      <c r="F878" s="142"/>
      <c r="T878" s="165">
        <v>866</v>
      </c>
      <c r="U878" s="159">
        <f t="shared" si="92"/>
        <v>95.891500000000008</v>
      </c>
      <c r="V878" s="159">
        <f t="shared" si="93"/>
        <v>42.541499999999999</v>
      </c>
      <c r="W878" s="159">
        <f t="shared" si="94"/>
        <v>-143.88999999999999</v>
      </c>
      <c r="X878" s="159">
        <f t="shared" si="95"/>
        <v>-5.4569999999999936</v>
      </c>
      <c r="Y878" s="159">
        <f t="shared" ca="1" si="91"/>
        <v>-9.327053436771962</v>
      </c>
      <c r="Z878" s="159">
        <f t="shared" ca="1" si="96"/>
        <v>-14.717576365048943</v>
      </c>
      <c r="AA878" s="161">
        <f t="shared" ca="1" si="97"/>
        <v>-1471.7576365048944</v>
      </c>
    </row>
    <row r="879" spans="5:27" x14ac:dyDescent="0.25">
      <c r="E879" s="142"/>
      <c r="F879" s="142"/>
      <c r="T879" s="165">
        <v>867</v>
      </c>
      <c r="U879" s="159">
        <f t="shared" si="92"/>
        <v>96.891500000000008</v>
      </c>
      <c r="V879" s="159">
        <f t="shared" si="93"/>
        <v>42.541499999999999</v>
      </c>
      <c r="W879" s="159">
        <f t="shared" si="94"/>
        <v>-144.88999999999999</v>
      </c>
      <c r="X879" s="159">
        <f t="shared" si="95"/>
        <v>-5.4569999999999936</v>
      </c>
      <c r="Y879" s="159">
        <f t="shared" ca="1" si="91"/>
        <v>-9.327053436771962</v>
      </c>
      <c r="Z879" s="159">
        <f t="shared" ca="1" si="96"/>
        <v>-14.717576365048943</v>
      </c>
      <c r="AA879" s="161">
        <f t="shared" ca="1" si="97"/>
        <v>-1471.7576365048944</v>
      </c>
    </row>
    <row r="880" spans="5:27" x14ac:dyDescent="0.25">
      <c r="E880" s="142"/>
      <c r="F880" s="142"/>
      <c r="T880" s="165">
        <v>868</v>
      </c>
      <c r="U880" s="159">
        <f t="shared" si="92"/>
        <v>97.891500000000008</v>
      </c>
      <c r="V880" s="159">
        <f t="shared" si="93"/>
        <v>42.541499999999999</v>
      </c>
      <c r="W880" s="159">
        <f t="shared" si="94"/>
        <v>-145.88999999999999</v>
      </c>
      <c r="X880" s="159">
        <f t="shared" si="95"/>
        <v>-5.4569999999999936</v>
      </c>
      <c r="Y880" s="159">
        <f t="shared" ca="1" si="91"/>
        <v>-9.327053436771962</v>
      </c>
      <c r="Z880" s="159">
        <f t="shared" ca="1" si="96"/>
        <v>-14.717576365048943</v>
      </c>
      <c r="AA880" s="161">
        <f t="shared" ca="1" si="97"/>
        <v>-1471.7576365048944</v>
      </c>
    </row>
    <row r="881" spans="5:27" x14ac:dyDescent="0.25">
      <c r="E881" s="142"/>
      <c r="F881" s="142"/>
      <c r="T881" s="165">
        <v>869</v>
      </c>
      <c r="U881" s="159">
        <f t="shared" si="92"/>
        <v>98.891500000000008</v>
      </c>
      <c r="V881" s="159">
        <f t="shared" si="93"/>
        <v>42.541499999999999</v>
      </c>
      <c r="W881" s="159">
        <f t="shared" si="94"/>
        <v>-146.88999999999999</v>
      </c>
      <c r="X881" s="159">
        <f t="shared" si="95"/>
        <v>-5.4569999999999936</v>
      </c>
      <c r="Y881" s="159">
        <f t="shared" ca="1" si="91"/>
        <v>-9.327053436771962</v>
      </c>
      <c r="Z881" s="159">
        <f t="shared" ca="1" si="96"/>
        <v>-14.717576365048943</v>
      </c>
      <c r="AA881" s="161">
        <f t="shared" ca="1" si="97"/>
        <v>-1471.7576365048944</v>
      </c>
    </row>
    <row r="882" spans="5:27" x14ac:dyDescent="0.25">
      <c r="E882" s="142"/>
      <c r="F882" s="142"/>
      <c r="T882" s="165">
        <v>870</v>
      </c>
      <c r="U882" s="159">
        <f t="shared" si="92"/>
        <v>99.891500000000008</v>
      </c>
      <c r="V882" s="159">
        <f t="shared" si="93"/>
        <v>42.541499999999999</v>
      </c>
      <c r="W882" s="159">
        <f t="shared" si="94"/>
        <v>-147.88999999999999</v>
      </c>
      <c r="X882" s="159">
        <f t="shared" si="95"/>
        <v>-5.4569999999999936</v>
      </c>
      <c r="Y882" s="159">
        <f t="shared" ca="1" si="91"/>
        <v>-9.327053436771962</v>
      </c>
      <c r="Z882" s="159">
        <f t="shared" ca="1" si="96"/>
        <v>-14.717576365048943</v>
      </c>
      <c r="AA882" s="161">
        <f t="shared" ca="1" si="97"/>
        <v>-1471.7576365048944</v>
      </c>
    </row>
    <row r="883" spans="5:27" x14ac:dyDescent="0.25">
      <c r="E883" s="142"/>
      <c r="F883" s="142"/>
      <c r="T883" s="165">
        <v>871</v>
      </c>
      <c r="U883" s="159">
        <f t="shared" si="92"/>
        <v>100.89150000000001</v>
      </c>
      <c r="V883" s="159">
        <f t="shared" si="93"/>
        <v>42.541499999999999</v>
      </c>
      <c r="W883" s="159">
        <f t="shared" si="94"/>
        <v>-148.88999999999999</v>
      </c>
      <c r="X883" s="159">
        <f t="shared" si="95"/>
        <v>-5.4569999999999936</v>
      </c>
      <c r="Y883" s="159">
        <f t="shared" ca="1" si="91"/>
        <v>-9.327053436771962</v>
      </c>
      <c r="Z883" s="159">
        <f t="shared" ca="1" si="96"/>
        <v>-14.717576365048943</v>
      </c>
      <c r="AA883" s="161">
        <f t="shared" ca="1" si="97"/>
        <v>-1471.7576365048944</v>
      </c>
    </row>
    <row r="884" spans="5:27" x14ac:dyDescent="0.25">
      <c r="E884" s="142"/>
      <c r="F884" s="142"/>
      <c r="T884" s="165">
        <v>872</v>
      </c>
      <c r="U884" s="159">
        <f t="shared" si="92"/>
        <v>101.89150000000001</v>
      </c>
      <c r="V884" s="159">
        <f t="shared" si="93"/>
        <v>42.541499999999999</v>
      </c>
      <c r="W884" s="159">
        <f t="shared" si="94"/>
        <v>-149.88999999999999</v>
      </c>
      <c r="X884" s="159">
        <f t="shared" si="95"/>
        <v>-5.4569999999999936</v>
      </c>
      <c r="Y884" s="159">
        <f t="shared" ca="1" si="91"/>
        <v>-9.327053436771962</v>
      </c>
      <c r="Z884" s="159">
        <f t="shared" ca="1" si="96"/>
        <v>-14.717576365048943</v>
      </c>
      <c r="AA884" s="161">
        <f t="shared" ca="1" si="97"/>
        <v>-1471.7576365048944</v>
      </c>
    </row>
    <row r="885" spans="5:27" x14ac:dyDescent="0.25">
      <c r="E885" s="142"/>
      <c r="F885" s="142"/>
      <c r="T885" s="165">
        <v>873</v>
      </c>
      <c r="U885" s="159">
        <f t="shared" si="92"/>
        <v>102.89150000000001</v>
      </c>
      <c r="V885" s="159">
        <f t="shared" si="93"/>
        <v>42.541499999999999</v>
      </c>
      <c r="W885" s="159">
        <f t="shared" si="94"/>
        <v>-150.88999999999999</v>
      </c>
      <c r="X885" s="159">
        <f t="shared" si="95"/>
        <v>-5.4569999999999936</v>
      </c>
      <c r="Y885" s="159">
        <f t="shared" ca="1" si="91"/>
        <v>-9.327053436771962</v>
      </c>
      <c r="Z885" s="159">
        <f t="shared" ca="1" si="96"/>
        <v>-14.717576365048943</v>
      </c>
      <c r="AA885" s="161">
        <f t="shared" ca="1" si="97"/>
        <v>-1471.7576365048944</v>
      </c>
    </row>
    <row r="886" spans="5:27" x14ac:dyDescent="0.25">
      <c r="E886" s="142"/>
      <c r="F886" s="142"/>
      <c r="T886" s="165">
        <v>874</v>
      </c>
      <c r="U886" s="159">
        <f t="shared" si="92"/>
        <v>103.89150000000001</v>
      </c>
      <c r="V886" s="159">
        <f t="shared" si="93"/>
        <v>42.541499999999999</v>
      </c>
      <c r="W886" s="159">
        <f t="shared" si="94"/>
        <v>-151.88999999999999</v>
      </c>
      <c r="X886" s="159">
        <f t="shared" si="95"/>
        <v>-5.4569999999999936</v>
      </c>
      <c r="Y886" s="159">
        <f t="shared" ca="1" si="91"/>
        <v>-9.327053436771962</v>
      </c>
      <c r="Z886" s="159">
        <f t="shared" ca="1" si="96"/>
        <v>-14.717576365048943</v>
      </c>
      <c r="AA886" s="161">
        <f t="shared" ca="1" si="97"/>
        <v>-1471.7576365048944</v>
      </c>
    </row>
    <row r="887" spans="5:27" x14ac:dyDescent="0.25">
      <c r="E887" s="142"/>
      <c r="F887" s="142"/>
      <c r="T887" s="165">
        <v>875</v>
      </c>
      <c r="U887" s="159">
        <f t="shared" si="92"/>
        <v>104.89150000000001</v>
      </c>
      <c r="V887" s="159">
        <f t="shared" si="93"/>
        <v>42.541499999999999</v>
      </c>
      <c r="W887" s="159">
        <f t="shared" si="94"/>
        <v>-152.88999999999999</v>
      </c>
      <c r="X887" s="159">
        <f t="shared" si="95"/>
        <v>-5.4569999999999936</v>
      </c>
      <c r="Y887" s="159">
        <f t="shared" ca="1" si="91"/>
        <v>-9.327053436771962</v>
      </c>
      <c r="Z887" s="159">
        <f t="shared" ca="1" si="96"/>
        <v>-14.717576365048943</v>
      </c>
      <c r="AA887" s="161">
        <f t="shared" ca="1" si="97"/>
        <v>-1471.7576365048944</v>
      </c>
    </row>
    <row r="888" spans="5:27" x14ac:dyDescent="0.25">
      <c r="E888" s="142"/>
      <c r="F888" s="142"/>
      <c r="T888" s="165">
        <v>876</v>
      </c>
      <c r="U888" s="159">
        <f t="shared" si="92"/>
        <v>105.89150000000001</v>
      </c>
      <c r="V888" s="159">
        <f t="shared" si="93"/>
        <v>42.541499999999999</v>
      </c>
      <c r="W888" s="159">
        <f t="shared" si="94"/>
        <v>-153.88999999999999</v>
      </c>
      <c r="X888" s="159">
        <f t="shared" si="95"/>
        <v>-5.4569999999999936</v>
      </c>
      <c r="Y888" s="159">
        <f t="shared" ca="1" si="91"/>
        <v>-9.327053436771962</v>
      </c>
      <c r="Z888" s="159">
        <f t="shared" ca="1" si="96"/>
        <v>-14.717576365048943</v>
      </c>
      <c r="AA888" s="161">
        <f t="shared" ca="1" si="97"/>
        <v>-1471.7576365048944</v>
      </c>
    </row>
    <row r="889" spans="5:27" x14ac:dyDescent="0.25">
      <c r="E889" s="142"/>
      <c r="F889" s="142"/>
      <c r="T889" s="165">
        <v>877</v>
      </c>
      <c r="U889" s="159">
        <f t="shared" si="92"/>
        <v>106.89150000000001</v>
      </c>
      <c r="V889" s="159">
        <f t="shared" si="93"/>
        <v>42.541499999999999</v>
      </c>
      <c r="W889" s="159">
        <f t="shared" si="94"/>
        <v>-154.88999999999999</v>
      </c>
      <c r="X889" s="159">
        <f t="shared" si="95"/>
        <v>-5.4569999999999936</v>
      </c>
      <c r="Y889" s="159">
        <f t="shared" ca="1" si="91"/>
        <v>-9.327053436771962</v>
      </c>
      <c r="Z889" s="159">
        <f t="shared" ca="1" si="96"/>
        <v>-14.717576365048943</v>
      </c>
      <c r="AA889" s="161">
        <f t="shared" ca="1" si="97"/>
        <v>-1471.7576365048944</v>
      </c>
    </row>
    <row r="890" spans="5:27" x14ac:dyDescent="0.25">
      <c r="E890" s="142"/>
      <c r="F890" s="142"/>
      <c r="T890" s="165">
        <v>878</v>
      </c>
      <c r="U890" s="159">
        <f t="shared" si="92"/>
        <v>107.89150000000001</v>
      </c>
      <c r="V890" s="159">
        <f t="shared" si="93"/>
        <v>42.541499999999999</v>
      </c>
      <c r="W890" s="159">
        <f t="shared" si="94"/>
        <v>-155.88999999999999</v>
      </c>
      <c r="X890" s="159">
        <f t="shared" si="95"/>
        <v>-5.4569999999999936</v>
      </c>
      <c r="Y890" s="159">
        <f t="shared" ca="1" si="91"/>
        <v>-9.327053436771962</v>
      </c>
      <c r="Z890" s="159">
        <f t="shared" ca="1" si="96"/>
        <v>-14.717576365048943</v>
      </c>
      <c r="AA890" s="161">
        <f t="shared" ca="1" si="97"/>
        <v>-1471.7576365048944</v>
      </c>
    </row>
    <row r="891" spans="5:27" x14ac:dyDescent="0.25">
      <c r="E891" s="142"/>
      <c r="F891" s="142"/>
      <c r="T891" s="165">
        <v>879</v>
      </c>
      <c r="U891" s="159">
        <f t="shared" si="92"/>
        <v>108.89150000000001</v>
      </c>
      <c r="V891" s="159">
        <f t="shared" si="93"/>
        <v>42.541499999999999</v>
      </c>
      <c r="W891" s="159">
        <f t="shared" si="94"/>
        <v>-156.88999999999999</v>
      </c>
      <c r="X891" s="159">
        <f t="shared" si="95"/>
        <v>-5.4569999999999936</v>
      </c>
      <c r="Y891" s="159">
        <f t="shared" ca="1" si="91"/>
        <v>-9.327053436771962</v>
      </c>
      <c r="Z891" s="159">
        <f t="shared" ca="1" si="96"/>
        <v>-14.717576365048943</v>
      </c>
      <c r="AA891" s="161">
        <f t="shared" ca="1" si="97"/>
        <v>-1471.7576365048944</v>
      </c>
    </row>
    <row r="892" spans="5:27" x14ac:dyDescent="0.25">
      <c r="E892" s="142"/>
      <c r="F892" s="142"/>
      <c r="T892" s="165">
        <v>880</v>
      </c>
      <c r="U892" s="159">
        <f t="shared" si="92"/>
        <v>109.89150000000001</v>
      </c>
      <c r="V892" s="159">
        <f t="shared" si="93"/>
        <v>42.541499999999999</v>
      </c>
      <c r="W892" s="159">
        <f t="shared" si="94"/>
        <v>-157.88999999999999</v>
      </c>
      <c r="X892" s="159">
        <f t="shared" si="95"/>
        <v>-5.4569999999999936</v>
      </c>
      <c r="Y892" s="159">
        <f t="shared" ca="1" si="91"/>
        <v>-9.327053436771962</v>
      </c>
      <c r="Z892" s="159">
        <f t="shared" ca="1" si="96"/>
        <v>-14.717576365048943</v>
      </c>
      <c r="AA892" s="161">
        <f t="shared" ca="1" si="97"/>
        <v>-1471.7576365048944</v>
      </c>
    </row>
    <row r="893" spans="5:27" x14ac:dyDescent="0.25">
      <c r="E893" s="142"/>
      <c r="F893" s="142"/>
      <c r="T893" s="165">
        <v>881</v>
      </c>
      <c r="U893" s="159">
        <f t="shared" si="92"/>
        <v>110.89150000000001</v>
      </c>
      <c r="V893" s="159">
        <f t="shared" si="93"/>
        <v>42.541499999999999</v>
      </c>
      <c r="W893" s="159">
        <f t="shared" si="94"/>
        <v>-158.88999999999999</v>
      </c>
      <c r="X893" s="159">
        <f t="shared" si="95"/>
        <v>-5.4569999999999936</v>
      </c>
      <c r="Y893" s="159">
        <f t="shared" ca="1" si="91"/>
        <v>-9.327053436771962</v>
      </c>
      <c r="Z893" s="159">
        <f t="shared" ca="1" si="96"/>
        <v>-14.717576365048943</v>
      </c>
      <c r="AA893" s="161">
        <f t="shared" ca="1" si="97"/>
        <v>-1471.7576365048944</v>
      </c>
    </row>
    <row r="894" spans="5:27" x14ac:dyDescent="0.25">
      <c r="E894" s="142"/>
      <c r="F894" s="142"/>
      <c r="T894" s="165">
        <v>882</v>
      </c>
      <c r="U894" s="159">
        <f t="shared" si="92"/>
        <v>111.89150000000001</v>
      </c>
      <c r="V894" s="159">
        <f t="shared" si="93"/>
        <v>42.541499999999999</v>
      </c>
      <c r="W894" s="159">
        <f t="shared" si="94"/>
        <v>-159.88999999999999</v>
      </c>
      <c r="X894" s="159">
        <f t="shared" si="95"/>
        <v>-5.4569999999999936</v>
      </c>
      <c r="Y894" s="159">
        <f t="shared" ca="1" si="91"/>
        <v>-9.327053436771962</v>
      </c>
      <c r="Z894" s="159">
        <f t="shared" ca="1" si="96"/>
        <v>-14.717576365048943</v>
      </c>
      <c r="AA894" s="161">
        <f t="shared" ca="1" si="97"/>
        <v>-1471.7576365048944</v>
      </c>
    </row>
    <row r="895" spans="5:27" x14ac:dyDescent="0.25">
      <c r="E895" s="142"/>
      <c r="F895" s="142"/>
      <c r="T895" s="165">
        <v>883</v>
      </c>
      <c r="U895" s="159">
        <f t="shared" si="92"/>
        <v>112.89150000000001</v>
      </c>
      <c r="V895" s="159">
        <f t="shared" si="93"/>
        <v>42.541499999999999</v>
      </c>
      <c r="W895" s="159">
        <f t="shared" si="94"/>
        <v>-160.88999999999999</v>
      </c>
      <c r="X895" s="159">
        <f t="shared" si="95"/>
        <v>-5.4569999999999936</v>
      </c>
      <c r="Y895" s="159">
        <f t="shared" ca="1" si="91"/>
        <v>-9.327053436771962</v>
      </c>
      <c r="Z895" s="159">
        <f t="shared" ca="1" si="96"/>
        <v>-14.717576365048943</v>
      </c>
      <c r="AA895" s="161">
        <f t="shared" ca="1" si="97"/>
        <v>-1471.7576365048944</v>
      </c>
    </row>
    <row r="896" spans="5:27" x14ac:dyDescent="0.25">
      <c r="E896" s="142"/>
      <c r="F896" s="142"/>
      <c r="T896" s="165">
        <v>884</v>
      </c>
      <c r="U896" s="159">
        <f t="shared" si="92"/>
        <v>113.89150000000001</v>
      </c>
      <c r="V896" s="159">
        <f t="shared" si="93"/>
        <v>42.541499999999999</v>
      </c>
      <c r="W896" s="159">
        <f t="shared" si="94"/>
        <v>-161.88999999999999</v>
      </c>
      <c r="X896" s="159">
        <f t="shared" si="95"/>
        <v>-5.4569999999999936</v>
      </c>
      <c r="Y896" s="159">
        <f t="shared" ca="1" si="91"/>
        <v>-9.327053436771962</v>
      </c>
      <c r="Z896" s="159">
        <f t="shared" ca="1" si="96"/>
        <v>-14.717576365048943</v>
      </c>
      <c r="AA896" s="161">
        <f t="shared" ca="1" si="97"/>
        <v>-1471.7576365048944</v>
      </c>
    </row>
    <row r="897" spans="5:27" x14ac:dyDescent="0.25">
      <c r="E897" s="142"/>
      <c r="F897" s="142"/>
      <c r="T897" s="165">
        <v>885</v>
      </c>
      <c r="U897" s="159">
        <f t="shared" si="92"/>
        <v>114.89150000000001</v>
      </c>
      <c r="V897" s="159">
        <f t="shared" si="93"/>
        <v>42.541499999999999</v>
      </c>
      <c r="W897" s="159">
        <f t="shared" si="94"/>
        <v>-162.88999999999999</v>
      </c>
      <c r="X897" s="159">
        <f t="shared" si="95"/>
        <v>-5.4569999999999936</v>
      </c>
      <c r="Y897" s="159">
        <f t="shared" ca="1" si="91"/>
        <v>-9.327053436771962</v>
      </c>
      <c r="Z897" s="159">
        <f t="shared" ca="1" si="96"/>
        <v>-14.717576365048943</v>
      </c>
      <c r="AA897" s="161">
        <f t="shared" ca="1" si="97"/>
        <v>-1471.7576365048944</v>
      </c>
    </row>
    <row r="898" spans="5:27" x14ac:dyDescent="0.25">
      <c r="E898" s="142"/>
      <c r="F898" s="142"/>
      <c r="T898" s="165">
        <v>886</v>
      </c>
      <c r="U898" s="159">
        <f t="shared" si="92"/>
        <v>115.89150000000001</v>
      </c>
      <c r="V898" s="159">
        <f t="shared" si="93"/>
        <v>42.541499999999999</v>
      </c>
      <c r="W898" s="159">
        <f t="shared" si="94"/>
        <v>-163.89</v>
      </c>
      <c r="X898" s="159">
        <f t="shared" si="95"/>
        <v>-5.4569999999999936</v>
      </c>
      <c r="Y898" s="159">
        <f t="shared" ca="1" si="91"/>
        <v>-9.327053436771962</v>
      </c>
      <c r="Z898" s="159">
        <f t="shared" ca="1" si="96"/>
        <v>-14.717576365048943</v>
      </c>
      <c r="AA898" s="161">
        <f t="shared" ca="1" si="97"/>
        <v>-1471.7576365048944</v>
      </c>
    </row>
    <row r="899" spans="5:27" x14ac:dyDescent="0.25">
      <c r="E899" s="142"/>
      <c r="F899" s="142"/>
      <c r="T899" s="165">
        <v>887</v>
      </c>
      <c r="U899" s="159">
        <f t="shared" si="92"/>
        <v>116.89150000000001</v>
      </c>
      <c r="V899" s="159">
        <f t="shared" si="93"/>
        <v>42.541499999999999</v>
      </c>
      <c r="W899" s="159">
        <f t="shared" si="94"/>
        <v>-164.89</v>
      </c>
      <c r="X899" s="159">
        <f t="shared" si="95"/>
        <v>-5.4569999999999936</v>
      </c>
      <c r="Y899" s="159">
        <f t="shared" ca="1" si="91"/>
        <v>-9.327053436771962</v>
      </c>
      <c r="Z899" s="159">
        <f t="shared" ca="1" si="96"/>
        <v>-14.717576365048943</v>
      </c>
      <c r="AA899" s="161">
        <f t="shared" ca="1" si="97"/>
        <v>-1471.7576365048944</v>
      </c>
    </row>
    <row r="900" spans="5:27" x14ac:dyDescent="0.25">
      <c r="E900" s="142"/>
      <c r="F900" s="142"/>
      <c r="T900" s="165">
        <v>888</v>
      </c>
      <c r="U900" s="159">
        <f t="shared" si="92"/>
        <v>117.89150000000001</v>
      </c>
      <c r="V900" s="159">
        <f t="shared" si="93"/>
        <v>42.541499999999999</v>
      </c>
      <c r="W900" s="159">
        <f t="shared" si="94"/>
        <v>-165.89</v>
      </c>
      <c r="X900" s="159">
        <f t="shared" si="95"/>
        <v>-5.4569999999999936</v>
      </c>
      <c r="Y900" s="159">
        <f t="shared" ca="1" si="91"/>
        <v>-9.327053436771962</v>
      </c>
      <c r="Z900" s="159">
        <f t="shared" ca="1" si="96"/>
        <v>-14.717576365048943</v>
      </c>
      <c r="AA900" s="161">
        <f t="shared" ca="1" si="97"/>
        <v>-1471.7576365048944</v>
      </c>
    </row>
    <row r="901" spans="5:27" x14ac:dyDescent="0.25">
      <c r="E901" s="142"/>
      <c r="F901" s="142"/>
      <c r="T901" s="165">
        <v>889</v>
      </c>
      <c r="U901" s="159">
        <f t="shared" si="92"/>
        <v>118.89150000000001</v>
      </c>
      <c r="V901" s="159">
        <f t="shared" si="93"/>
        <v>42.541499999999999</v>
      </c>
      <c r="W901" s="159">
        <f t="shared" si="94"/>
        <v>-166.89</v>
      </c>
      <c r="X901" s="159">
        <f t="shared" si="95"/>
        <v>-5.4569999999999936</v>
      </c>
      <c r="Y901" s="159">
        <f t="shared" ca="1" si="91"/>
        <v>-9.327053436771962</v>
      </c>
      <c r="Z901" s="159">
        <f t="shared" ca="1" si="96"/>
        <v>-14.717576365048943</v>
      </c>
      <c r="AA901" s="161">
        <f t="shared" ca="1" si="97"/>
        <v>-1471.7576365048944</v>
      </c>
    </row>
    <row r="902" spans="5:27" x14ac:dyDescent="0.25">
      <c r="E902" s="142"/>
      <c r="F902" s="142"/>
      <c r="T902" s="165">
        <v>890</v>
      </c>
      <c r="U902" s="159">
        <f t="shared" si="92"/>
        <v>119.89150000000001</v>
      </c>
      <c r="V902" s="159">
        <f t="shared" si="93"/>
        <v>42.541499999999999</v>
      </c>
      <c r="W902" s="159">
        <f t="shared" si="94"/>
        <v>-167.89</v>
      </c>
      <c r="X902" s="159">
        <f t="shared" si="95"/>
        <v>-5.4569999999999936</v>
      </c>
      <c r="Y902" s="159">
        <f t="shared" ca="1" si="91"/>
        <v>-9.327053436771962</v>
      </c>
      <c r="Z902" s="159">
        <f t="shared" ca="1" si="96"/>
        <v>-14.717576365048943</v>
      </c>
      <c r="AA902" s="161">
        <f t="shared" ca="1" si="97"/>
        <v>-1471.7576365048944</v>
      </c>
    </row>
    <row r="903" spans="5:27" x14ac:dyDescent="0.25">
      <c r="E903" s="142"/>
      <c r="F903" s="142"/>
      <c r="T903" s="165">
        <v>891</v>
      </c>
      <c r="U903" s="159">
        <f t="shared" si="92"/>
        <v>120.89150000000001</v>
      </c>
      <c r="V903" s="159">
        <f t="shared" si="93"/>
        <v>42.541499999999999</v>
      </c>
      <c r="W903" s="159">
        <f t="shared" si="94"/>
        <v>-168.89</v>
      </c>
      <c r="X903" s="159">
        <f t="shared" si="95"/>
        <v>-5.4569999999999936</v>
      </c>
      <c r="Y903" s="159">
        <f t="shared" ca="1" si="91"/>
        <v>-9.327053436771962</v>
      </c>
      <c r="Z903" s="159">
        <f t="shared" ca="1" si="96"/>
        <v>-14.717576365048943</v>
      </c>
      <c r="AA903" s="161">
        <f t="shared" ca="1" si="97"/>
        <v>-1471.7576365048944</v>
      </c>
    </row>
    <row r="904" spans="5:27" x14ac:dyDescent="0.25">
      <c r="E904" s="142"/>
      <c r="F904" s="142"/>
      <c r="T904" s="165">
        <v>892</v>
      </c>
      <c r="U904" s="159">
        <f t="shared" si="92"/>
        <v>121.89150000000001</v>
      </c>
      <c r="V904" s="159">
        <f t="shared" si="93"/>
        <v>42.541499999999999</v>
      </c>
      <c r="W904" s="159">
        <f t="shared" si="94"/>
        <v>-169.89</v>
      </c>
      <c r="X904" s="159">
        <f t="shared" si="95"/>
        <v>-5.4569999999999936</v>
      </c>
      <c r="Y904" s="159">
        <f t="shared" ca="1" si="91"/>
        <v>-9.327053436771962</v>
      </c>
      <c r="Z904" s="159">
        <f t="shared" ca="1" si="96"/>
        <v>-14.717576365048943</v>
      </c>
      <c r="AA904" s="161">
        <f t="shared" ca="1" si="97"/>
        <v>-1471.7576365048944</v>
      </c>
    </row>
    <row r="905" spans="5:27" x14ac:dyDescent="0.25">
      <c r="E905" s="142"/>
      <c r="F905" s="142"/>
      <c r="T905" s="165">
        <v>893</v>
      </c>
      <c r="U905" s="159">
        <f t="shared" si="92"/>
        <v>122.89150000000001</v>
      </c>
      <c r="V905" s="159">
        <f t="shared" si="93"/>
        <v>42.541499999999999</v>
      </c>
      <c r="W905" s="159">
        <f t="shared" si="94"/>
        <v>-170.89</v>
      </c>
      <c r="X905" s="159">
        <f t="shared" si="95"/>
        <v>-5.4569999999999936</v>
      </c>
      <c r="Y905" s="159">
        <f t="shared" ca="1" si="91"/>
        <v>-9.327053436771962</v>
      </c>
      <c r="Z905" s="159">
        <f t="shared" ca="1" si="96"/>
        <v>-14.717576365048943</v>
      </c>
      <c r="AA905" s="161">
        <f t="shared" ca="1" si="97"/>
        <v>-1471.7576365048944</v>
      </c>
    </row>
    <row r="906" spans="5:27" x14ac:dyDescent="0.25">
      <c r="E906" s="142"/>
      <c r="F906" s="142"/>
      <c r="T906" s="165">
        <v>894</v>
      </c>
      <c r="U906" s="159">
        <f t="shared" si="92"/>
        <v>123.89150000000001</v>
      </c>
      <c r="V906" s="159">
        <f t="shared" si="93"/>
        <v>42.541499999999999</v>
      </c>
      <c r="W906" s="159">
        <f t="shared" si="94"/>
        <v>-171.89</v>
      </c>
      <c r="X906" s="159">
        <f t="shared" si="95"/>
        <v>-5.4569999999999936</v>
      </c>
      <c r="Y906" s="159">
        <f t="shared" ca="1" si="91"/>
        <v>-9.327053436771962</v>
      </c>
      <c r="Z906" s="159">
        <f t="shared" ca="1" si="96"/>
        <v>-14.717576365048943</v>
      </c>
      <c r="AA906" s="161">
        <f t="shared" ca="1" si="97"/>
        <v>-1471.7576365048944</v>
      </c>
    </row>
    <row r="907" spans="5:27" x14ac:dyDescent="0.25">
      <c r="E907" s="142"/>
      <c r="F907" s="142"/>
      <c r="T907" s="165">
        <v>895</v>
      </c>
      <c r="U907" s="159">
        <f t="shared" si="92"/>
        <v>124.89150000000001</v>
      </c>
      <c r="V907" s="159">
        <f t="shared" si="93"/>
        <v>42.541499999999999</v>
      </c>
      <c r="W907" s="159">
        <f t="shared" si="94"/>
        <v>-172.89</v>
      </c>
      <c r="X907" s="159">
        <f t="shared" si="95"/>
        <v>-5.4569999999999936</v>
      </c>
      <c r="Y907" s="159">
        <f t="shared" ca="1" si="91"/>
        <v>-9.327053436771962</v>
      </c>
      <c r="Z907" s="159">
        <f t="shared" ca="1" si="96"/>
        <v>-14.717576365048943</v>
      </c>
      <c r="AA907" s="161">
        <f t="shared" ca="1" si="97"/>
        <v>-1471.7576365048944</v>
      </c>
    </row>
    <row r="908" spans="5:27" x14ac:dyDescent="0.25">
      <c r="E908" s="142"/>
      <c r="F908" s="142"/>
      <c r="T908" s="165">
        <v>896</v>
      </c>
      <c r="U908" s="159">
        <f t="shared" si="92"/>
        <v>125.89150000000001</v>
      </c>
      <c r="V908" s="159">
        <f t="shared" si="93"/>
        <v>42.541499999999999</v>
      </c>
      <c r="W908" s="159">
        <f t="shared" si="94"/>
        <v>-173.89</v>
      </c>
      <c r="X908" s="159">
        <f t="shared" si="95"/>
        <v>-5.4569999999999936</v>
      </c>
      <c r="Y908" s="159">
        <f t="shared" ref="Y908:Y971" ca="1" si="98">$Y$10*EXP($Y$7*$C$6)-$Y$10</f>
        <v>-9.327053436771962</v>
      </c>
      <c r="Z908" s="159">
        <f t="shared" ca="1" si="96"/>
        <v>-14.717576365048943</v>
      </c>
      <c r="AA908" s="161">
        <f t="shared" ca="1" si="97"/>
        <v>-1471.7576365048944</v>
      </c>
    </row>
    <row r="909" spans="5:27" x14ac:dyDescent="0.25">
      <c r="E909" s="142"/>
      <c r="F909" s="142"/>
      <c r="T909" s="165">
        <v>897</v>
      </c>
      <c r="U909" s="159">
        <f t="shared" ref="U909:U972" si="99">MAX(0,T909-$U$9)-$U$10-$U$11/100</f>
        <v>126.89150000000001</v>
      </c>
      <c r="V909" s="159">
        <f t="shared" ref="V909:V972" si="100">$V$10-MAX(0,$V$9-T909)-$V$11/100</f>
        <v>42.541499999999999</v>
      </c>
      <c r="W909" s="159">
        <f t="shared" ref="W909:W972" si="101">$W$10-T909</f>
        <v>-174.89</v>
      </c>
      <c r="X909" s="159">
        <f t="shared" ref="X909:X972" si="102">SUM(U909:W909)</f>
        <v>-5.4569999999999936</v>
      </c>
      <c r="Y909" s="159">
        <f t="shared" ca="1" si="98"/>
        <v>-9.327053436771962</v>
      </c>
      <c r="Z909" s="159">
        <f t="shared" ref="Z909:Z972" ca="1" si="103">EXP(-$E$3*$C$6)*SUM(X909:Y909)</f>
        <v>-14.717576365048943</v>
      </c>
      <c r="AA909" s="161">
        <f t="shared" ref="AA909:AA972" ca="1" si="104">Z909*100</f>
        <v>-1471.7576365048944</v>
      </c>
    </row>
    <row r="910" spans="5:27" x14ac:dyDescent="0.25">
      <c r="E910" s="142"/>
      <c r="F910" s="142"/>
      <c r="T910" s="165">
        <v>898</v>
      </c>
      <c r="U910" s="159">
        <f t="shared" si="99"/>
        <v>127.89150000000001</v>
      </c>
      <c r="V910" s="159">
        <f t="shared" si="100"/>
        <v>42.541499999999999</v>
      </c>
      <c r="W910" s="159">
        <f t="shared" si="101"/>
        <v>-175.89</v>
      </c>
      <c r="X910" s="159">
        <f t="shared" si="102"/>
        <v>-5.4569999999999936</v>
      </c>
      <c r="Y910" s="159">
        <f t="shared" ca="1" si="98"/>
        <v>-9.327053436771962</v>
      </c>
      <c r="Z910" s="159">
        <f t="shared" ca="1" si="103"/>
        <v>-14.717576365048943</v>
      </c>
      <c r="AA910" s="161">
        <f t="shared" ca="1" si="104"/>
        <v>-1471.7576365048944</v>
      </c>
    </row>
    <row r="911" spans="5:27" x14ac:dyDescent="0.25">
      <c r="E911" s="142"/>
      <c r="F911" s="142"/>
      <c r="T911" s="165">
        <v>899</v>
      </c>
      <c r="U911" s="159">
        <f t="shared" si="99"/>
        <v>128.89150000000001</v>
      </c>
      <c r="V911" s="159">
        <f t="shared" si="100"/>
        <v>42.541499999999999</v>
      </c>
      <c r="W911" s="159">
        <f t="shared" si="101"/>
        <v>-176.89</v>
      </c>
      <c r="X911" s="159">
        <f t="shared" si="102"/>
        <v>-5.4569999999999936</v>
      </c>
      <c r="Y911" s="159">
        <f t="shared" ca="1" si="98"/>
        <v>-9.327053436771962</v>
      </c>
      <c r="Z911" s="159">
        <f t="shared" ca="1" si="103"/>
        <v>-14.717576365048943</v>
      </c>
      <c r="AA911" s="161">
        <f t="shared" ca="1" si="104"/>
        <v>-1471.7576365048944</v>
      </c>
    </row>
    <row r="912" spans="5:27" x14ac:dyDescent="0.25">
      <c r="E912" s="142"/>
      <c r="F912" s="142"/>
      <c r="T912" s="165">
        <v>900</v>
      </c>
      <c r="U912" s="159">
        <f t="shared" si="99"/>
        <v>129.89150000000001</v>
      </c>
      <c r="V912" s="159">
        <f t="shared" si="100"/>
        <v>42.541499999999999</v>
      </c>
      <c r="W912" s="159">
        <f t="shared" si="101"/>
        <v>-177.89</v>
      </c>
      <c r="X912" s="159">
        <f t="shared" si="102"/>
        <v>-5.4569999999999936</v>
      </c>
      <c r="Y912" s="159">
        <f t="shared" ca="1" si="98"/>
        <v>-9.327053436771962</v>
      </c>
      <c r="Z912" s="159">
        <f t="shared" ca="1" si="103"/>
        <v>-14.717576365048943</v>
      </c>
      <c r="AA912" s="161">
        <f t="shared" ca="1" si="104"/>
        <v>-1471.7576365048944</v>
      </c>
    </row>
    <row r="913" spans="5:27" x14ac:dyDescent="0.25">
      <c r="E913" s="142"/>
      <c r="F913" s="142"/>
      <c r="T913" s="165">
        <v>901</v>
      </c>
      <c r="U913" s="159">
        <f t="shared" si="99"/>
        <v>130.89150000000001</v>
      </c>
      <c r="V913" s="159">
        <f t="shared" si="100"/>
        <v>42.541499999999999</v>
      </c>
      <c r="W913" s="159">
        <f t="shared" si="101"/>
        <v>-178.89</v>
      </c>
      <c r="X913" s="159">
        <f t="shared" si="102"/>
        <v>-5.4569999999999936</v>
      </c>
      <c r="Y913" s="159">
        <f t="shared" ca="1" si="98"/>
        <v>-9.327053436771962</v>
      </c>
      <c r="Z913" s="159">
        <f t="shared" ca="1" si="103"/>
        <v>-14.717576365048943</v>
      </c>
      <c r="AA913" s="161">
        <f t="shared" ca="1" si="104"/>
        <v>-1471.7576365048944</v>
      </c>
    </row>
    <row r="914" spans="5:27" x14ac:dyDescent="0.25">
      <c r="E914" s="142"/>
      <c r="F914" s="142"/>
      <c r="T914" s="165">
        <v>902</v>
      </c>
      <c r="U914" s="159">
        <f t="shared" si="99"/>
        <v>131.89150000000001</v>
      </c>
      <c r="V914" s="159">
        <f t="shared" si="100"/>
        <v>42.541499999999999</v>
      </c>
      <c r="W914" s="159">
        <f t="shared" si="101"/>
        <v>-179.89</v>
      </c>
      <c r="X914" s="159">
        <f t="shared" si="102"/>
        <v>-5.4569999999999936</v>
      </c>
      <c r="Y914" s="159">
        <f t="shared" ca="1" si="98"/>
        <v>-9.327053436771962</v>
      </c>
      <c r="Z914" s="159">
        <f t="shared" ca="1" si="103"/>
        <v>-14.717576365048943</v>
      </c>
      <c r="AA914" s="161">
        <f t="shared" ca="1" si="104"/>
        <v>-1471.7576365048944</v>
      </c>
    </row>
    <row r="915" spans="5:27" x14ac:dyDescent="0.25">
      <c r="E915" s="142"/>
      <c r="F915" s="142"/>
      <c r="T915" s="165">
        <v>903</v>
      </c>
      <c r="U915" s="159">
        <f t="shared" si="99"/>
        <v>132.89150000000001</v>
      </c>
      <c r="V915" s="159">
        <f t="shared" si="100"/>
        <v>42.541499999999999</v>
      </c>
      <c r="W915" s="159">
        <f t="shared" si="101"/>
        <v>-180.89</v>
      </c>
      <c r="X915" s="159">
        <f t="shared" si="102"/>
        <v>-5.4569999999999936</v>
      </c>
      <c r="Y915" s="159">
        <f t="shared" ca="1" si="98"/>
        <v>-9.327053436771962</v>
      </c>
      <c r="Z915" s="159">
        <f t="shared" ca="1" si="103"/>
        <v>-14.717576365048943</v>
      </c>
      <c r="AA915" s="161">
        <f t="shared" ca="1" si="104"/>
        <v>-1471.7576365048944</v>
      </c>
    </row>
    <row r="916" spans="5:27" x14ac:dyDescent="0.25">
      <c r="E916" s="142"/>
      <c r="F916" s="142"/>
      <c r="T916" s="165">
        <v>904</v>
      </c>
      <c r="U916" s="159">
        <f t="shared" si="99"/>
        <v>133.89150000000001</v>
      </c>
      <c r="V916" s="159">
        <f t="shared" si="100"/>
        <v>42.541499999999999</v>
      </c>
      <c r="W916" s="159">
        <f t="shared" si="101"/>
        <v>-181.89</v>
      </c>
      <c r="X916" s="159">
        <f t="shared" si="102"/>
        <v>-5.4569999999999936</v>
      </c>
      <c r="Y916" s="159">
        <f t="shared" ca="1" si="98"/>
        <v>-9.327053436771962</v>
      </c>
      <c r="Z916" s="159">
        <f t="shared" ca="1" si="103"/>
        <v>-14.717576365048943</v>
      </c>
      <c r="AA916" s="161">
        <f t="shared" ca="1" si="104"/>
        <v>-1471.7576365048944</v>
      </c>
    </row>
    <row r="917" spans="5:27" x14ac:dyDescent="0.25">
      <c r="E917" s="142"/>
      <c r="F917" s="142"/>
      <c r="T917" s="165">
        <v>905</v>
      </c>
      <c r="U917" s="159">
        <f t="shared" si="99"/>
        <v>134.89150000000001</v>
      </c>
      <c r="V917" s="159">
        <f t="shared" si="100"/>
        <v>42.541499999999999</v>
      </c>
      <c r="W917" s="159">
        <f t="shared" si="101"/>
        <v>-182.89</v>
      </c>
      <c r="X917" s="159">
        <f t="shared" si="102"/>
        <v>-5.4569999999999936</v>
      </c>
      <c r="Y917" s="159">
        <f t="shared" ca="1" si="98"/>
        <v>-9.327053436771962</v>
      </c>
      <c r="Z917" s="159">
        <f t="shared" ca="1" si="103"/>
        <v>-14.717576365048943</v>
      </c>
      <c r="AA917" s="161">
        <f t="shared" ca="1" si="104"/>
        <v>-1471.7576365048944</v>
      </c>
    </row>
    <row r="918" spans="5:27" x14ac:dyDescent="0.25">
      <c r="E918" s="142"/>
      <c r="F918" s="142"/>
      <c r="T918" s="165">
        <v>906</v>
      </c>
      <c r="U918" s="159">
        <f t="shared" si="99"/>
        <v>135.89150000000001</v>
      </c>
      <c r="V918" s="159">
        <f t="shared" si="100"/>
        <v>42.541499999999999</v>
      </c>
      <c r="W918" s="159">
        <f t="shared" si="101"/>
        <v>-183.89</v>
      </c>
      <c r="X918" s="159">
        <f t="shared" si="102"/>
        <v>-5.4569999999999936</v>
      </c>
      <c r="Y918" s="159">
        <f t="shared" ca="1" si="98"/>
        <v>-9.327053436771962</v>
      </c>
      <c r="Z918" s="159">
        <f t="shared" ca="1" si="103"/>
        <v>-14.717576365048943</v>
      </c>
      <c r="AA918" s="161">
        <f t="shared" ca="1" si="104"/>
        <v>-1471.7576365048944</v>
      </c>
    </row>
    <row r="919" spans="5:27" x14ac:dyDescent="0.25">
      <c r="E919" s="142"/>
      <c r="F919" s="142"/>
      <c r="T919" s="165">
        <v>907</v>
      </c>
      <c r="U919" s="159">
        <f t="shared" si="99"/>
        <v>136.89150000000001</v>
      </c>
      <c r="V919" s="159">
        <f t="shared" si="100"/>
        <v>42.541499999999999</v>
      </c>
      <c r="W919" s="159">
        <f t="shared" si="101"/>
        <v>-184.89</v>
      </c>
      <c r="X919" s="159">
        <f t="shared" si="102"/>
        <v>-5.4569999999999936</v>
      </c>
      <c r="Y919" s="159">
        <f t="shared" ca="1" si="98"/>
        <v>-9.327053436771962</v>
      </c>
      <c r="Z919" s="159">
        <f t="shared" ca="1" si="103"/>
        <v>-14.717576365048943</v>
      </c>
      <c r="AA919" s="161">
        <f t="shared" ca="1" si="104"/>
        <v>-1471.7576365048944</v>
      </c>
    </row>
    <row r="920" spans="5:27" x14ac:dyDescent="0.25">
      <c r="E920" s="142"/>
      <c r="F920" s="142"/>
      <c r="T920" s="165">
        <v>908</v>
      </c>
      <c r="U920" s="159">
        <f t="shared" si="99"/>
        <v>137.89150000000001</v>
      </c>
      <c r="V920" s="159">
        <f t="shared" si="100"/>
        <v>42.541499999999999</v>
      </c>
      <c r="W920" s="159">
        <f t="shared" si="101"/>
        <v>-185.89</v>
      </c>
      <c r="X920" s="159">
        <f t="shared" si="102"/>
        <v>-5.4569999999999936</v>
      </c>
      <c r="Y920" s="159">
        <f t="shared" ca="1" si="98"/>
        <v>-9.327053436771962</v>
      </c>
      <c r="Z920" s="159">
        <f t="shared" ca="1" si="103"/>
        <v>-14.717576365048943</v>
      </c>
      <c r="AA920" s="161">
        <f t="shared" ca="1" si="104"/>
        <v>-1471.7576365048944</v>
      </c>
    </row>
    <row r="921" spans="5:27" x14ac:dyDescent="0.25">
      <c r="E921" s="142"/>
      <c r="F921" s="142"/>
      <c r="T921" s="165">
        <v>909</v>
      </c>
      <c r="U921" s="159">
        <f t="shared" si="99"/>
        <v>138.89150000000001</v>
      </c>
      <c r="V921" s="159">
        <f t="shared" si="100"/>
        <v>42.541499999999999</v>
      </c>
      <c r="W921" s="159">
        <f t="shared" si="101"/>
        <v>-186.89</v>
      </c>
      <c r="X921" s="159">
        <f t="shared" si="102"/>
        <v>-5.4569999999999936</v>
      </c>
      <c r="Y921" s="159">
        <f t="shared" ca="1" si="98"/>
        <v>-9.327053436771962</v>
      </c>
      <c r="Z921" s="159">
        <f t="shared" ca="1" si="103"/>
        <v>-14.717576365048943</v>
      </c>
      <c r="AA921" s="161">
        <f t="shared" ca="1" si="104"/>
        <v>-1471.7576365048944</v>
      </c>
    </row>
    <row r="922" spans="5:27" x14ac:dyDescent="0.25">
      <c r="E922" s="142"/>
      <c r="F922" s="142"/>
      <c r="T922" s="165">
        <v>910</v>
      </c>
      <c r="U922" s="159">
        <f t="shared" si="99"/>
        <v>139.89150000000001</v>
      </c>
      <c r="V922" s="159">
        <f t="shared" si="100"/>
        <v>42.541499999999999</v>
      </c>
      <c r="W922" s="159">
        <f t="shared" si="101"/>
        <v>-187.89</v>
      </c>
      <c r="X922" s="159">
        <f t="shared" si="102"/>
        <v>-5.4569999999999936</v>
      </c>
      <c r="Y922" s="159">
        <f t="shared" ca="1" si="98"/>
        <v>-9.327053436771962</v>
      </c>
      <c r="Z922" s="159">
        <f t="shared" ca="1" si="103"/>
        <v>-14.717576365048943</v>
      </c>
      <c r="AA922" s="161">
        <f t="shared" ca="1" si="104"/>
        <v>-1471.7576365048944</v>
      </c>
    </row>
    <row r="923" spans="5:27" x14ac:dyDescent="0.25">
      <c r="E923" s="142"/>
      <c r="F923" s="142"/>
      <c r="T923" s="165">
        <v>911</v>
      </c>
      <c r="U923" s="159">
        <f t="shared" si="99"/>
        <v>140.89150000000001</v>
      </c>
      <c r="V923" s="159">
        <f t="shared" si="100"/>
        <v>42.541499999999999</v>
      </c>
      <c r="W923" s="159">
        <f t="shared" si="101"/>
        <v>-188.89</v>
      </c>
      <c r="X923" s="159">
        <f t="shared" si="102"/>
        <v>-5.4569999999999936</v>
      </c>
      <c r="Y923" s="159">
        <f t="shared" ca="1" si="98"/>
        <v>-9.327053436771962</v>
      </c>
      <c r="Z923" s="159">
        <f t="shared" ca="1" si="103"/>
        <v>-14.717576365048943</v>
      </c>
      <c r="AA923" s="161">
        <f t="shared" ca="1" si="104"/>
        <v>-1471.7576365048944</v>
      </c>
    </row>
    <row r="924" spans="5:27" x14ac:dyDescent="0.25">
      <c r="E924" s="142"/>
      <c r="F924" s="142"/>
      <c r="T924" s="165">
        <v>912</v>
      </c>
      <c r="U924" s="159">
        <f t="shared" si="99"/>
        <v>141.89150000000001</v>
      </c>
      <c r="V924" s="159">
        <f t="shared" si="100"/>
        <v>42.541499999999999</v>
      </c>
      <c r="W924" s="159">
        <f t="shared" si="101"/>
        <v>-189.89</v>
      </c>
      <c r="X924" s="159">
        <f t="shared" si="102"/>
        <v>-5.4569999999999936</v>
      </c>
      <c r="Y924" s="159">
        <f t="shared" ca="1" si="98"/>
        <v>-9.327053436771962</v>
      </c>
      <c r="Z924" s="159">
        <f t="shared" ca="1" si="103"/>
        <v>-14.717576365048943</v>
      </c>
      <c r="AA924" s="161">
        <f t="shared" ca="1" si="104"/>
        <v>-1471.7576365048944</v>
      </c>
    </row>
    <row r="925" spans="5:27" x14ac:dyDescent="0.25">
      <c r="E925" s="142"/>
      <c r="F925" s="142"/>
      <c r="T925" s="165">
        <v>913</v>
      </c>
      <c r="U925" s="159">
        <f t="shared" si="99"/>
        <v>142.89150000000001</v>
      </c>
      <c r="V925" s="159">
        <f t="shared" si="100"/>
        <v>42.541499999999999</v>
      </c>
      <c r="W925" s="159">
        <f t="shared" si="101"/>
        <v>-190.89</v>
      </c>
      <c r="X925" s="159">
        <f t="shared" si="102"/>
        <v>-5.4569999999999936</v>
      </c>
      <c r="Y925" s="159">
        <f t="shared" ca="1" si="98"/>
        <v>-9.327053436771962</v>
      </c>
      <c r="Z925" s="159">
        <f t="shared" ca="1" si="103"/>
        <v>-14.717576365048943</v>
      </c>
      <c r="AA925" s="161">
        <f t="shared" ca="1" si="104"/>
        <v>-1471.7576365048944</v>
      </c>
    </row>
    <row r="926" spans="5:27" x14ac:dyDescent="0.25">
      <c r="E926" s="142"/>
      <c r="F926" s="142"/>
      <c r="T926" s="165">
        <v>914</v>
      </c>
      <c r="U926" s="159">
        <f t="shared" si="99"/>
        <v>143.89150000000001</v>
      </c>
      <c r="V926" s="159">
        <f t="shared" si="100"/>
        <v>42.541499999999999</v>
      </c>
      <c r="W926" s="159">
        <f t="shared" si="101"/>
        <v>-191.89</v>
      </c>
      <c r="X926" s="159">
        <f t="shared" si="102"/>
        <v>-5.4569999999999936</v>
      </c>
      <c r="Y926" s="159">
        <f t="shared" ca="1" si="98"/>
        <v>-9.327053436771962</v>
      </c>
      <c r="Z926" s="159">
        <f t="shared" ca="1" si="103"/>
        <v>-14.717576365048943</v>
      </c>
      <c r="AA926" s="161">
        <f t="shared" ca="1" si="104"/>
        <v>-1471.7576365048944</v>
      </c>
    </row>
    <row r="927" spans="5:27" x14ac:dyDescent="0.25">
      <c r="E927" s="142"/>
      <c r="F927" s="142"/>
      <c r="T927" s="165">
        <v>915</v>
      </c>
      <c r="U927" s="159">
        <f t="shared" si="99"/>
        <v>144.89150000000001</v>
      </c>
      <c r="V927" s="159">
        <f t="shared" si="100"/>
        <v>42.541499999999999</v>
      </c>
      <c r="W927" s="159">
        <f t="shared" si="101"/>
        <v>-192.89</v>
      </c>
      <c r="X927" s="159">
        <f t="shared" si="102"/>
        <v>-5.4569999999999936</v>
      </c>
      <c r="Y927" s="159">
        <f t="shared" ca="1" si="98"/>
        <v>-9.327053436771962</v>
      </c>
      <c r="Z927" s="159">
        <f t="shared" ca="1" si="103"/>
        <v>-14.717576365048943</v>
      </c>
      <c r="AA927" s="161">
        <f t="shared" ca="1" si="104"/>
        <v>-1471.7576365048944</v>
      </c>
    </row>
    <row r="928" spans="5:27" x14ac:dyDescent="0.25">
      <c r="E928" s="142"/>
      <c r="F928" s="142"/>
      <c r="T928" s="165">
        <v>916</v>
      </c>
      <c r="U928" s="159">
        <f t="shared" si="99"/>
        <v>145.89150000000001</v>
      </c>
      <c r="V928" s="159">
        <f t="shared" si="100"/>
        <v>42.541499999999999</v>
      </c>
      <c r="W928" s="159">
        <f t="shared" si="101"/>
        <v>-193.89</v>
      </c>
      <c r="X928" s="159">
        <f t="shared" si="102"/>
        <v>-5.4569999999999936</v>
      </c>
      <c r="Y928" s="159">
        <f t="shared" ca="1" si="98"/>
        <v>-9.327053436771962</v>
      </c>
      <c r="Z928" s="159">
        <f t="shared" ca="1" si="103"/>
        <v>-14.717576365048943</v>
      </c>
      <c r="AA928" s="161">
        <f t="shared" ca="1" si="104"/>
        <v>-1471.7576365048944</v>
      </c>
    </row>
    <row r="929" spans="5:27" x14ac:dyDescent="0.25">
      <c r="E929" s="142"/>
      <c r="F929" s="142"/>
      <c r="T929" s="165">
        <v>917</v>
      </c>
      <c r="U929" s="159">
        <f t="shared" si="99"/>
        <v>146.89150000000001</v>
      </c>
      <c r="V929" s="159">
        <f t="shared" si="100"/>
        <v>42.541499999999999</v>
      </c>
      <c r="W929" s="159">
        <f t="shared" si="101"/>
        <v>-194.89</v>
      </c>
      <c r="X929" s="159">
        <f t="shared" si="102"/>
        <v>-5.4569999999999936</v>
      </c>
      <c r="Y929" s="159">
        <f t="shared" ca="1" si="98"/>
        <v>-9.327053436771962</v>
      </c>
      <c r="Z929" s="159">
        <f t="shared" ca="1" si="103"/>
        <v>-14.717576365048943</v>
      </c>
      <c r="AA929" s="161">
        <f t="shared" ca="1" si="104"/>
        <v>-1471.7576365048944</v>
      </c>
    </row>
    <row r="930" spans="5:27" x14ac:dyDescent="0.25">
      <c r="E930" s="142"/>
      <c r="F930" s="142"/>
      <c r="T930" s="165">
        <v>918</v>
      </c>
      <c r="U930" s="159">
        <f t="shared" si="99"/>
        <v>147.89150000000001</v>
      </c>
      <c r="V930" s="159">
        <f t="shared" si="100"/>
        <v>42.541499999999999</v>
      </c>
      <c r="W930" s="159">
        <f t="shared" si="101"/>
        <v>-195.89</v>
      </c>
      <c r="X930" s="159">
        <f t="shared" si="102"/>
        <v>-5.4569999999999936</v>
      </c>
      <c r="Y930" s="159">
        <f t="shared" ca="1" si="98"/>
        <v>-9.327053436771962</v>
      </c>
      <c r="Z930" s="159">
        <f t="shared" ca="1" si="103"/>
        <v>-14.717576365048943</v>
      </c>
      <c r="AA930" s="161">
        <f t="shared" ca="1" si="104"/>
        <v>-1471.7576365048944</v>
      </c>
    </row>
    <row r="931" spans="5:27" x14ac:dyDescent="0.25">
      <c r="E931" s="142"/>
      <c r="F931" s="142"/>
      <c r="T931" s="165">
        <v>919</v>
      </c>
      <c r="U931" s="159">
        <f t="shared" si="99"/>
        <v>148.89150000000001</v>
      </c>
      <c r="V931" s="159">
        <f t="shared" si="100"/>
        <v>42.541499999999999</v>
      </c>
      <c r="W931" s="159">
        <f t="shared" si="101"/>
        <v>-196.89</v>
      </c>
      <c r="X931" s="159">
        <f t="shared" si="102"/>
        <v>-5.4569999999999936</v>
      </c>
      <c r="Y931" s="159">
        <f t="shared" ca="1" si="98"/>
        <v>-9.327053436771962</v>
      </c>
      <c r="Z931" s="159">
        <f t="shared" ca="1" si="103"/>
        <v>-14.717576365048943</v>
      </c>
      <c r="AA931" s="161">
        <f t="shared" ca="1" si="104"/>
        <v>-1471.7576365048944</v>
      </c>
    </row>
    <row r="932" spans="5:27" x14ac:dyDescent="0.25">
      <c r="E932" s="142"/>
      <c r="F932" s="142"/>
      <c r="T932" s="165">
        <v>920</v>
      </c>
      <c r="U932" s="159">
        <f t="shared" si="99"/>
        <v>149.89150000000001</v>
      </c>
      <c r="V932" s="159">
        <f t="shared" si="100"/>
        <v>42.541499999999999</v>
      </c>
      <c r="W932" s="159">
        <f t="shared" si="101"/>
        <v>-197.89</v>
      </c>
      <c r="X932" s="159">
        <f t="shared" si="102"/>
        <v>-5.4569999999999936</v>
      </c>
      <c r="Y932" s="159">
        <f t="shared" ca="1" si="98"/>
        <v>-9.327053436771962</v>
      </c>
      <c r="Z932" s="159">
        <f t="shared" ca="1" si="103"/>
        <v>-14.717576365048943</v>
      </c>
      <c r="AA932" s="161">
        <f t="shared" ca="1" si="104"/>
        <v>-1471.7576365048944</v>
      </c>
    </row>
    <row r="933" spans="5:27" x14ac:dyDescent="0.25">
      <c r="E933" s="142"/>
      <c r="F933" s="142"/>
      <c r="T933" s="165">
        <v>921</v>
      </c>
      <c r="U933" s="159">
        <f t="shared" si="99"/>
        <v>150.89150000000001</v>
      </c>
      <c r="V933" s="159">
        <f t="shared" si="100"/>
        <v>42.541499999999999</v>
      </c>
      <c r="W933" s="159">
        <f t="shared" si="101"/>
        <v>-198.89</v>
      </c>
      <c r="X933" s="159">
        <f t="shared" si="102"/>
        <v>-5.4569999999999936</v>
      </c>
      <c r="Y933" s="159">
        <f t="shared" ca="1" si="98"/>
        <v>-9.327053436771962</v>
      </c>
      <c r="Z933" s="159">
        <f t="shared" ca="1" si="103"/>
        <v>-14.717576365048943</v>
      </c>
      <c r="AA933" s="161">
        <f t="shared" ca="1" si="104"/>
        <v>-1471.7576365048944</v>
      </c>
    </row>
    <row r="934" spans="5:27" x14ac:dyDescent="0.25">
      <c r="E934" s="142"/>
      <c r="F934" s="142"/>
      <c r="T934" s="165">
        <v>922</v>
      </c>
      <c r="U934" s="159">
        <f t="shared" si="99"/>
        <v>151.89150000000001</v>
      </c>
      <c r="V934" s="159">
        <f t="shared" si="100"/>
        <v>42.541499999999999</v>
      </c>
      <c r="W934" s="159">
        <f t="shared" si="101"/>
        <v>-199.89</v>
      </c>
      <c r="X934" s="159">
        <f t="shared" si="102"/>
        <v>-5.4569999999999936</v>
      </c>
      <c r="Y934" s="159">
        <f t="shared" ca="1" si="98"/>
        <v>-9.327053436771962</v>
      </c>
      <c r="Z934" s="159">
        <f t="shared" ca="1" si="103"/>
        <v>-14.717576365048943</v>
      </c>
      <c r="AA934" s="161">
        <f t="shared" ca="1" si="104"/>
        <v>-1471.7576365048944</v>
      </c>
    </row>
    <row r="935" spans="5:27" x14ac:dyDescent="0.25">
      <c r="E935" s="142"/>
      <c r="F935" s="142"/>
      <c r="T935" s="165">
        <v>923</v>
      </c>
      <c r="U935" s="159">
        <f t="shared" si="99"/>
        <v>152.89150000000001</v>
      </c>
      <c r="V935" s="159">
        <f t="shared" si="100"/>
        <v>42.541499999999999</v>
      </c>
      <c r="W935" s="159">
        <f t="shared" si="101"/>
        <v>-200.89</v>
      </c>
      <c r="X935" s="159">
        <f t="shared" si="102"/>
        <v>-5.4569999999999936</v>
      </c>
      <c r="Y935" s="159">
        <f t="shared" ca="1" si="98"/>
        <v>-9.327053436771962</v>
      </c>
      <c r="Z935" s="159">
        <f t="shared" ca="1" si="103"/>
        <v>-14.717576365048943</v>
      </c>
      <c r="AA935" s="161">
        <f t="shared" ca="1" si="104"/>
        <v>-1471.7576365048944</v>
      </c>
    </row>
    <row r="936" spans="5:27" x14ac:dyDescent="0.25">
      <c r="E936" s="142"/>
      <c r="F936" s="142"/>
      <c r="T936" s="165">
        <v>924</v>
      </c>
      <c r="U936" s="159">
        <f t="shared" si="99"/>
        <v>153.89150000000001</v>
      </c>
      <c r="V936" s="159">
        <f t="shared" si="100"/>
        <v>42.541499999999999</v>
      </c>
      <c r="W936" s="159">
        <f t="shared" si="101"/>
        <v>-201.89</v>
      </c>
      <c r="X936" s="159">
        <f t="shared" si="102"/>
        <v>-5.4569999999999936</v>
      </c>
      <c r="Y936" s="159">
        <f t="shared" ca="1" si="98"/>
        <v>-9.327053436771962</v>
      </c>
      <c r="Z936" s="159">
        <f t="shared" ca="1" si="103"/>
        <v>-14.717576365048943</v>
      </c>
      <c r="AA936" s="161">
        <f t="shared" ca="1" si="104"/>
        <v>-1471.7576365048944</v>
      </c>
    </row>
    <row r="937" spans="5:27" x14ac:dyDescent="0.25">
      <c r="E937" s="142"/>
      <c r="F937" s="142"/>
      <c r="T937" s="165">
        <v>925</v>
      </c>
      <c r="U937" s="159">
        <f t="shared" si="99"/>
        <v>154.89150000000001</v>
      </c>
      <c r="V937" s="159">
        <f t="shared" si="100"/>
        <v>42.541499999999999</v>
      </c>
      <c r="W937" s="159">
        <f t="shared" si="101"/>
        <v>-202.89</v>
      </c>
      <c r="X937" s="159">
        <f t="shared" si="102"/>
        <v>-5.4569999999999936</v>
      </c>
      <c r="Y937" s="159">
        <f t="shared" ca="1" si="98"/>
        <v>-9.327053436771962</v>
      </c>
      <c r="Z937" s="159">
        <f t="shared" ca="1" si="103"/>
        <v>-14.717576365048943</v>
      </c>
      <c r="AA937" s="161">
        <f t="shared" ca="1" si="104"/>
        <v>-1471.7576365048944</v>
      </c>
    </row>
    <row r="938" spans="5:27" x14ac:dyDescent="0.25">
      <c r="E938" s="142"/>
      <c r="F938" s="142"/>
      <c r="T938" s="165">
        <v>926</v>
      </c>
      <c r="U938" s="159">
        <f t="shared" si="99"/>
        <v>155.89150000000001</v>
      </c>
      <c r="V938" s="159">
        <f t="shared" si="100"/>
        <v>42.541499999999999</v>
      </c>
      <c r="W938" s="159">
        <f t="shared" si="101"/>
        <v>-203.89</v>
      </c>
      <c r="X938" s="159">
        <f t="shared" si="102"/>
        <v>-5.4569999999999936</v>
      </c>
      <c r="Y938" s="159">
        <f t="shared" ca="1" si="98"/>
        <v>-9.327053436771962</v>
      </c>
      <c r="Z938" s="159">
        <f t="shared" ca="1" si="103"/>
        <v>-14.717576365048943</v>
      </c>
      <c r="AA938" s="161">
        <f t="shared" ca="1" si="104"/>
        <v>-1471.7576365048944</v>
      </c>
    </row>
    <row r="939" spans="5:27" x14ac:dyDescent="0.25">
      <c r="E939" s="142"/>
      <c r="F939" s="142"/>
      <c r="T939" s="165">
        <v>927</v>
      </c>
      <c r="U939" s="159">
        <f t="shared" si="99"/>
        <v>156.89150000000001</v>
      </c>
      <c r="V939" s="159">
        <f t="shared" si="100"/>
        <v>42.541499999999999</v>
      </c>
      <c r="W939" s="159">
        <f t="shared" si="101"/>
        <v>-204.89</v>
      </c>
      <c r="X939" s="159">
        <f t="shared" si="102"/>
        <v>-5.4569999999999936</v>
      </c>
      <c r="Y939" s="159">
        <f t="shared" ca="1" si="98"/>
        <v>-9.327053436771962</v>
      </c>
      <c r="Z939" s="159">
        <f t="shared" ca="1" si="103"/>
        <v>-14.717576365048943</v>
      </c>
      <c r="AA939" s="161">
        <f t="shared" ca="1" si="104"/>
        <v>-1471.7576365048944</v>
      </c>
    </row>
    <row r="940" spans="5:27" x14ac:dyDescent="0.25">
      <c r="E940" s="142"/>
      <c r="F940" s="142"/>
      <c r="T940" s="165">
        <v>928</v>
      </c>
      <c r="U940" s="159">
        <f t="shared" si="99"/>
        <v>157.89150000000001</v>
      </c>
      <c r="V940" s="159">
        <f t="shared" si="100"/>
        <v>42.541499999999999</v>
      </c>
      <c r="W940" s="159">
        <f t="shared" si="101"/>
        <v>-205.89</v>
      </c>
      <c r="X940" s="159">
        <f t="shared" si="102"/>
        <v>-5.4569999999999936</v>
      </c>
      <c r="Y940" s="159">
        <f t="shared" ca="1" si="98"/>
        <v>-9.327053436771962</v>
      </c>
      <c r="Z940" s="159">
        <f t="shared" ca="1" si="103"/>
        <v>-14.717576365048943</v>
      </c>
      <c r="AA940" s="161">
        <f t="shared" ca="1" si="104"/>
        <v>-1471.7576365048944</v>
      </c>
    </row>
    <row r="941" spans="5:27" x14ac:dyDescent="0.25">
      <c r="E941" s="142"/>
      <c r="F941" s="142"/>
      <c r="T941" s="165">
        <v>929</v>
      </c>
      <c r="U941" s="159">
        <f t="shared" si="99"/>
        <v>158.89150000000001</v>
      </c>
      <c r="V941" s="159">
        <f t="shared" si="100"/>
        <v>42.541499999999999</v>
      </c>
      <c r="W941" s="159">
        <f t="shared" si="101"/>
        <v>-206.89</v>
      </c>
      <c r="X941" s="159">
        <f t="shared" si="102"/>
        <v>-5.4569999999999936</v>
      </c>
      <c r="Y941" s="159">
        <f t="shared" ca="1" si="98"/>
        <v>-9.327053436771962</v>
      </c>
      <c r="Z941" s="159">
        <f t="shared" ca="1" si="103"/>
        <v>-14.717576365048943</v>
      </c>
      <c r="AA941" s="161">
        <f t="shared" ca="1" si="104"/>
        <v>-1471.7576365048944</v>
      </c>
    </row>
    <row r="942" spans="5:27" x14ac:dyDescent="0.25">
      <c r="E942" s="142"/>
      <c r="F942" s="142"/>
      <c r="T942" s="165">
        <v>930</v>
      </c>
      <c r="U942" s="159">
        <f t="shared" si="99"/>
        <v>159.89150000000001</v>
      </c>
      <c r="V942" s="159">
        <f t="shared" si="100"/>
        <v>42.541499999999999</v>
      </c>
      <c r="W942" s="159">
        <f t="shared" si="101"/>
        <v>-207.89</v>
      </c>
      <c r="X942" s="159">
        <f t="shared" si="102"/>
        <v>-5.4569999999999936</v>
      </c>
      <c r="Y942" s="159">
        <f t="shared" ca="1" si="98"/>
        <v>-9.327053436771962</v>
      </c>
      <c r="Z942" s="159">
        <f t="shared" ca="1" si="103"/>
        <v>-14.717576365048943</v>
      </c>
      <c r="AA942" s="161">
        <f t="shared" ca="1" si="104"/>
        <v>-1471.7576365048944</v>
      </c>
    </row>
    <row r="943" spans="5:27" x14ac:dyDescent="0.25">
      <c r="E943" s="142"/>
      <c r="F943" s="142"/>
      <c r="T943" s="165">
        <v>931</v>
      </c>
      <c r="U943" s="159">
        <f t="shared" si="99"/>
        <v>160.89150000000001</v>
      </c>
      <c r="V943" s="159">
        <f t="shared" si="100"/>
        <v>42.541499999999999</v>
      </c>
      <c r="W943" s="159">
        <f t="shared" si="101"/>
        <v>-208.89</v>
      </c>
      <c r="X943" s="159">
        <f t="shared" si="102"/>
        <v>-5.4569999999999936</v>
      </c>
      <c r="Y943" s="159">
        <f t="shared" ca="1" si="98"/>
        <v>-9.327053436771962</v>
      </c>
      <c r="Z943" s="159">
        <f t="shared" ca="1" si="103"/>
        <v>-14.717576365048943</v>
      </c>
      <c r="AA943" s="161">
        <f t="shared" ca="1" si="104"/>
        <v>-1471.7576365048944</v>
      </c>
    </row>
    <row r="944" spans="5:27" x14ac:dyDescent="0.25">
      <c r="E944" s="142"/>
      <c r="F944" s="142"/>
      <c r="T944" s="165">
        <v>932</v>
      </c>
      <c r="U944" s="159">
        <f t="shared" si="99"/>
        <v>161.89150000000001</v>
      </c>
      <c r="V944" s="159">
        <f t="shared" si="100"/>
        <v>42.541499999999999</v>
      </c>
      <c r="W944" s="159">
        <f t="shared" si="101"/>
        <v>-209.89</v>
      </c>
      <c r="X944" s="159">
        <f t="shared" si="102"/>
        <v>-5.4569999999999936</v>
      </c>
      <c r="Y944" s="159">
        <f t="shared" ca="1" si="98"/>
        <v>-9.327053436771962</v>
      </c>
      <c r="Z944" s="159">
        <f t="shared" ca="1" si="103"/>
        <v>-14.717576365048943</v>
      </c>
      <c r="AA944" s="161">
        <f t="shared" ca="1" si="104"/>
        <v>-1471.7576365048944</v>
      </c>
    </row>
    <row r="945" spans="5:27" x14ac:dyDescent="0.25">
      <c r="E945" s="142"/>
      <c r="F945" s="142"/>
      <c r="T945" s="165">
        <v>933</v>
      </c>
      <c r="U945" s="159">
        <f t="shared" si="99"/>
        <v>162.89150000000001</v>
      </c>
      <c r="V945" s="159">
        <f t="shared" si="100"/>
        <v>42.541499999999999</v>
      </c>
      <c r="W945" s="159">
        <f t="shared" si="101"/>
        <v>-210.89</v>
      </c>
      <c r="X945" s="159">
        <f t="shared" si="102"/>
        <v>-5.4569999999999936</v>
      </c>
      <c r="Y945" s="159">
        <f t="shared" ca="1" si="98"/>
        <v>-9.327053436771962</v>
      </c>
      <c r="Z945" s="159">
        <f t="shared" ca="1" si="103"/>
        <v>-14.717576365048943</v>
      </c>
      <c r="AA945" s="161">
        <f t="shared" ca="1" si="104"/>
        <v>-1471.7576365048944</v>
      </c>
    </row>
    <row r="946" spans="5:27" x14ac:dyDescent="0.25">
      <c r="E946" s="142"/>
      <c r="F946" s="142"/>
      <c r="T946" s="165">
        <v>934</v>
      </c>
      <c r="U946" s="159">
        <f t="shared" si="99"/>
        <v>163.89150000000001</v>
      </c>
      <c r="V946" s="159">
        <f t="shared" si="100"/>
        <v>42.541499999999999</v>
      </c>
      <c r="W946" s="159">
        <f t="shared" si="101"/>
        <v>-211.89</v>
      </c>
      <c r="X946" s="159">
        <f t="shared" si="102"/>
        <v>-5.4569999999999936</v>
      </c>
      <c r="Y946" s="159">
        <f t="shared" ca="1" si="98"/>
        <v>-9.327053436771962</v>
      </c>
      <c r="Z946" s="159">
        <f t="shared" ca="1" si="103"/>
        <v>-14.717576365048943</v>
      </c>
      <c r="AA946" s="161">
        <f t="shared" ca="1" si="104"/>
        <v>-1471.7576365048944</v>
      </c>
    </row>
    <row r="947" spans="5:27" x14ac:dyDescent="0.25">
      <c r="E947" s="142"/>
      <c r="F947" s="142"/>
      <c r="T947" s="165">
        <v>935</v>
      </c>
      <c r="U947" s="159">
        <f t="shared" si="99"/>
        <v>164.89150000000001</v>
      </c>
      <c r="V947" s="159">
        <f t="shared" si="100"/>
        <v>42.541499999999999</v>
      </c>
      <c r="W947" s="159">
        <f t="shared" si="101"/>
        <v>-212.89</v>
      </c>
      <c r="X947" s="159">
        <f t="shared" si="102"/>
        <v>-5.4569999999999936</v>
      </c>
      <c r="Y947" s="159">
        <f t="shared" ca="1" si="98"/>
        <v>-9.327053436771962</v>
      </c>
      <c r="Z947" s="159">
        <f t="shared" ca="1" si="103"/>
        <v>-14.717576365048943</v>
      </c>
      <c r="AA947" s="161">
        <f t="shared" ca="1" si="104"/>
        <v>-1471.7576365048944</v>
      </c>
    </row>
    <row r="948" spans="5:27" x14ac:dyDescent="0.25">
      <c r="E948" s="142"/>
      <c r="F948" s="142"/>
      <c r="T948" s="165">
        <v>936</v>
      </c>
      <c r="U948" s="159">
        <f t="shared" si="99"/>
        <v>165.89150000000001</v>
      </c>
      <c r="V948" s="159">
        <f t="shared" si="100"/>
        <v>42.541499999999999</v>
      </c>
      <c r="W948" s="159">
        <f t="shared" si="101"/>
        <v>-213.89</v>
      </c>
      <c r="X948" s="159">
        <f t="shared" si="102"/>
        <v>-5.4569999999999936</v>
      </c>
      <c r="Y948" s="159">
        <f t="shared" ca="1" si="98"/>
        <v>-9.327053436771962</v>
      </c>
      <c r="Z948" s="159">
        <f t="shared" ca="1" si="103"/>
        <v>-14.717576365048943</v>
      </c>
      <c r="AA948" s="161">
        <f t="shared" ca="1" si="104"/>
        <v>-1471.7576365048944</v>
      </c>
    </row>
    <row r="949" spans="5:27" x14ac:dyDescent="0.25">
      <c r="E949" s="142"/>
      <c r="F949" s="142"/>
      <c r="T949" s="165">
        <v>937</v>
      </c>
      <c r="U949" s="159">
        <f t="shared" si="99"/>
        <v>166.89150000000001</v>
      </c>
      <c r="V949" s="159">
        <f t="shared" si="100"/>
        <v>42.541499999999999</v>
      </c>
      <c r="W949" s="159">
        <f t="shared" si="101"/>
        <v>-214.89</v>
      </c>
      <c r="X949" s="159">
        <f t="shared" si="102"/>
        <v>-5.4569999999999936</v>
      </c>
      <c r="Y949" s="159">
        <f t="shared" ca="1" si="98"/>
        <v>-9.327053436771962</v>
      </c>
      <c r="Z949" s="159">
        <f t="shared" ca="1" si="103"/>
        <v>-14.717576365048943</v>
      </c>
      <c r="AA949" s="161">
        <f t="shared" ca="1" si="104"/>
        <v>-1471.7576365048944</v>
      </c>
    </row>
    <row r="950" spans="5:27" x14ac:dyDescent="0.25">
      <c r="E950" s="142"/>
      <c r="F950" s="142"/>
      <c r="T950" s="165">
        <v>938</v>
      </c>
      <c r="U950" s="159">
        <f t="shared" si="99"/>
        <v>167.89150000000001</v>
      </c>
      <c r="V950" s="159">
        <f t="shared" si="100"/>
        <v>42.541499999999999</v>
      </c>
      <c r="W950" s="159">
        <f t="shared" si="101"/>
        <v>-215.89</v>
      </c>
      <c r="X950" s="159">
        <f t="shared" si="102"/>
        <v>-5.4569999999999936</v>
      </c>
      <c r="Y950" s="159">
        <f t="shared" ca="1" si="98"/>
        <v>-9.327053436771962</v>
      </c>
      <c r="Z950" s="159">
        <f t="shared" ca="1" si="103"/>
        <v>-14.717576365048943</v>
      </c>
      <c r="AA950" s="161">
        <f t="shared" ca="1" si="104"/>
        <v>-1471.7576365048944</v>
      </c>
    </row>
    <row r="951" spans="5:27" x14ac:dyDescent="0.25">
      <c r="E951" s="142"/>
      <c r="F951" s="142"/>
      <c r="T951" s="165">
        <v>939</v>
      </c>
      <c r="U951" s="159">
        <f t="shared" si="99"/>
        <v>168.89150000000001</v>
      </c>
      <c r="V951" s="159">
        <f t="shared" si="100"/>
        <v>42.541499999999999</v>
      </c>
      <c r="W951" s="159">
        <f t="shared" si="101"/>
        <v>-216.89</v>
      </c>
      <c r="X951" s="159">
        <f t="shared" si="102"/>
        <v>-5.4569999999999936</v>
      </c>
      <c r="Y951" s="159">
        <f t="shared" ca="1" si="98"/>
        <v>-9.327053436771962</v>
      </c>
      <c r="Z951" s="159">
        <f t="shared" ca="1" si="103"/>
        <v>-14.717576365048943</v>
      </c>
      <c r="AA951" s="161">
        <f t="shared" ca="1" si="104"/>
        <v>-1471.7576365048944</v>
      </c>
    </row>
    <row r="952" spans="5:27" x14ac:dyDescent="0.25">
      <c r="E952" s="142"/>
      <c r="F952" s="142"/>
      <c r="T952" s="165">
        <v>940</v>
      </c>
      <c r="U952" s="159">
        <f t="shared" si="99"/>
        <v>169.89150000000001</v>
      </c>
      <c r="V952" s="159">
        <f t="shared" si="100"/>
        <v>42.541499999999999</v>
      </c>
      <c r="W952" s="159">
        <f t="shared" si="101"/>
        <v>-217.89</v>
      </c>
      <c r="X952" s="159">
        <f t="shared" si="102"/>
        <v>-5.4569999999999936</v>
      </c>
      <c r="Y952" s="159">
        <f t="shared" ca="1" si="98"/>
        <v>-9.327053436771962</v>
      </c>
      <c r="Z952" s="159">
        <f t="shared" ca="1" si="103"/>
        <v>-14.717576365048943</v>
      </c>
      <c r="AA952" s="161">
        <f t="shared" ca="1" si="104"/>
        <v>-1471.7576365048944</v>
      </c>
    </row>
    <row r="953" spans="5:27" x14ac:dyDescent="0.25">
      <c r="E953" s="142"/>
      <c r="F953" s="142"/>
      <c r="T953" s="165">
        <v>941</v>
      </c>
      <c r="U953" s="159">
        <f t="shared" si="99"/>
        <v>170.89150000000001</v>
      </c>
      <c r="V953" s="159">
        <f t="shared" si="100"/>
        <v>42.541499999999999</v>
      </c>
      <c r="W953" s="159">
        <f t="shared" si="101"/>
        <v>-218.89</v>
      </c>
      <c r="X953" s="159">
        <f t="shared" si="102"/>
        <v>-5.4569999999999936</v>
      </c>
      <c r="Y953" s="159">
        <f t="shared" ca="1" si="98"/>
        <v>-9.327053436771962</v>
      </c>
      <c r="Z953" s="159">
        <f t="shared" ca="1" si="103"/>
        <v>-14.717576365048943</v>
      </c>
      <c r="AA953" s="161">
        <f t="shared" ca="1" si="104"/>
        <v>-1471.7576365048944</v>
      </c>
    </row>
    <row r="954" spans="5:27" x14ac:dyDescent="0.25">
      <c r="E954" s="142"/>
      <c r="F954" s="142"/>
      <c r="T954" s="165">
        <v>942</v>
      </c>
      <c r="U954" s="159">
        <f t="shared" si="99"/>
        <v>171.89150000000001</v>
      </c>
      <c r="V954" s="159">
        <f t="shared" si="100"/>
        <v>42.541499999999999</v>
      </c>
      <c r="W954" s="159">
        <f t="shared" si="101"/>
        <v>-219.89</v>
      </c>
      <c r="X954" s="159">
        <f t="shared" si="102"/>
        <v>-5.4569999999999936</v>
      </c>
      <c r="Y954" s="159">
        <f t="shared" ca="1" si="98"/>
        <v>-9.327053436771962</v>
      </c>
      <c r="Z954" s="159">
        <f t="shared" ca="1" si="103"/>
        <v>-14.717576365048943</v>
      </c>
      <c r="AA954" s="161">
        <f t="shared" ca="1" si="104"/>
        <v>-1471.7576365048944</v>
      </c>
    </row>
    <row r="955" spans="5:27" x14ac:dyDescent="0.25">
      <c r="E955" s="142"/>
      <c r="F955" s="142"/>
      <c r="T955" s="165">
        <v>943</v>
      </c>
      <c r="U955" s="159">
        <f t="shared" si="99"/>
        <v>172.89150000000001</v>
      </c>
      <c r="V955" s="159">
        <f t="shared" si="100"/>
        <v>42.541499999999999</v>
      </c>
      <c r="W955" s="159">
        <f t="shared" si="101"/>
        <v>-220.89</v>
      </c>
      <c r="X955" s="159">
        <f t="shared" si="102"/>
        <v>-5.4569999999999936</v>
      </c>
      <c r="Y955" s="159">
        <f t="shared" ca="1" si="98"/>
        <v>-9.327053436771962</v>
      </c>
      <c r="Z955" s="159">
        <f t="shared" ca="1" si="103"/>
        <v>-14.717576365048943</v>
      </c>
      <c r="AA955" s="161">
        <f t="shared" ca="1" si="104"/>
        <v>-1471.7576365048944</v>
      </c>
    </row>
    <row r="956" spans="5:27" x14ac:dyDescent="0.25">
      <c r="E956" s="142"/>
      <c r="F956" s="142"/>
      <c r="T956" s="165">
        <v>944</v>
      </c>
      <c r="U956" s="159">
        <f t="shared" si="99"/>
        <v>173.89150000000001</v>
      </c>
      <c r="V956" s="159">
        <f t="shared" si="100"/>
        <v>42.541499999999999</v>
      </c>
      <c r="W956" s="159">
        <f t="shared" si="101"/>
        <v>-221.89</v>
      </c>
      <c r="X956" s="159">
        <f t="shared" si="102"/>
        <v>-5.4569999999999936</v>
      </c>
      <c r="Y956" s="159">
        <f t="shared" ca="1" si="98"/>
        <v>-9.327053436771962</v>
      </c>
      <c r="Z956" s="159">
        <f t="shared" ca="1" si="103"/>
        <v>-14.717576365048943</v>
      </c>
      <c r="AA956" s="161">
        <f t="shared" ca="1" si="104"/>
        <v>-1471.7576365048944</v>
      </c>
    </row>
    <row r="957" spans="5:27" x14ac:dyDescent="0.25">
      <c r="E957" s="142"/>
      <c r="F957" s="142"/>
      <c r="T957" s="165">
        <v>945</v>
      </c>
      <c r="U957" s="159">
        <f t="shared" si="99"/>
        <v>174.89150000000001</v>
      </c>
      <c r="V957" s="159">
        <f t="shared" si="100"/>
        <v>42.541499999999999</v>
      </c>
      <c r="W957" s="159">
        <f t="shared" si="101"/>
        <v>-222.89</v>
      </c>
      <c r="X957" s="159">
        <f t="shared" si="102"/>
        <v>-5.4569999999999936</v>
      </c>
      <c r="Y957" s="159">
        <f t="shared" ca="1" si="98"/>
        <v>-9.327053436771962</v>
      </c>
      <c r="Z957" s="159">
        <f t="shared" ca="1" si="103"/>
        <v>-14.717576365048943</v>
      </c>
      <c r="AA957" s="161">
        <f t="shared" ca="1" si="104"/>
        <v>-1471.7576365048944</v>
      </c>
    </row>
    <row r="958" spans="5:27" x14ac:dyDescent="0.25">
      <c r="E958" s="142"/>
      <c r="F958" s="142"/>
      <c r="T958" s="165">
        <v>946</v>
      </c>
      <c r="U958" s="159">
        <f t="shared" si="99"/>
        <v>175.89150000000001</v>
      </c>
      <c r="V958" s="159">
        <f t="shared" si="100"/>
        <v>42.541499999999999</v>
      </c>
      <c r="W958" s="159">
        <f t="shared" si="101"/>
        <v>-223.89</v>
      </c>
      <c r="X958" s="159">
        <f t="shared" si="102"/>
        <v>-5.4569999999999936</v>
      </c>
      <c r="Y958" s="159">
        <f t="shared" ca="1" si="98"/>
        <v>-9.327053436771962</v>
      </c>
      <c r="Z958" s="159">
        <f t="shared" ca="1" si="103"/>
        <v>-14.717576365048943</v>
      </c>
      <c r="AA958" s="161">
        <f t="shared" ca="1" si="104"/>
        <v>-1471.7576365048944</v>
      </c>
    </row>
    <row r="959" spans="5:27" x14ac:dyDescent="0.25">
      <c r="E959" s="142"/>
      <c r="F959" s="142"/>
      <c r="T959" s="165">
        <v>947</v>
      </c>
      <c r="U959" s="159">
        <f t="shared" si="99"/>
        <v>176.89150000000001</v>
      </c>
      <c r="V959" s="159">
        <f t="shared" si="100"/>
        <v>42.541499999999999</v>
      </c>
      <c r="W959" s="159">
        <f t="shared" si="101"/>
        <v>-224.89</v>
      </c>
      <c r="X959" s="159">
        <f t="shared" si="102"/>
        <v>-5.4569999999999936</v>
      </c>
      <c r="Y959" s="159">
        <f t="shared" ca="1" si="98"/>
        <v>-9.327053436771962</v>
      </c>
      <c r="Z959" s="159">
        <f t="shared" ca="1" si="103"/>
        <v>-14.717576365048943</v>
      </c>
      <c r="AA959" s="161">
        <f t="shared" ca="1" si="104"/>
        <v>-1471.7576365048944</v>
      </c>
    </row>
    <row r="960" spans="5:27" x14ac:dyDescent="0.25">
      <c r="E960" s="142"/>
      <c r="F960" s="142"/>
      <c r="T960" s="165">
        <v>948</v>
      </c>
      <c r="U960" s="159">
        <f t="shared" si="99"/>
        <v>177.89150000000001</v>
      </c>
      <c r="V960" s="159">
        <f t="shared" si="100"/>
        <v>42.541499999999999</v>
      </c>
      <c r="W960" s="159">
        <f t="shared" si="101"/>
        <v>-225.89</v>
      </c>
      <c r="X960" s="159">
        <f t="shared" si="102"/>
        <v>-5.4569999999999936</v>
      </c>
      <c r="Y960" s="159">
        <f t="shared" ca="1" si="98"/>
        <v>-9.327053436771962</v>
      </c>
      <c r="Z960" s="159">
        <f t="shared" ca="1" si="103"/>
        <v>-14.717576365048943</v>
      </c>
      <c r="AA960" s="161">
        <f t="shared" ca="1" si="104"/>
        <v>-1471.7576365048944</v>
      </c>
    </row>
    <row r="961" spans="5:27" x14ac:dyDescent="0.25">
      <c r="E961" s="142"/>
      <c r="F961" s="142"/>
      <c r="T961" s="165">
        <v>949</v>
      </c>
      <c r="U961" s="159">
        <f t="shared" si="99"/>
        <v>178.89150000000001</v>
      </c>
      <c r="V961" s="159">
        <f t="shared" si="100"/>
        <v>42.541499999999999</v>
      </c>
      <c r="W961" s="159">
        <f t="shared" si="101"/>
        <v>-226.89</v>
      </c>
      <c r="X961" s="159">
        <f t="shared" si="102"/>
        <v>-5.4569999999999936</v>
      </c>
      <c r="Y961" s="159">
        <f t="shared" ca="1" si="98"/>
        <v>-9.327053436771962</v>
      </c>
      <c r="Z961" s="159">
        <f t="shared" ca="1" si="103"/>
        <v>-14.717576365048943</v>
      </c>
      <c r="AA961" s="161">
        <f t="shared" ca="1" si="104"/>
        <v>-1471.7576365048944</v>
      </c>
    </row>
    <row r="962" spans="5:27" x14ac:dyDescent="0.25">
      <c r="E962" s="142"/>
      <c r="F962" s="142"/>
      <c r="T962" s="165">
        <v>950</v>
      </c>
      <c r="U962" s="159">
        <f t="shared" si="99"/>
        <v>179.89150000000001</v>
      </c>
      <c r="V962" s="159">
        <f t="shared" si="100"/>
        <v>42.541499999999999</v>
      </c>
      <c r="W962" s="159">
        <f t="shared" si="101"/>
        <v>-227.89</v>
      </c>
      <c r="X962" s="159">
        <f t="shared" si="102"/>
        <v>-5.4569999999999936</v>
      </c>
      <c r="Y962" s="159">
        <f t="shared" ca="1" si="98"/>
        <v>-9.327053436771962</v>
      </c>
      <c r="Z962" s="159">
        <f t="shared" ca="1" si="103"/>
        <v>-14.717576365048943</v>
      </c>
      <c r="AA962" s="161">
        <f t="shared" ca="1" si="104"/>
        <v>-1471.7576365048944</v>
      </c>
    </row>
    <row r="963" spans="5:27" x14ac:dyDescent="0.25">
      <c r="E963" s="142"/>
      <c r="F963" s="142"/>
      <c r="T963" s="165">
        <v>951</v>
      </c>
      <c r="U963" s="159">
        <f t="shared" si="99"/>
        <v>180.89150000000001</v>
      </c>
      <c r="V963" s="159">
        <f t="shared" si="100"/>
        <v>42.541499999999999</v>
      </c>
      <c r="W963" s="159">
        <f t="shared" si="101"/>
        <v>-228.89</v>
      </c>
      <c r="X963" s="159">
        <f t="shared" si="102"/>
        <v>-5.4569999999999936</v>
      </c>
      <c r="Y963" s="159">
        <f t="shared" ca="1" si="98"/>
        <v>-9.327053436771962</v>
      </c>
      <c r="Z963" s="159">
        <f t="shared" ca="1" si="103"/>
        <v>-14.717576365048943</v>
      </c>
      <c r="AA963" s="161">
        <f t="shared" ca="1" si="104"/>
        <v>-1471.7576365048944</v>
      </c>
    </row>
    <row r="964" spans="5:27" x14ac:dyDescent="0.25">
      <c r="E964" s="142"/>
      <c r="F964" s="142"/>
      <c r="T964" s="165">
        <v>952</v>
      </c>
      <c r="U964" s="159">
        <f t="shared" si="99"/>
        <v>181.89150000000001</v>
      </c>
      <c r="V964" s="159">
        <f t="shared" si="100"/>
        <v>42.541499999999999</v>
      </c>
      <c r="W964" s="159">
        <f t="shared" si="101"/>
        <v>-229.89</v>
      </c>
      <c r="X964" s="159">
        <f t="shared" si="102"/>
        <v>-5.4569999999999936</v>
      </c>
      <c r="Y964" s="159">
        <f t="shared" ca="1" si="98"/>
        <v>-9.327053436771962</v>
      </c>
      <c r="Z964" s="159">
        <f t="shared" ca="1" si="103"/>
        <v>-14.717576365048943</v>
      </c>
      <c r="AA964" s="161">
        <f t="shared" ca="1" si="104"/>
        <v>-1471.7576365048944</v>
      </c>
    </row>
    <row r="965" spans="5:27" x14ac:dyDescent="0.25">
      <c r="E965" s="142"/>
      <c r="F965" s="142"/>
      <c r="T965" s="165">
        <v>953</v>
      </c>
      <c r="U965" s="159">
        <f t="shared" si="99"/>
        <v>182.89150000000001</v>
      </c>
      <c r="V965" s="159">
        <f t="shared" si="100"/>
        <v>42.541499999999999</v>
      </c>
      <c r="W965" s="159">
        <f t="shared" si="101"/>
        <v>-230.89</v>
      </c>
      <c r="X965" s="159">
        <f t="shared" si="102"/>
        <v>-5.4569999999999936</v>
      </c>
      <c r="Y965" s="159">
        <f t="shared" ca="1" si="98"/>
        <v>-9.327053436771962</v>
      </c>
      <c r="Z965" s="159">
        <f t="shared" ca="1" si="103"/>
        <v>-14.717576365048943</v>
      </c>
      <c r="AA965" s="161">
        <f t="shared" ca="1" si="104"/>
        <v>-1471.7576365048944</v>
      </c>
    </row>
    <row r="966" spans="5:27" x14ac:dyDescent="0.25">
      <c r="E966" s="142"/>
      <c r="F966" s="142"/>
      <c r="T966" s="165">
        <v>954</v>
      </c>
      <c r="U966" s="159">
        <f t="shared" si="99"/>
        <v>183.89150000000001</v>
      </c>
      <c r="V966" s="159">
        <f t="shared" si="100"/>
        <v>42.541499999999999</v>
      </c>
      <c r="W966" s="159">
        <f t="shared" si="101"/>
        <v>-231.89</v>
      </c>
      <c r="X966" s="159">
        <f t="shared" si="102"/>
        <v>-5.4569999999999936</v>
      </c>
      <c r="Y966" s="159">
        <f t="shared" ca="1" si="98"/>
        <v>-9.327053436771962</v>
      </c>
      <c r="Z966" s="159">
        <f t="shared" ca="1" si="103"/>
        <v>-14.717576365048943</v>
      </c>
      <c r="AA966" s="161">
        <f t="shared" ca="1" si="104"/>
        <v>-1471.7576365048944</v>
      </c>
    </row>
    <row r="967" spans="5:27" x14ac:dyDescent="0.25">
      <c r="E967" s="142"/>
      <c r="F967" s="142"/>
      <c r="T967" s="165">
        <v>955</v>
      </c>
      <c r="U967" s="159">
        <f t="shared" si="99"/>
        <v>184.89150000000001</v>
      </c>
      <c r="V967" s="159">
        <f t="shared" si="100"/>
        <v>42.541499999999999</v>
      </c>
      <c r="W967" s="159">
        <f t="shared" si="101"/>
        <v>-232.89</v>
      </c>
      <c r="X967" s="159">
        <f t="shared" si="102"/>
        <v>-5.4569999999999936</v>
      </c>
      <c r="Y967" s="159">
        <f t="shared" ca="1" si="98"/>
        <v>-9.327053436771962</v>
      </c>
      <c r="Z967" s="159">
        <f t="shared" ca="1" si="103"/>
        <v>-14.717576365048943</v>
      </c>
      <c r="AA967" s="161">
        <f t="shared" ca="1" si="104"/>
        <v>-1471.7576365048944</v>
      </c>
    </row>
    <row r="968" spans="5:27" x14ac:dyDescent="0.25">
      <c r="E968" s="142"/>
      <c r="F968" s="142"/>
      <c r="T968" s="165">
        <v>956</v>
      </c>
      <c r="U968" s="159">
        <f t="shared" si="99"/>
        <v>185.89150000000001</v>
      </c>
      <c r="V968" s="159">
        <f t="shared" si="100"/>
        <v>42.541499999999999</v>
      </c>
      <c r="W968" s="159">
        <f t="shared" si="101"/>
        <v>-233.89</v>
      </c>
      <c r="X968" s="159">
        <f t="shared" si="102"/>
        <v>-5.4569999999999936</v>
      </c>
      <c r="Y968" s="159">
        <f t="shared" ca="1" si="98"/>
        <v>-9.327053436771962</v>
      </c>
      <c r="Z968" s="159">
        <f t="shared" ca="1" si="103"/>
        <v>-14.717576365048943</v>
      </c>
      <c r="AA968" s="161">
        <f t="shared" ca="1" si="104"/>
        <v>-1471.7576365048944</v>
      </c>
    </row>
    <row r="969" spans="5:27" x14ac:dyDescent="0.25">
      <c r="E969" s="142"/>
      <c r="F969" s="142"/>
      <c r="T969" s="165">
        <v>957</v>
      </c>
      <c r="U969" s="159">
        <f t="shared" si="99"/>
        <v>186.89150000000001</v>
      </c>
      <c r="V969" s="159">
        <f t="shared" si="100"/>
        <v>42.541499999999999</v>
      </c>
      <c r="W969" s="159">
        <f t="shared" si="101"/>
        <v>-234.89</v>
      </c>
      <c r="X969" s="159">
        <f t="shared" si="102"/>
        <v>-5.4569999999999936</v>
      </c>
      <c r="Y969" s="159">
        <f t="shared" ca="1" si="98"/>
        <v>-9.327053436771962</v>
      </c>
      <c r="Z969" s="159">
        <f t="shared" ca="1" si="103"/>
        <v>-14.717576365048943</v>
      </c>
      <c r="AA969" s="161">
        <f t="shared" ca="1" si="104"/>
        <v>-1471.7576365048944</v>
      </c>
    </row>
    <row r="970" spans="5:27" x14ac:dyDescent="0.25">
      <c r="E970" s="142"/>
      <c r="F970" s="142"/>
      <c r="T970" s="165">
        <v>958</v>
      </c>
      <c r="U970" s="159">
        <f t="shared" si="99"/>
        <v>187.89150000000001</v>
      </c>
      <c r="V970" s="159">
        <f t="shared" si="100"/>
        <v>42.541499999999999</v>
      </c>
      <c r="W970" s="159">
        <f t="shared" si="101"/>
        <v>-235.89</v>
      </c>
      <c r="X970" s="159">
        <f t="shared" si="102"/>
        <v>-5.4569999999999936</v>
      </c>
      <c r="Y970" s="159">
        <f t="shared" ca="1" si="98"/>
        <v>-9.327053436771962</v>
      </c>
      <c r="Z970" s="159">
        <f t="shared" ca="1" si="103"/>
        <v>-14.717576365048943</v>
      </c>
      <c r="AA970" s="161">
        <f t="shared" ca="1" si="104"/>
        <v>-1471.7576365048944</v>
      </c>
    </row>
    <row r="971" spans="5:27" x14ac:dyDescent="0.25">
      <c r="E971" s="142"/>
      <c r="F971" s="142"/>
      <c r="T971" s="165">
        <v>959</v>
      </c>
      <c r="U971" s="159">
        <f t="shared" si="99"/>
        <v>188.89150000000001</v>
      </c>
      <c r="V971" s="159">
        <f t="shared" si="100"/>
        <v>42.541499999999999</v>
      </c>
      <c r="W971" s="159">
        <f t="shared" si="101"/>
        <v>-236.89</v>
      </c>
      <c r="X971" s="159">
        <f t="shared" si="102"/>
        <v>-5.4569999999999936</v>
      </c>
      <c r="Y971" s="159">
        <f t="shared" ca="1" si="98"/>
        <v>-9.327053436771962</v>
      </c>
      <c r="Z971" s="159">
        <f t="shared" ca="1" si="103"/>
        <v>-14.717576365048943</v>
      </c>
      <c r="AA971" s="161">
        <f t="shared" ca="1" si="104"/>
        <v>-1471.7576365048944</v>
      </c>
    </row>
    <row r="972" spans="5:27" x14ac:dyDescent="0.25">
      <c r="E972" s="142"/>
      <c r="F972" s="142"/>
      <c r="T972" s="165">
        <v>960</v>
      </c>
      <c r="U972" s="159">
        <f t="shared" si="99"/>
        <v>189.89150000000001</v>
      </c>
      <c r="V972" s="159">
        <f t="shared" si="100"/>
        <v>42.541499999999999</v>
      </c>
      <c r="W972" s="159">
        <f t="shared" si="101"/>
        <v>-237.89</v>
      </c>
      <c r="X972" s="159">
        <f t="shared" si="102"/>
        <v>-5.4569999999999936</v>
      </c>
      <c r="Y972" s="159">
        <f t="shared" ref="Y972:Y1035" ca="1" si="105">$Y$10*EXP($Y$7*$C$6)-$Y$10</f>
        <v>-9.327053436771962</v>
      </c>
      <c r="Z972" s="159">
        <f t="shared" ca="1" si="103"/>
        <v>-14.717576365048943</v>
      </c>
      <c r="AA972" s="161">
        <f t="shared" ca="1" si="104"/>
        <v>-1471.7576365048944</v>
      </c>
    </row>
    <row r="973" spans="5:27" x14ac:dyDescent="0.25">
      <c r="E973" s="142"/>
      <c r="F973" s="142"/>
      <c r="T973" s="165">
        <v>961</v>
      </c>
      <c r="U973" s="159">
        <f t="shared" ref="U973:U1036" si="106">MAX(0,T973-$U$9)-$U$10-$U$11/100</f>
        <v>190.89150000000001</v>
      </c>
      <c r="V973" s="159">
        <f t="shared" ref="V973:V1036" si="107">$V$10-MAX(0,$V$9-T973)-$V$11/100</f>
        <v>42.541499999999999</v>
      </c>
      <c r="W973" s="159">
        <f t="shared" ref="W973:W1036" si="108">$W$10-T973</f>
        <v>-238.89</v>
      </c>
      <c r="X973" s="159">
        <f t="shared" ref="X973:X1036" si="109">SUM(U973:W973)</f>
        <v>-5.4569999999999936</v>
      </c>
      <c r="Y973" s="159">
        <f t="shared" ca="1" si="105"/>
        <v>-9.327053436771962</v>
      </c>
      <c r="Z973" s="159">
        <f t="shared" ref="Z973:Z1036" ca="1" si="110">EXP(-$E$3*$C$6)*SUM(X973:Y973)</f>
        <v>-14.717576365048943</v>
      </c>
      <c r="AA973" s="161">
        <f t="shared" ref="AA973:AA1036" ca="1" si="111">Z973*100</f>
        <v>-1471.7576365048944</v>
      </c>
    </row>
    <row r="974" spans="5:27" x14ac:dyDescent="0.25">
      <c r="E974" s="142"/>
      <c r="F974" s="142"/>
      <c r="T974" s="165">
        <v>962</v>
      </c>
      <c r="U974" s="159">
        <f t="shared" si="106"/>
        <v>191.89150000000001</v>
      </c>
      <c r="V974" s="159">
        <f t="shared" si="107"/>
        <v>42.541499999999999</v>
      </c>
      <c r="W974" s="159">
        <f t="shared" si="108"/>
        <v>-239.89</v>
      </c>
      <c r="X974" s="159">
        <f t="shared" si="109"/>
        <v>-5.4569999999999936</v>
      </c>
      <c r="Y974" s="159">
        <f t="shared" ca="1" si="105"/>
        <v>-9.327053436771962</v>
      </c>
      <c r="Z974" s="159">
        <f t="shared" ca="1" si="110"/>
        <v>-14.717576365048943</v>
      </c>
      <c r="AA974" s="161">
        <f t="shared" ca="1" si="111"/>
        <v>-1471.7576365048944</v>
      </c>
    </row>
    <row r="975" spans="5:27" x14ac:dyDescent="0.25">
      <c r="E975" s="142"/>
      <c r="F975" s="142"/>
      <c r="T975" s="165">
        <v>963</v>
      </c>
      <c r="U975" s="159">
        <f t="shared" si="106"/>
        <v>192.89150000000001</v>
      </c>
      <c r="V975" s="159">
        <f t="shared" si="107"/>
        <v>42.541499999999999</v>
      </c>
      <c r="W975" s="159">
        <f t="shared" si="108"/>
        <v>-240.89</v>
      </c>
      <c r="X975" s="159">
        <f t="shared" si="109"/>
        <v>-5.4569999999999936</v>
      </c>
      <c r="Y975" s="159">
        <f t="shared" ca="1" si="105"/>
        <v>-9.327053436771962</v>
      </c>
      <c r="Z975" s="159">
        <f t="shared" ca="1" si="110"/>
        <v>-14.717576365048943</v>
      </c>
      <c r="AA975" s="161">
        <f t="shared" ca="1" si="111"/>
        <v>-1471.7576365048944</v>
      </c>
    </row>
    <row r="976" spans="5:27" x14ac:dyDescent="0.25">
      <c r="E976" s="142"/>
      <c r="F976" s="142"/>
      <c r="T976" s="165">
        <v>964</v>
      </c>
      <c r="U976" s="159">
        <f t="shared" si="106"/>
        <v>193.89150000000001</v>
      </c>
      <c r="V976" s="159">
        <f t="shared" si="107"/>
        <v>42.541499999999999</v>
      </c>
      <c r="W976" s="159">
        <f t="shared" si="108"/>
        <v>-241.89</v>
      </c>
      <c r="X976" s="159">
        <f t="shared" si="109"/>
        <v>-5.4569999999999936</v>
      </c>
      <c r="Y976" s="159">
        <f t="shared" ca="1" si="105"/>
        <v>-9.327053436771962</v>
      </c>
      <c r="Z976" s="159">
        <f t="shared" ca="1" si="110"/>
        <v>-14.717576365048943</v>
      </c>
      <c r="AA976" s="161">
        <f t="shared" ca="1" si="111"/>
        <v>-1471.7576365048944</v>
      </c>
    </row>
    <row r="977" spans="5:27" x14ac:dyDescent="0.25">
      <c r="E977" s="142"/>
      <c r="F977" s="142"/>
      <c r="T977" s="165">
        <v>965</v>
      </c>
      <c r="U977" s="159">
        <f t="shared" si="106"/>
        <v>194.89150000000001</v>
      </c>
      <c r="V977" s="159">
        <f t="shared" si="107"/>
        <v>42.541499999999999</v>
      </c>
      <c r="W977" s="159">
        <f t="shared" si="108"/>
        <v>-242.89</v>
      </c>
      <c r="X977" s="159">
        <f t="shared" si="109"/>
        <v>-5.4569999999999936</v>
      </c>
      <c r="Y977" s="159">
        <f t="shared" ca="1" si="105"/>
        <v>-9.327053436771962</v>
      </c>
      <c r="Z977" s="159">
        <f t="shared" ca="1" si="110"/>
        <v>-14.717576365048943</v>
      </c>
      <c r="AA977" s="161">
        <f t="shared" ca="1" si="111"/>
        <v>-1471.7576365048944</v>
      </c>
    </row>
    <row r="978" spans="5:27" x14ac:dyDescent="0.25">
      <c r="E978" s="142"/>
      <c r="F978" s="142"/>
      <c r="T978" s="165">
        <v>966</v>
      </c>
      <c r="U978" s="159">
        <f t="shared" si="106"/>
        <v>195.89150000000001</v>
      </c>
      <c r="V978" s="159">
        <f t="shared" si="107"/>
        <v>42.541499999999999</v>
      </c>
      <c r="W978" s="159">
        <f t="shared" si="108"/>
        <v>-243.89</v>
      </c>
      <c r="X978" s="159">
        <f t="shared" si="109"/>
        <v>-5.4569999999999936</v>
      </c>
      <c r="Y978" s="159">
        <f t="shared" ca="1" si="105"/>
        <v>-9.327053436771962</v>
      </c>
      <c r="Z978" s="159">
        <f t="shared" ca="1" si="110"/>
        <v>-14.717576365048943</v>
      </c>
      <c r="AA978" s="161">
        <f t="shared" ca="1" si="111"/>
        <v>-1471.7576365048944</v>
      </c>
    </row>
    <row r="979" spans="5:27" x14ac:dyDescent="0.25">
      <c r="E979" s="142"/>
      <c r="F979" s="142"/>
      <c r="T979" s="165">
        <v>967</v>
      </c>
      <c r="U979" s="159">
        <f t="shared" si="106"/>
        <v>196.89150000000001</v>
      </c>
      <c r="V979" s="159">
        <f t="shared" si="107"/>
        <v>42.541499999999999</v>
      </c>
      <c r="W979" s="159">
        <f t="shared" si="108"/>
        <v>-244.89</v>
      </c>
      <c r="X979" s="159">
        <f t="shared" si="109"/>
        <v>-5.4569999999999936</v>
      </c>
      <c r="Y979" s="159">
        <f t="shared" ca="1" si="105"/>
        <v>-9.327053436771962</v>
      </c>
      <c r="Z979" s="159">
        <f t="shared" ca="1" si="110"/>
        <v>-14.717576365048943</v>
      </c>
      <c r="AA979" s="161">
        <f t="shared" ca="1" si="111"/>
        <v>-1471.7576365048944</v>
      </c>
    </row>
    <row r="980" spans="5:27" x14ac:dyDescent="0.25">
      <c r="E980" s="142"/>
      <c r="F980" s="142"/>
      <c r="T980" s="165">
        <v>968</v>
      </c>
      <c r="U980" s="159">
        <f t="shared" si="106"/>
        <v>197.89150000000001</v>
      </c>
      <c r="V980" s="159">
        <f t="shared" si="107"/>
        <v>42.541499999999999</v>
      </c>
      <c r="W980" s="159">
        <f t="shared" si="108"/>
        <v>-245.89</v>
      </c>
      <c r="X980" s="159">
        <f t="shared" si="109"/>
        <v>-5.4569999999999936</v>
      </c>
      <c r="Y980" s="159">
        <f t="shared" ca="1" si="105"/>
        <v>-9.327053436771962</v>
      </c>
      <c r="Z980" s="159">
        <f t="shared" ca="1" si="110"/>
        <v>-14.717576365048943</v>
      </c>
      <c r="AA980" s="161">
        <f t="shared" ca="1" si="111"/>
        <v>-1471.7576365048944</v>
      </c>
    </row>
    <row r="981" spans="5:27" x14ac:dyDescent="0.25">
      <c r="E981" s="142"/>
      <c r="F981" s="142"/>
      <c r="T981" s="165">
        <v>969</v>
      </c>
      <c r="U981" s="159">
        <f t="shared" si="106"/>
        <v>198.89150000000001</v>
      </c>
      <c r="V981" s="159">
        <f t="shared" si="107"/>
        <v>42.541499999999999</v>
      </c>
      <c r="W981" s="159">
        <f t="shared" si="108"/>
        <v>-246.89</v>
      </c>
      <c r="X981" s="159">
        <f t="shared" si="109"/>
        <v>-5.4569999999999936</v>
      </c>
      <c r="Y981" s="159">
        <f t="shared" ca="1" si="105"/>
        <v>-9.327053436771962</v>
      </c>
      <c r="Z981" s="159">
        <f t="shared" ca="1" si="110"/>
        <v>-14.717576365048943</v>
      </c>
      <c r="AA981" s="161">
        <f t="shared" ca="1" si="111"/>
        <v>-1471.7576365048944</v>
      </c>
    </row>
    <row r="982" spans="5:27" x14ac:dyDescent="0.25">
      <c r="E982" s="142"/>
      <c r="F982" s="142"/>
      <c r="T982" s="165">
        <v>970</v>
      </c>
      <c r="U982" s="159">
        <f t="shared" si="106"/>
        <v>199.89150000000001</v>
      </c>
      <c r="V982" s="159">
        <f t="shared" si="107"/>
        <v>42.541499999999999</v>
      </c>
      <c r="W982" s="159">
        <f t="shared" si="108"/>
        <v>-247.89</v>
      </c>
      <c r="X982" s="159">
        <f t="shared" si="109"/>
        <v>-5.4569999999999936</v>
      </c>
      <c r="Y982" s="159">
        <f t="shared" ca="1" si="105"/>
        <v>-9.327053436771962</v>
      </c>
      <c r="Z982" s="159">
        <f t="shared" ca="1" si="110"/>
        <v>-14.717576365048943</v>
      </c>
      <c r="AA982" s="161">
        <f t="shared" ca="1" si="111"/>
        <v>-1471.7576365048944</v>
      </c>
    </row>
    <row r="983" spans="5:27" x14ac:dyDescent="0.25">
      <c r="E983" s="142"/>
      <c r="F983" s="142"/>
      <c r="T983" s="165">
        <v>971</v>
      </c>
      <c r="U983" s="159">
        <f t="shared" si="106"/>
        <v>200.89150000000001</v>
      </c>
      <c r="V983" s="159">
        <f t="shared" si="107"/>
        <v>42.541499999999999</v>
      </c>
      <c r="W983" s="159">
        <f t="shared" si="108"/>
        <v>-248.89</v>
      </c>
      <c r="X983" s="159">
        <f t="shared" si="109"/>
        <v>-5.4569999999999936</v>
      </c>
      <c r="Y983" s="159">
        <f t="shared" ca="1" si="105"/>
        <v>-9.327053436771962</v>
      </c>
      <c r="Z983" s="159">
        <f t="shared" ca="1" si="110"/>
        <v>-14.717576365048943</v>
      </c>
      <c r="AA983" s="161">
        <f t="shared" ca="1" si="111"/>
        <v>-1471.7576365048944</v>
      </c>
    </row>
    <row r="984" spans="5:27" x14ac:dyDescent="0.25">
      <c r="E984" s="142"/>
      <c r="F984" s="142"/>
      <c r="T984" s="165">
        <v>972</v>
      </c>
      <c r="U984" s="159">
        <f t="shared" si="106"/>
        <v>201.89150000000001</v>
      </c>
      <c r="V984" s="159">
        <f t="shared" si="107"/>
        <v>42.541499999999999</v>
      </c>
      <c r="W984" s="159">
        <f t="shared" si="108"/>
        <v>-249.89</v>
      </c>
      <c r="X984" s="159">
        <f t="shared" si="109"/>
        <v>-5.4569999999999936</v>
      </c>
      <c r="Y984" s="159">
        <f t="shared" ca="1" si="105"/>
        <v>-9.327053436771962</v>
      </c>
      <c r="Z984" s="159">
        <f t="shared" ca="1" si="110"/>
        <v>-14.717576365048943</v>
      </c>
      <c r="AA984" s="161">
        <f t="shared" ca="1" si="111"/>
        <v>-1471.7576365048944</v>
      </c>
    </row>
    <row r="985" spans="5:27" x14ac:dyDescent="0.25">
      <c r="E985" s="142"/>
      <c r="F985" s="142"/>
      <c r="T985" s="165">
        <v>973</v>
      </c>
      <c r="U985" s="159">
        <f t="shared" si="106"/>
        <v>202.89150000000001</v>
      </c>
      <c r="V985" s="159">
        <f t="shared" si="107"/>
        <v>42.541499999999999</v>
      </c>
      <c r="W985" s="159">
        <f t="shared" si="108"/>
        <v>-250.89</v>
      </c>
      <c r="X985" s="159">
        <f t="shared" si="109"/>
        <v>-5.4569999999999936</v>
      </c>
      <c r="Y985" s="159">
        <f t="shared" ca="1" si="105"/>
        <v>-9.327053436771962</v>
      </c>
      <c r="Z985" s="159">
        <f t="shared" ca="1" si="110"/>
        <v>-14.717576365048943</v>
      </c>
      <c r="AA985" s="161">
        <f t="shared" ca="1" si="111"/>
        <v>-1471.7576365048944</v>
      </c>
    </row>
    <row r="986" spans="5:27" x14ac:dyDescent="0.25">
      <c r="E986" s="142"/>
      <c r="F986" s="142"/>
      <c r="T986" s="165">
        <v>974</v>
      </c>
      <c r="U986" s="159">
        <f t="shared" si="106"/>
        <v>203.89150000000001</v>
      </c>
      <c r="V986" s="159">
        <f t="shared" si="107"/>
        <v>42.541499999999999</v>
      </c>
      <c r="W986" s="159">
        <f t="shared" si="108"/>
        <v>-251.89</v>
      </c>
      <c r="X986" s="159">
        <f t="shared" si="109"/>
        <v>-5.4569999999999936</v>
      </c>
      <c r="Y986" s="159">
        <f t="shared" ca="1" si="105"/>
        <v>-9.327053436771962</v>
      </c>
      <c r="Z986" s="159">
        <f t="shared" ca="1" si="110"/>
        <v>-14.717576365048943</v>
      </c>
      <c r="AA986" s="161">
        <f t="shared" ca="1" si="111"/>
        <v>-1471.7576365048944</v>
      </c>
    </row>
    <row r="987" spans="5:27" x14ac:dyDescent="0.25">
      <c r="E987" s="142"/>
      <c r="F987" s="142"/>
      <c r="T987" s="165">
        <v>975</v>
      </c>
      <c r="U987" s="159">
        <f t="shared" si="106"/>
        <v>204.89150000000001</v>
      </c>
      <c r="V987" s="159">
        <f t="shared" si="107"/>
        <v>42.541499999999999</v>
      </c>
      <c r="W987" s="159">
        <f t="shared" si="108"/>
        <v>-252.89</v>
      </c>
      <c r="X987" s="159">
        <f t="shared" si="109"/>
        <v>-5.4569999999999936</v>
      </c>
      <c r="Y987" s="159">
        <f t="shared" ca="1" si="105"/>
        <v>-9.327053436771962</v>
      </c>
      <c r="Z987" s="159">
        <f t="shared" ca="1" si="110"/>
        <v>-14.717576365048943</v>
      </c>
      <c r="AA987" s="161">
        <f t="shared" ca="1" si="111"/>
        <v>-1471.7576365048944</v>
      </c>
    </row>
    <row r="988" spans="5:27" x14ac:dyDescent="0.25">
      <c r="E988" s="142"/>
      <c r="F988" s="142"/>
      <c r="T988" s="165">
        <v>976</v>
      </c>
      <c r="U988" s="159">
        <f t="shared" si="106"/>
        <v>205.89150000000001</v>
      </c>
      <c r="V988" s="159">
        <f t="shared" si="107"/>
        <v>42.541499999999999</v>
      </c>
      <c r="W988" s="159">
        <f t="shared" si="108"/>
        <v>-253.89</v>
      </c>
      <c r="X988" s="159">
        <f t="shared" si="109"/>
        <v>-5.4569999999999936</v>
      </c>
      <c r="Y988" s="159">
        <f t="shared" ca="1" si="105"/>
        <v>-9.327053436771962</v>
      </c>
      <c r="Z988" s="159">
        <f t="shared" ca="1" si="110"/>
        <v>-14.717576365048943</v>
      </c>
      <c r="AA988" s="161">
        <f t="shared" ca="1" si="111"/>
        <v>-1471.7576365048944</v>
      </c>
    </row>
    <row r="989" spans="5:27" x14ac:dyDescent="0.25">
      <c r="E989" s="142"/>
      <c r="F989" s="142"/>
      <c r="T989" s="165">
        <v>977</v>
      </c>
      <c r="U989" s="159">
        <f t="shared" si="106"/>
        <v>206.89150000000001</v>
      </c>
      <c r="V989" s="159">
        <f t="shared" si="107"/>
        <v>42.541499999999999</v>
      </c>
      <c r="W989" s="159">
        <f t="shared" si="108"/>
        <v>-254.89</v>
      </c>
      <c r="X989" s="159">
        <f t="shared" si="109"/>
        <v>-5.4569999999999936</v>
      </c>
      <c r="Y989" s="159">
        <f t="shared" ca="1" si="105"/>
        <v>-9.327053436771962</v>
      </c>
      <c r="Z989" s="159">
        <f t="shared" ca="1" si="110"/>
        <v>-14.717576365048943</v>
      </c>
      <c r="AA989" s="161">
        <f t="shared" ca="1" si="111"/>
        <v>-1471.7576365048944</v>
      </c>
    </row>
    <row r="990" spans="5:27" x14ac:dyDescent="0.25">
      <c r="E990" s="142"/>
      <c r="F990" s="142"/>
      <c r="T990" s="165">
        <v>978</v>
      </c>
      <c r="U990" s="159">
        <f t="shared" si="106"/>
        <v>207.89150000000001</v>
      </c>
      <c r="V990" s="159">
        <f t="shared" si="107"/>
        <v>42.541499999999999</v>
      </c>
      <c r="W990" s="159">
        <f t="shared" si="108"/>
        <v>-255.89</v>
      </c>
      <c r="X990" s="159">
        <f t="shared" si="109"/>
        <v>-5.4569999999999936</v>
      </c>
      <c r="Y990" s="159">
        <f t="shared" ca="1" si="105"/>
        <v>-9.327053436771962</v>
      </c>
      <c r="Z990" s="159">
        <f t="shared" ca="1" si="110"/>
        <v>-14.717576365048943</v>
      </c>
      <c r="AA990" s="161">
        <f t="shared" ca="1" si="111"/>
        <v>-1471.7576365048944</v>
      </c>
    </row>
    <row r="991" spans="5:27" x14ac:dyDescent="0.25">
      <c r="E991" s="142"/>
      <c r="F991" s="142"/>
      <c r="T991" s="165">
        <v>979</v>
      </c>
      <c r="U991" s="159">
        <f t="shared" si="106"/>
        <v>208.89150000000001</v>
      </c>
      <c r="V991" s="159">
        <f t="shared" si="107"/>
        <v>42.541499999999999</v>
      </c>
      <c r="W991" s="159">
        <f t="shared" si="108"/>
        <v>-256.89</v>
      </c>
      <c r="X991" s="159">
        <f t="shared" si="109"/>
        <v>-5.4569999999999936</v>
      </c>
      <c r="Y991" s="159">
        <f t="shared" ca="1" si="105"/>
        <v>-9.327053436771962</v>
      </c>
      <c r="Z991" s="159">
        <f t="shared" ca="1" si="110"/>
        <v>-14.717576365048943</v>
      </c>
      <c r="AA991" s="161">
        <f t="shared" ca="1" si="111"/>
        <v>-1471.7576365048944</v>
      </c>
    </row>
    <row r="992" spans="5:27" x14ac:dyDescent="0.25">
      <c r="E992" s="142"/>
      <c r="F992" s="142"/>
      <c r="T992" s="165">
        <v>980</v>
      </c>
      <c r="U992" s="159">
        <f t="shared" si="106"/>
        <v>209.89150000000001</v>
      </c>
      <c r="V992" s="159">
        <f t="shared" si="107"/>
        <v>42.541499999999999</v>
      </c>
      <c r="W992" s="159">
        <f t="shared" si="108"/>
        <v>-257.89</v>
      </c>
      <c r="X992" s="159">
        <f t="shared" si="109"/>
        <v>-5.4569999999999936</v>
      </c>
      <c r="Y992" s="159">
        <f t="shared" ca="1" si="105"/>
        <v>-9.327053436771962</v>
      </c>
      <c r="Z992" s="159">
        <f t="shared" ca="1" si="110"/>
        <v>-14.717576365048943</v>
      </c>
      <c r="AA992" s="161">
        <f t="shared" ca="1" si="111"/>
        <v>-1471.7576365048944</v>
      </c>
    </row>
    <row r="993" spans="5:27" x14ac:dyDescent="0.25">
      <c r="E993" s="142"/>
      <c r="F993" s="142"/>
      <c r="T993" s="165">
        <v>981</v>
      </c>
      <c r="U993" s="159">
        <f t="shared" si="106"/>
        <v>210.89150000000001</v>
      </c>
      <c r="V993" s="159">
        <f t="shared" si="107"/>
        <v>42.541499999999999</v>
      </c>
      <c r="W993" s="159">
        <f t="shared" si="108"/>
        <v>-258.89</v>
      </c>
      <c r="X993" s="159">
        <f t="shared" si="109"/>
        <v>-5.4569999999999936</v>
      </c>
      <c r="Y993" s="159">
        <f t="shared" ca="1" si="105"/>
        <v>-9.327053436771962</v>
      </c>
      <c r="Z993" s="159">
        <f t="shared" ca="1" si="110"/>
        <v>-14.717576365048943</v>
      </c>
      <c r="AA993" s="161">
        <f t="shared" ca="1" si="111"/>
        <v>-1471.7576365048944</v>
      </c>
    </row>
    <row r="994" spans="5:27" x14ac:dyDescent="0.25">
      <c r="E994" s="142"/>
      <c r="F994" s="142"/>
      <c r="T994" s="165">
        <v>982</v>
      </c>
      <c r="U994" s="159">
        <f t="shared" si="106"/>
        <v>211.89150000000001</v>
      </c>
      <c r="V994" s="159">
        <f t="shared" si="107"/>
        <v>42.541499999999999</v>
      </c>
      <c r="W994" s="159">
        <f t="shared" si="108"/>
        <v>-259.89</v>
      </c>
      <c r="X994" s="159">
        <f t="shared" si="109"/>
        <v>-5.4569999999999936</v>
      </c>
      <c r="Y994" s="159">
        <f t="shared" ca="1" si="105"/>
        <v>-9.327053436771962</v>
      </c>
      <c r="Z994" s="159">
        <f t="shared" ca="1" si="110"/>
        <v>-14.717576365048943</v>
      </c>
      <c r="AA994" s="161">
        <f t="shared" ca="1" si="111"/>
        <v>-1471.7576365048944</v>
      </c>
    </row>
    <row r="995" spans="5:27" x14ac:dyDescent="0.25">
      <c r="E995" s="142"/>
      <c r="F995" s="142"/>
      <c r="T995" s="165">
        <v>983</v>
      </c>
      <c r="U995" s="159">
        <f t="shared" si="106"/>
        <v>212.89150000000001</v>
      </c>
      <c r="V995" s="159">
        <f t="shared" si="107"/>
        <v>42.541499999999999</v>
      </c>
      <c r="W995" s="159">
        <f t="shared" si="108"/>
        <v>-260.89</v>
      </c>
      <c r="X995" s="159">
        <f t="shared" si="109"/>
        <v>-5.4569999999999936</v>
      </c>
      <c r="Y995" s="159">
        <f t="shared" ca="1" si="105"/>
        <v>-9.327053436771962</v>
      </c>
      <c r="Z995" s="159">
        <f t="shared" ca="1" si="110"/>
        <v>-14.717576365048943</v>
      </c>
      <c r="AA995" s="161">
        <f t="shared" ca="1" si="111"/>
        <v>-1471.7576365048944</v>
      </c>
    </row>
    <row r="996" spans="5:27" x14ac:dyDescent="0.25">
      <c r="E996" s="142"/>
      <c r="F996" s="142"/>
      <c r="T996" s="165">
        <v>984</v>
      </c>
      <c r="U996" s="159">
        <f t="shared" si="106"/>
        <v>213.89150000000001</v>
      </c>
      <c r="V996" s="159">
        <f t="shared" si="107"/>
        <v>42.541499999999999</v>
      </c>
      <c r="W996" s="159">
        <f t="shared" si="108"/>
        <v>-261.89</v>
      </c>
      <c r="X996" s="159">
        <f t="shared" si="109"/>
        <v>-5.4569999999999936</v>
      </c>
      <c r="Y996" s="159">
        <f t="shared" ca="1" si="105"/>
        <v>-9.327053436771962</v>
      </c>
      <c r="Z996" s="159">
        <f t="shared" ca="1" si="110"/>
        <v>-14.717576365048943</v>
      </c>
      <c r="AA996" s="161">
        <f t="shared" ca="1" si="111"/>
        <v>-1471.7576365048944</v>
      </c>
    </row>
    <row r="997" spans="5:27" x14ac:dyDescent="0.25">
      <c r="E997" s="142"/>
      <c r="F997" s="142"/>
      <c r="T997" s="165">
        <v>985</v>
      </c>
      <c r="U997" s="159">
        <f t="shared" si="106"/>
        <v>214.89150000000001</v>
      </c>
      <c r="V997" s="159">
        <f t="shared" si="107"/>
        <v>42.541499999999999</v>
      </c>
      <c r="W997" s="159">
        <f t="shared" si="108"/>
        <v>-262.89</v>
      </c>
      <c r="X997" s="159">
        <f t="shared" si="109"/>
        <v>-5.4569999999999936</v>
      </c>
      <c r="Y997" s="159">
        <f t="shared" ca="1" si="105"/>
        <v>-9.327053436771962</v>
      </c>
      <c r="Z997" s="159">
        <f t="shared" ca="1" si="110"/>
        <v>-14.717576365048943</v>
      </c>
      <c r="AA997" s="161">
        <f t="shared" ca="1" si="111"/>
        <v>-1471.7576365048944</v>
      </c>
    </row>
    <row r="998" spans="5:27" x14ac:dyDescent="0.25">
      <c r="E998" s="142"/>
      <c r="F998" s="142"/>
      <c r="T998" s="165">
        <v>986</v>
      </c>
      <c r="U998" s="159">
        <f t="shared" si="106"/>
        <v>215.89150000000001</v>
      </c>
      <c r="V998" s="159">
        <f t="shared" si="107"/>
        <v>42.541499999999999</v>
      </c>
      <c r="W998" s="159">
        <f t="shared" si="108"/>
        <v>-263.89</v>
      </c>
      <c r="X998" s="159">
        <f t="shared" si="109"/>
        <v>-5.4569999999999936</v>
      </c>
      <c r="Y998" s="159">
        <f t="shared" ca="1" si="105"/>
        <v>-9.327053436771962</v>
      </c>
      <c r="Z998" s="159">
        <f t="shared" ca="1" si="110"/>
        <v>-14.717576365048943</v>
      </c>
      <c r="AA998" s="161">
        <f t="shared" ca="1" si="111"/>
        <v>-1471.7576365048944</v>
      </c>
    </row>
    <row r="999" spans="5:27" x14ac:dyDescent="0.25">
      <c r="E999" s="142"/>
      <c r="F999" s="142"/>
      <c r="T999" s="165">
        <v>987</v>
      </c>
      <c r="U999" s="159">
        <f t="shared" si="106"/>
        <v>216.89150000000001</v>
      </c>
      <c r="V999" s="159">
        <f t="shared" si="107"/>
        <v>42.541499999999999</v>
      </c>
      <c r="W999" s="159">
        <f t="shared" si="108"/>
        <v>-264.89</v>
      </c>
      <c r="X999" s="159">
        <f t="shared" si="109"/>
        <v>-5.4569999999999936</v>
      </c>
      <c r="Y999" s="159">
        <f t="shared" ca="1" si="105"/>
        <v>-9.327053436771962</v>
      </c>
      <c r="Z999" s="159">
        <f t="shared" ca="1" si="110"/>
        <v>-14.717576365048943</v>
      </c>
      <c r="AA999" s="161">
        <f t="shared" ca="1" si="111"/>
        <v>-1471.7576365048944</v>
      </c>
    </row>
    <row r="1000" spans="5:27" x14ac:dyDescent="0.25">
      <c r="E1000" s="142"/>
      <c r="F1000" s="142"/>
      <c r="T1000" s="165">
        <v>988</v>
      </c>
      <c r="U1000" s="159">
        <f t="shared" si="106"/>
        <v>217.89150000000001</v>
      </c>
      <c r="V1000" s="159">
        <f t="shared" si="107"/>
        <v>42.541499999999999</v>
      </c>
      <c r="W1000" s="159">
        <f t="shared" si="108"/>
        <v>-265.89</v>
      </c>
      <c r="X1000" s="159">
        <f t="shared" si="109"/>
        <v>-5.4569999999999936</v>
      </c>
      <c r="Y1000" s="159">
        <f t="shared" ca="1" si="105"/>
        <v>-9.327053436771962</v>
      </c>
      <c r="Z1000" s="159">
        <f t="shared" ca="1" si="110"/>
        <v>-14.717576365048943</v>
      </c>
      <c r="AA1000" s="161">
        <f t="shared" ca="1" si="111"/>
        <v>-1471.7576365048944</v>
      </c>
    </row>
    <row r="1001" spans="5:27" x14ac:dyDescent="0.25">
      <c r="E1001" s="142"/>
      <c r="F1001" s="142"/>
      <c r="T1001" s="165">
        <v>989</v>
      </c>
      <c r="U1001" s="159">
        <f t="shared" si="106"/>
        <v>218.89150000000001</v>
      </c>
      <c r="V1001" s="159">
        <f t="shared" si="107"/>
        <v>42.541499999999999</v>
      </c>
      <c r="W1001" s="159">
        <f t="shared" si="108"/>
        <v>-266.89</v>
      </c>
      <c r="X1001" s="159">
        <f t="shared" si="109"/>
        <v>-5.4569999999999936</v>
      </c>
      <c r="Y1001" s="159">
        <f t="shared" ca="1" si="105"/>
        <v>-9.327053436771962</v>
      </c>
      <c r="Z1001" s="159">
        <f t="shared" ca="1" si="110"/>
        <v>-14.717576365048943</v>
      </c>
      <c r="AA1001" s="161">
        <f t="shared" ca="1" si="111"/>
        <v>-1471.7576365048944</v>
      </c>
    </row>
    <row r="1002" spans="5:27" x14ac:dyDescent="0.25">
      <c r="E1002" s="142"/>
      <c r="F1002" s="142"/>
      <c r="T1002" s="165">
        <v>990</v>
      </c>
      <c r="U1002" s="159">
        <f t="shared" si="106"/>
        <v>219.89150000000001</v>
      </c>
      <c r="V1002" s="159">
        <f t="shared" si="107"/>
        <v>42.541499999999999</v>
      </c>
      <c r="W1002" s="159">
        <f t="shared" si="108"/>
        <v>-267.89</v>
      </c>
      <c r="X1002" s="159">
        <f t="shared" si="109"/>
        <v>-5.4569999999999936</v>
      </c>
      <c r="Y1002" s="159">
        <f t="shared" ca="1" si="105"/>
        <v>-9.327053436771962</v>
      </c>
      <c r="Z1002" s="159">
        <f t="shared" ca="1" si="110"/>
        <v>-14.717576365048943</v>
      </c>
      <c r="AA1002" s="161">
        <f t="shared" ca="1" si="111"/>
        <v>-1471.7576365048944</v>
      </c>
    </row>
    <row r="1003" spans="5:27" x14ac:dyDescent="0.25">
      <c r="E1003" s="142"/>
      <c r="F1003" s="142"/>
      <c r="T1003" s="165">
        <v>991</v>
      </c>
      <c r="U1003" s="159">
        <f t="shared" si="106"/>
        <v>220.89150000000001</v>
      </c>
      <c r="V1003" s="159">
        <f t="shared" si="107"/>
        <v>42.541499999999999</v>
      </c>
      <c r="W1003" s="159">
        <f t="shared" si="108"/>
        <v>-268.89</v>
      </c>
      <c r="X1003" s="159">
        <f t="shared" si="109"/>
        <v>-5.4569999999999936</v>
      </c>
      <c r="Y1003" s="159">
        <f t="shared" ca="1" si="105"/>
        <v>-9.327053436771962</v>
      </c>
      <c r="Z1003" s="159">
        <f t="shared" ca="1" si="110"/>
        <v>-14.717576365048943</v>
      </c>
      <c r="AA1003" s="161">
        <f t="shared" ca="1" si="111"/>
        <v>-1471.7576365048944</v>
      </c>
    </row>
    <row r="1004" spans="5:27" x14ac:dyDescent="0.25">
      <c r="E1004" s="142"/>
      <c r="F1004" s="142"/>
      <c r="T1004" s="165">
        <v>992</v>
      </c>
      <c r="U1004" s="159">
        <f t="shared" si="106"/>
        <v>221.89150000000001</v>
      </c>
      <c r="V1004" s="159">
        <f t="shared" si="107"/>
        <v>42.541499999999999</v>
      </c>
      <c r="W1004" s="159">
        <f t="shared" si="108"/>
        <v>-269.89</v>
      </c>
      <c r="X1004" s="159">
        <f t="shared" si="109"/>
        <v>-5.4569999999999936</v>
      </c>
      <c r="Y1004" s="159">
        <f t="shared" ca="1" si="105"/>
        <v>-9.327053436771962</v>
      </c>
      <c r="Z1004" s="159">
        <f t="shared" ca="1" si="110"/>
        <v>-14.717576365048943</v>
      </c>
      <c r="AA1004" s="161">
        <f t="shared" ca="1" si="111"/>
        <v>-1471.7576365048944</v>
      </c>
    </row>
    <row r="1005" spans="5:27" x14ac:dyDescent="0.25">
      <c r="E1005" s="142"/>
      <c r="F1005" s="142"/>
      <c r="T1005" s="165">
        <v>993</v>
      </c>
      <c r="U1005" s="159">
        <f t="shared" si="106"/>
        <v>222.89150000000001</v>
      </c>
      <c r="V1005" s="159">
        <f t="shared" si="107"/>
        <v>42.541499999999999</v>
      </c>
      <c r="W1005" s="159">
        <f t="shared" si="108"/>
        <v>-270.89</v>
      </c>
      <c r="X1005" s="159">
        <f t="shared" si="109"/>
        <v>-5.4569999999999936</v>
      </c>
      <c r="Y1005" s="159">
        <f t="shared" ca="1" si="105"/>
        <v>-9.327053436771962</v>
      </c>
      <c r="Z1005" s="159">
        <f t="shared" ca="1" si="110"/>
        <v>-14.717576365048943</v>
      </c>
      <c r="AA1005" s="161">
        <f t="shared" ca="1" si="111"/>
        <v>-1471.7576365048944</v>
      </c>
    </row>
    <row r="1006" spans="5:27" x14ac:dyDescent="0.25">
      <c r="E1006" s="142"/>
      <c r="F1006" s="142"/>
      <c r="T1006" s="165">
        <v>994</v>
      </c>
      <c r="U1006" s="159">
        <f t="shared" si="106"/>
        <v>223.89150000000001</v>
      </c>
      <c r="V1006" s="159">
        <f t="shared" si="107"/>
        <v>42.541499999999999</v>
      </c>
      <c r="W1006" s="159">
        <f t="shared" si="108"/>
        <v>-271.89</v>
      </c>
      <c r="X1006" s="159">
        <f t="shared" si="109"/>
        <v>-5.4569999999999936</v>
      </c>
      <c r="Y1006" s="159">
        <f t="shared" ca="1" si="105"/>
        <v>-9.327053436771962</v>
      </c>
      <c r="Z1006" s="159">
        <f t="shared" ca="1" si="110"/>
        <v>-14.717576365048943</v>
      </c>
      <c r="AA1006" s="161">
        <f t="shared" ca="1" si="111"/>
        <v>-1471.7576365048944</v>
      </c>
    </row>
    <row r="1007" spans="5:27" x14ac:dyDescent="0.25">
      <c r="E1007" s="142"/>
      <c r="F1007" s="142"/>
      <c r="T1007" s="165">
        <v>995</v>
      </c>
      <c r="U1007" s="159">
        <f t="shared" si="106"/>
        <v>224.89150000000001</v>
      </c>
      <c r="V1007" s="159">
        <f t="shared" si="107"/>
        <v>42.541499999999999</v>
      </c>
      <c r="W1007" s="159">
        <f t="shared" si="108"/>
        <v>-272.89</v>
      </c>
      <c r="X1007" s="159">
        <f t="shared" si="109"/>
        <v>-5.4569999999999936</v>
      </c>
      <c r="Y1007" s="159">
        <f t="shared" ca="1" si="105"/>
        <v>-9.327053436771962</v>
      </c>
      <c r="Z1007" s="159">
        <f t="shared" ca="1" si="110"/>
        <v>-14.717576365048943</v>
      </c>
      <c r="AA1007" s="161">
        <f t="shared" ca="1" si="111"/>
        <v>-1471.7576365048944</v>
      </c>
    </row>
    <row r="1008" spans="5:27" x14ac:dyDescent="0.25">
      <c r="E1008" s="142"/>
      <c r="F1008" s="142"/>
      <c r="T1008" s="165">
        <v>996</v>
      </c>
      <c r="U1008" s="159">
        <f t="shared" si="106"/>
        <v>225.89150000000001</v>
      </c>
      <c r="V1008" s="159">
        <f t="shared" si="107"/>
        <v>42.541499999999999</v>
      </c>
      <c r="W1008" s="159">
        <f t="shared" si="108"/>
        <v>-273.89</v>
      </c>
      <c r="X1008" s="159">
        <f t="shared" si="109"/>
        <v>-5.4569999999999936</v>
      </c>
      <c r="Y1008" s="159">
        <f t="shared" ca="1" si="105"/>
        <v>-9.327053436771962</v>
      </c>
      <c r="Z1008" s="159">
        <f t="shared" ca="1" si="110"/>
        <v>-14.717576365048943</v>
      </c>
      <c r="AA1008" s="161">
        <f t="shared" ca="1" si="111"/>
        <v>-1471.7576365048944</v>
      </c>
    </row>
    <row r="1009" spans="5:27" x14ac:dyDescent="0.25">
      <c r="E1009" s="142"/>
      <c r="F1009" s="142"/>
      <c r="T1009" s="165">
        <v>997</v>
      </c>
      <c r="U1009" s="159">
        <f t="shared" si="106"/>
        <v>226.89150000000001</v>
      </c>
      <c r="V1009" s="159">
        <f t="shared" si="107"/>
        <v>42.541499999999999</v>
      </c>
      <c r="W1009" s="159">
        <f t="shared" si="108"/>
        <v>-274.89</v>
      </c>
      <c r="X1009" s="159">
        <f t="shared" si="109"/>
        <v>-5.4569999999999936</v>
      </c>
      <c r="Y1009" s="159">
        <f t="shared" ca="1" si="105"/>
        <v>-9.327053436771962</v>
      </c>
      <c r="Z1009" s="159">
        <f t="shared" ca="1" si="110"/>
        <v>-14.717576365048943</v>
      </c>
      <c r="AA1009" s="161">
        <f t="shared" ca="1" si="111"/>
        <v>-1471.7576365048944</v>
      </c>
    </row>
    <row r="1010" spans="5:27" x14ac:dyDescent="0.25">
      <c r="T1010" s="165">
        <v>998</v>
      </c>
      <c r="U1010" s="159">
        <f t="shared" si="106"/>
        <v>227.89150000000001</v>
      </c>
      <c r="V1010" s="159">
        <f t="shared" si="107"/>
        <v>42.541499999999999</v>
      </c>
      <c r="W1010" s="159">
        <f t="shared" si="108"/>
        <v>-275.89</v>
      </c>
      <c r="X1010" s="159">
        <f t="shared" si="109"/>
        <v>-5.4569999999999936</v>
      </c>
      <c r="Y1010" s="159">
        <f t="shared" ca="1" si="105"/>
        <v>-9.327053436771962</v>
      </c>
      <c r="Z1010" s="159">
        <f t="shared" ca="1" si="110"/>
        <v>-14.717576365048943</v>
      </c>
      <c r="AA1010" s="161">
        <f t="shared" ca="1" si="111"/>
        <v>-1471.7576365048944</v>
      </c>
    </row>
    <row r="1011" spans="5:27" x14ac:dyDescent="0.25">
      <c r="T1011" s="165">
        <v>999</v>
      </c>
      <c r="U1011" s="159">
        <f t="shared" si="106"/>
        <v>228.89150000000001</v>
      </c>
      <c r="V1011" s="159">
        <f t="shared" si="107"/>
        <v>42.541499999999999</v>
      </c>
      <c r="W1011" s="159">
        <f t="shared" si="108"/>
        <v>-276.89</v>
      </c>
      <c r="X1011" s="159">
        <f t="shared" si="109"/>
        <v>-5.4569999999999936</v>
      </c>
      <c r="Y1011" s="159">
        <f t="shared" ca="1" si="105"/>
        <v>-9.327053436771962</v>
      </c>
      <c r="Z1011" s="159">
        <f t="shared" ca="1" si="110"/>
        <v>-14.717576365048943</v>
      </c>
      <c r="AA1011" s="161">
        <f t="shared" ca="1" si="111"/>
        <v>-1471.7576365048944</v>
      </c>
    </row>
    <row r="1012" spans="5:27" x14ac:dyDescent="0.25">
      <c r="T1012" s="165">
        <v>1000</v>
      </c>
      <c r="U1012" s="159">
        <f t="shared" si="106"/>
        <v>229.89150000000001</v>
      </c>
      <c r="V1012" s="159">
        <f t="shared" si="107"/>
        <v>42.541499999999999</v>
      </c>
      <c r="W1012" s="159">
        <f t="shared" si="108"/>
        <v>-277.89</v>
      </c>
      <c r="X1012" s="159">
        <f t="shared" si="109"/>
        <v>-5.4569999999999936</v>
      </c>
      <c r="Y1012" s="159">
        <f t="shared" ca="1" si="105"/>
        <v>-9.327053436771962</v>
      </c>
      <c r="Z1012" s="159">
        <f t="shared" ca="1" si="110"/>
        <v>-14.717576365048943</v>
      </c>
      <c r="AA1012" s="161">
        <f t="shared" ca="1" si="111"/>
        <v>-1471.7576365048944</v>
      </c>
    </row>
    <row r="1013" spans="5:27" x14ac:dyDescent="0.25">
      <c r="T1013" s="165">
        <v>1001</v>
      </c>
      <c r="U1013" s="159">
        <f t="shared" si="106"/>
        <v>230.89150000000001</v>
      </c>
      <c r="V1013" s="159">
        <f t="shared" si="107"/>
        <v>42.541499999999999</v>
      </c>
      <c r="W1013" s="159">
        <f t="shared" si="108"/>
        <v>-278.89</v>
      </c>
      <c r="X1013" s="159">
        <f t="shared" si="109"/>
        <v>-5.4569999999999936</v>
      </c>
      <c r="Y1013" s="159">
        <f t="shared" ca="1" si="105"/>
        <v>-9.327053436771962</v>
      </c>
      <c r="Z1013" s="159">
        <f t="shared" ca="1" si="110"/>
        <v>-14.717576365048943</v>
      </c>
      <c r="AA1013" s="161">
        <f t="shared" ca="1" si="111"/>
        <v>-1471.7576365048944</v>
      </c>
    </row>
    <row r="1014" spans="5:27" x14ac:dyDescent="0.25">
      <c r="T1014" s="165">
        <v>1002</v>
      </c>
      <c r="U1014" s="159">
        <f t="shared" si="106"/>
        <v>231.89150000000001</v>
      </c>
      <c r="V1014" s="159">
        <f t="shared" si="107"/>
        <v>42.541499999999999</v>
      </c>
      <c r="W1014" s="159">
        <f t="shared" si="108"/>
        <v>-279.89</v>
      </c>
      <c r="X1014" s="159">
        <f t="shared" si="109"/>
        <v>-5.4569999999999936</v>
      </c>
      <c r="Y1014" s="159">
        <f t="shared" ca="1" si="105"/>
        <v>-9.327053436771962</v>
      </c>
      <c r="Z1014" s="159">
        <f t="shared" ca="1" si="110"/>
        <v>-14.717576365048943</v>
      </c>
      <c r="AA1014" s="161">
        <f t="shared" ca="1" si="111"/>
        <v>-1471.7576365048944</v>
      </c>
    </row>
    <row r="1015" spans="5:27" x14ac:dyDescent="0.25">
      <c r="T1015" s="165">
        <v>1003</v>
      </c>
      <c r="U1015" s="159">
        <f t="shared" si="106"/>
        <v>232.89150000000001</v>
      </c>
      <c r="V1015" s="159">
        <f t="shared" si="107"/>
        <v>42.541499999999999</v>
      </c>
      <c r="W1015" s="159">
        <f t="shared" si="108"/>
        <v>-280.89</v>
      </c>
      <c r="X1015" s="159">
        <f t="shared" si="109"/>
        <v>-5.4569999999999936</v>
      </c>
      <c r="Y1015" s="159">
        <f t="shared" ca="1" si="105"/>
        <v>-9.327053436771962</v>
      </c>
      <c r="Z1015" s="159">
        <f t="shared" ca="1" si="110"/>
        <v>-14.717576365048943</v>
      </c>
      <c r="AA1015" s="161">
        <f t="shared" ca="1" si="111"/>
        <v>-1471.7576365048944</v>
      </c>
    </row>
    <row r="1016" spans="5:27" x14ac:dyDescent="0.25">
      <c r="T1016" s="165">
        <v>1004</v>
      </c>
      <c r="U1016" s="159">
        <f t="shared" si="106"/>
        <v>233.89150000000001</v>
      </c>
      <c r="V1016" s="159">
        <f t="shared" si="107"/>
        <v>42.541499999999999</v>
      </c>
      <c r="W1016" s="159">
        <f t="shared" si="108"/>
        <v>-281.89</v>
      </c>
      <c r="X1016" s="159">
        <f t="shared" si="109"/>
        <v>-5.4569999999999936</v>
      </c>
      <c r="Y1016" s="159">
        <f t="shared" ca="1" si="105"/>
        <v>-9.327053436771962</v>
      </c>
      <c r="Z1016" s="159">
        <f t="shared" ca="1" si="110"/>
        <v>-14.717576365048943</v>
      </c>
      <c r="AA1016" s="161">
        <f t="shared" ca="1" si="111"/>
        <v>-1471.7576365048944</v>
      </c>
    </row>
    <row r="1017" spans="5:27" x14ac:dyDescent="0.25">
      <c r="T1017" s="165">
        <v>1005</v>
      </c>
      <c r="U1017" s="159">
        <f t="shared" si="106"/>
        <v>234.89150000000001</v>
      </c>
      <c r="V1017" s="159">
        <f t="shared" si="107"/>
        <v>42.541499999999999</v>
      </c>
      <c r="W1017" s="159">
        <f t="shared" si="108"/>
        <v>-282.89</v>
      </c>
      <c r="X1017" s="159">
        <f t="shared" si="109"/>
        <v>-5.4569999999999936</v>
      </c>
      <c r="Y1017" s="159">
        <f t="shared" ca="1" si="105"/>
        <v>-9.327053436771962</v>
      </c>
      <c r="Z1017" s="159">
        <f t="shared" ca="1" si="110"/>
        <v>-14.717576365048943</v>
      </c>
      <c r="AA1017" s="161">
        <f t="shared" ca="1" si="111"/>
        <v>-1471.7576365048944</v>
      </c>
    </row>
    <row r="1018" spans="5:27" x14ac:dyDescent="0.25">
      <c r="T1018" s="165">
        <v>1006</v>
      </c>
      <c r="U1018" s="159">
        <f t="shared" si="106"/>
        <v>235.89150000000001</v>
      </c>
      <c r="V1018" s="159">
        <f t="shared" si="107"/>
        <v>42.541499999999999</v>
      </c>
      <c r="W1018" s="159">
        <f t="shared" si="108"/>
        <v>-283.89</v>
      </c>
      <c r="X1018" s="159">
        <f t="shared" si="109"/>
        <v>-5.4569999999999936</v>
      </c>
      <c r="Y1018" s="159">
        <f t="shared" ca="1" si="105"/>
        <v>-9.327053436771962</v>
      </c>
      <c r="Z1018" s="159">
        <f t="shared" ca="1" si="110"/>
        <v>-14.717576365048943</v>
      </c>
      <c r="AA1018" s="161">
        <f t="shared" ca="1" si="111"/>
        <v>-1471.7576365048944</v>
      </c>
    </row>
    <row r="1019" spans="5:27" x14ac:dyDescent="0.25">
      <c r="T1019" s="165">
        <v>1007</v>
      </c>
      <c r="U1019" s="159">
        <f t="shared" si="106"/>
        <v>236.89150000000001</v>
      </c>
      <c r="V1019" s="159">
        <f t="shared" si="107"/>
        <v>42.541499999999999</v>
      </c>
      <c r="W1019" s="159">
        <f t="shared" si="108"/>
        <v>-284.89</v>
      </c>
      <c r="X1019" s="159">
        <f t="shared" si="109"/>
        <v>-5.4569999999999936</v>
      </c>
      <c r="Y1019" s="159">
        <f t="shared" ca="1" si="105"/>
        <v>-9.327053436771962</v>
      </c>
      <c r="Z1019" s="159">
        <f t="shared" ca="1" si="110"/>
        <v>-14.717576365048943</v>
      </c>
      <c r="AA1019" s="161">
        <f t="shared" ca="1" si="111"/>
        <v>-1471.7576365048944</v>
      </c>
    </row>
    <row r="1020" spans="5:27" x14ac:dyDescent="0.25">
      <c r="T1020" s="165">
        <v>1008</v>
      </c>
      <c r="U1020" s="159">
        <f t="shared" si="106"/>
        <v>237.89150000000001</v>
      </c>
      <c r="V1020" s="159">
        <f t="shared" si="107"/>
        <v>42.541499999999999</v>
      </c>
      <c r="W1020" s="159">
        <f t="shared" si="108"/>
        <v>-285.89</v>
      </c>
      <c r="X1020" s="159">
        <f t="shared" si="109"/>
        <v>-5.4569999999999936</v>
      </c>
      <c r="Y1020" s="159">
        <f t="shared" ca="1" si="105"/>
        <v>-9.327053436771962</v>
      </c>
      <c r="Z1020" s="159">
        <f t="shared" ca="1" si="110"/>
        <v>-14.717576365048943</v>
      </c>
      <c r="AA1020" s="161">
        <f t="shared" ca="1" si="111"/>
        <v>-1471.7576365048944</v>
      </c>
    </row>
    <row r="1021" spans="5:27" x14ac:dyDescent="0.25">
      <c r="T1021" s="165">
        <v>1009</v>
      </c>
      <c r="U1021" s="159">
        <f t="shared" si="106"/>
        <v>238.89150000000001</v>
      </c>
      <c r="V1021" s="159">
        <f t="shared" si="107"/>
        <v>42.541499999999999</v>
      </c>
      <c r="W1021" s="159">
        <f t="shared" si="108"/>
        <v>-286.89</v>
      </c>
      <c r="X1021" s="159">
        <f t="shared" si="109"/>
        <v>-5.4569999999999936</v>
      </c>
      <c r="Y1021" s="159">
        <f t="shared" ca="1" si="105"/>
        <v>-9.327053436771962</v>
      </c>
      <c r="Z1021" s="159">
        <f t="shared" ca="1" si="110"/>
        <v>-14.717576365048943</v>
      </c>
      <c r="AA1021" s="161">
        <f t="shared" ca="1" si="111"/>
        <v>-1471.7576365048944</v>
      </c>
    </row>
    <row r="1022" spans="5:27" x14ac:dyDescent="0.25">
      <c r="T1022" s="165">
        <v>1010</v>
      </c>
      <c r="U1022" s="159">
        <f t="shared" si="106"/>
        <v>239.89150000000001</v>
      </c>
      <c r="V1022" s="159">
        <f t="shared" si="107"/>
        <v>42.541499999999999</v>
      </c>
      <c r="W1022" s="159">
        <f t="shared" si="108"/>
        <v>-287.89</v>
      </c>
      <c r="X1022" s="159">
        <f t="shared" si="109"/>
        <v>-5.4569999999999936</v>
      </c>
      <c r="Y1022" s="159">
        <f t="shared" ca="1" si="105"/>
        <v>-9.327053436771962</v>
      </c>
      <c r="Z1022" s="159">
        <f t="shared" ca="1" si="110"/>
        <v>-14.717576365048943</v>
      </c>
      <c r="AA1022" s="161">
        <f t="shared" ca="1" si="111"/>
        <v>-1471.7576365048944</v>
      </c>
    </row>
    <row r="1023" spans="5:27" x14ac:dyDescent="0.25">
      <c r="T1023" s="165">
        <v>1011</v>
      </c>
      <c r="U1023" s="159">
        <f t="shared" si="106"/>
        <v>240.89150000000001</v>
      </c>
      <c r="V1023" s="159">
        <f t="shared" si="107"/>
        <v>42.541499999999999</v>
      </c>
      <c r="W1023" s="159">
        <f t="shared" si="108"/>
        <v>-288.89</v>
      </c>
      <c r="X1023" s="159">
        <f t="shared" si="109"/>
        <v>-5.4569999999999936</v>
      </c>
      <c r="Y1023" s="159">
        <f t="shared" ca="1" si="105"/>
        <v>-9.327053436771962</v>
      </c>
      <c r="Z1023" s="159">
        <f t="shared" ca="1" si="110"/>
        <v>-14.717576365048943</v>
      </c>
      <c r="AA1023" s="161">
        <f t="shared" ca="1" si="111"/>
        <v>-1471.7576365048944</v>
      </c>
    </row>
    <row r="1024" spans="5:27" x14ac:dyDescent="0.25">
      <c r="T1024" s="165">
        <v>1012</v>
      </c>
      <c r="U1024" s="159">
        <f t="shared" si="106"/>
        <v>241.89150000000001</v>
      </c>
      <c r="V1024" s="159">
        <f t="shared" si="107"/>
        <v>42.541499999999999</v>
      </c>
      <c r="W1024" s="159">
        <f t="shared" si="108"/>
        <v>-289.89</v>
      </c>
      <c r="X1024" s="159">
        <f t="shared" si="109"/>
        <v>-5.4569999999999936</v>
      </c>
      <c r="Y1024" s="159">
        <f t="shared" ca="1" si="105"/>
        <v>-9.327053436771962</v>
      </c>
      <c r="Z1024" s="159">
        <f t="shared" ca="1" si="110"/>
        <v>-14.717576365048943</v>
      </c>
      <c r="AA1024" s="161">
        <f t="shared" ca="1" si="111"/>
        <v>-1471.7576365048944</v>
      </c>
    </row>
    <row r="1025" spans="20:27" x14ac:dyDescent="0.25">
      <c r="T1025" s="165">
        <v>1013</v>
      </c>
      <c r="U1025" s="159">
        <f t="shared" si="106"/>
        <v>242.89150000000001</v>
      </c>
      <c r="V1025" s="159">
        <f t="shared" si="107"/>
        <v>42.541499999999999</v>
      </c>
      <c r="W1025" s="159">
        <f t="shared" si="108"/>
        <v>-290.89</v>
      </c>
      <c r="X1025" s="159">
        <f t="shared" si="109"/>
        <v>-5.4569999999999936</v>
      </c>
      <c r="Y1025" s="159">
        <f t="shared" ca="1" si="105"/>
        <v>-9.327053436771962</v>
      </c>
      <c r="Z1025" s="159">
        <f t="shared" ca="1" si="110"/>
        <v>-14.717576365048943</v>
      </c>
      <c r="AA1025" s="161">
        <f t="shared" ca="1" si="111"/>
        <v>-1471.7576365048944</v>
      </c>
    </row>
    <row r="1026" spans="20:27" x14ac:dyDescent="0.25">
      <c r="T1026" s="165">
        <v>1014</v>
      </c>
      <c r="U1026" s="159">
        <f t="shared" si="106"/>
        <v>243.89150000000001</v>
      </c>
      <c r="V1026" s="159">
        <f t="shared" si="107"/>
        <v>42.541499999999999</v>
      </c>
      <c r="W1026" s="159">
        <f t="shared" si="108"/>
        <v>-291.89</v>
      </c>
      <c r="X1026" s="159">
        <f t="shared" si="109"/>
        <v>-5.4569999999999936</v>
      </c>
      <c r="Y1026" s="159">
        <f t="shared" ca="1" si="105"/>
        <v>-9.327053436771962</v>
      </c>
      <c r="Z1026" s="159">
        <f t="shared" ca="1" si="110"/>
        <v>-14.717576365048943</v>
      </c>
      <c r="AA1026" s="161">
        <f t="shared" ca="1" si="111"/>
        <v>-1471.7576365048944</v>
      </c>
    </row>
    <row r="1027" spans="20:27" x14ac:dyDescent="0.25">
      <c r="T1027" s="165">
        <v>1015</v>
      </c>
      <c r="U1027" s="159">
        <f t="shared" si="106"/>
        <v>244.89150000000001</v>
      </c>
      <c r="V1027" s="159">
        <f t="shared" si="107"/>
        <v>42.541499999999999</v>
      </c>
      <c r="W1027" s="159">
        <f t="shared" si="108"/>
        <v>-292.89</v>
      </c>
      <c r="X1027" s="159">
        <f t="shared" si="109"/>
        <v>-5.4569999999999936</v>
      </c>
      <c r="Y1027" s="159">
        <f t="shared" ca="1" si="105"/>
        <v>-9.327053436771962</v>
      </c>
      <c r="Z1027" s="159">
        <f t="shared" ca="1" si="110"/>
        <v>-14.717576365048943</v>
      </c>
      <c r="AA1027" s="161">
        <f t="shared" ca="1" si="111"/>
        <v>-1471.7576365048944</v>
      </c>
    </row>
    <row r="1028" spans="20:27" x14ac:dyDescent="0.25">
      <c r="T1028" s="165">
        <v>1016</v>
      </c>
      <c r="U1028" s="159">
        <f t="shared" si="106"/>
        <v>245.89150000000001</v>
      </c>
      <c r="V1028" s="159">
        <f t="shared" si="107"/>
        <v>42.541499999999999</v>
      </c>
      <c r="W1028" s="159">
        <f t="shared" si="108"/>
        <v>-293.89</v>
      </c>
      <c r="X1028" s="159">
        <f t="shared" si="109"/>
        <v>-5.4569999999999936</v>
      </c>
      <c r="Y1028" s="159">
        <f t="shared" ca="1" si="105"/>
        <v>-9.327053436771962</v>
      </c>
      <c r="Z1028" s="159">
        <f t="shared" ca="1" si="110"/>
        <v>-14.717576365048943</v>
      </c>
      <c r="AA1028" s="161">
        <f t="shared" ca="1" si="111"/>
        <v>-1471.7576365048944</v>
      </c>
    </row>
    <row r="1029" spans="20:27" x14ac:dyDescent="0.25">
      <c r="T1029" s="165">
        <v>1017</v>
      </c>
      <c r="U1029" s="159">
        <f t="shared" si="106"/>
        <v>246.89150000000001</v>
      </c>
      <c r="V1029" s="159">
        <f t="shared" si="107"/>
        <v>42.541499999999999</v>
      </c>
      <c r="W1029" s="159">
        <f t="shared" si="108"/>
        <v>-294.89</v>
      </c>
      <c r="X1029" s="159">
        <f t="shared" si="109"/>
        <v>-5.4569999999999936</v>
      </c>
      <c r="Y1029" s="159">
        <f t="shared" ca="1" si="105"/>
        <v>-9.327053436771962</v>
      </c>
      <c r="Z1029" s="159">
        <f t="shared" ca="1" si="110"/>
        <v>-14.717576365048943</v>
      </c>
      <c r="AA1029" s="161">
        <f t="shared" ca="1" si="111"/>
        <v>-1471.7576365048944</v>
      </c>
    </row>
    <row r="1030" spans="20:27" x14ac:dyDescent="0.25">
      <c r="T1030" s="165">
        <v>1018</v>
      </c>
      <c r="U1030" s="159">
        <f t="shared" si="106"/>
        <v>247.89150000000001</v>
      </c>
      <c r="V1030" s="159">
        <f t="shared" si="107"/>
        <v>42.541499999999999</v>
      </c>
      <c r="W1030" s="159">
        <f t="shared" si="108"/>
        <v>-295.89</v>
      </c>
      <c r="X1030" s="159">
        <f t="shared" si="109"/>
        <v>-5.4569999999999936</v>
      </c>
      <c r="Y1030" s="159">
        <f t="shared" ca="1" si="105"/>
        <v>-9.327053436771962</v>
      </c>
      <c r="Z1030" s="159">
        <f t="shared" ca="1" si="110"/>
        <v>-14.717576365048943</v>
      </c>
      <c r="AA1030" s="161">
        <f t="shared" ca="1" si="111"/>
        <v>-1471.7576365048944</v>
      </c>
    </row>
    <row r="1031" spans="20:27" x14ac:dyDescent="0.25">
      <c r="T1031" s="165">
        <v>1019</v>
      </c>
      <c r="U1031" s="159">
        <f t="shared" si="106"/>
        <v>248.89150000000001</v>
      </c>
      <c r="V1031" s="159">
        <f t="shared" si="107"/>
        <v>42.541499999999999</v>
      </c>
      <c r="W1031" s="159">
        <f t="shared" si="108"/>
        <v>-296.89</v>
      </c>
      <c r="X1031" s="159">
        <f t="shared" si="109"/>
        <v>-5.4569999999999936</v>
      </c>
      <c r="Y1031" s="159">
        <f t="shared" ca="1" si="105"/>
        <v>-9.327053436771962</v>
      </c>
      <c r="Z1031" s="159">
        <f t="shared" ca="1" si="110"/>
        <v>-14.717576365048943</v>
      </c>
      <c r="AA1031" s="161">
        <f t="shared" ca="1" si="111"/>
        <v>-1471.7576365048944</v>
      </c>
    </row>
    <row r="1032" spans="20:27" x14ac:dyDescent="0.25">
      <c r="T1032" s="165">
        <v>1020</v>
      </c>
      <c r="U1032" s="159">
        <f t="shared" si="106"/>
        <v>249.89150000000001</v>
      </c>
      <c r="V1032" s="159">
        <f t="shared" si="107"/>
        <v>42.541499999999999</v>
      </c>
      <c r="W1032" s="159">
        <f t="shared" si="108"/>
        <v>-297.89</v>
      </c>
      <c r="X1032" s="159">
        <f t="shared" si="109"/>
        <v>-5.4569999999999936</v>
      </c>
      <c r="Y1032" s="159">
        <f t="shared" ca="1" si="105"/>
        <v>-9.327053436771962</v>
      </c>
      <c r="Z1032" s="159">
        <f t="shared" ca="1" si="110"/>
        <v>-14.717576365048943</v>
      </c>
      <c r="AA1032" s="161">
        <f t="shared" ca="1" si="111"/>
        <v>-1471.7576365048944</v>
      </c>
    </row>
    <row r="1033" spans="20:27" x14ac:dyDescent="0.25">
      <c r="T1033" s="165">
        <v>1021</v>
      </c>
      <c r="U1033" s="159">
        <f t="shared" si="106"/>
        <v>250.89150000000001</v>
      </c>
      <c r="V1033" s="159">
        <f t="shared" si="107"/>
        <v>42.541499999999999</v>
      </c>
      <c r="W1033" s="159">
        <f t="shared" si="108"/>
        <v>-298.89</v>
      </c>
      <c r="X1033" s="159">
        <f t="shared" si="109"/>
        <v>-5.4569999999999936</v>
      </c>
      <c r="Y1033" s="159">
        <f t="shared" ca="1" si="105"/>
        <v>-9.327053436771962</v>
      </c>
      <c r="Z1033" s="159">
        <f t="shared" ca="1" si="110"/>
        <v>-14.717576365048943</v>
      </c>
      <c r="AA1033" s="161">
        <f t="shared" ca="1" si="111"/>
        <v>-1471.7576365048944</v>
      </c>
    </row>
    <row r="1034" spans="20:27" x14ac:dyDescent="0.25">
      <c r="T1034" s="165">
        <v>1022</v>
      </c>
      <c r="U1034" s="159">
        <f t="shared" si="106"/>
        <v>251.89150000000001</v>
      </c>
      <c r="V1034" s="159">
        <f t="shared" si="107"/>
        <v>42.541499999999999</v>
      </c>
      <c r="W1034" s="159">
        <f t="shared" si="108"/>
        <v>-299.89</v>
      </c>
      <c r="X1034" s="159">
        <f t="shared" si="109"/>
        <v>-5.4569999999999936</v>
      </c>
      <c r="Y1034" s="159">
        <f t="shared" ca="1" si="105"/>
        <v>-9.327053436771962</v>
      </c>
      <c r="Z1034" s="159">
        <f t="shared" ca="1" si="110"/>
        <v>-14.717576365048943</v>
      </c>
      <c r="AA1034" s="161">
        <f t="shared" ca="1" si="111"/>
        <v>-1471.7576365048944</v>
      </c>
    </row>
    <row r="1035" spans="20:27" x14ac:dyDescent="0.25">
      <c r="T1035" s="165">
        <v>1023</v>
      </c>
      <c r="U1035" s="159">
        <f t="shared" si="106"/>
        <v>252.89150000000001</v>
      </c>
      <c r="V1035" s="159">
        <f t="shared" si="107"/>
        <v>42.541499999999999</v>
      </c>
      <c r="W1035" s="159">
        <f t="shared" si="108"/>
        <v>-300.89</v>
      </c>
      <c r="X1035" s="159">
        <f t="shared" si="109"/>
        <v>-5.4569999999999936</v>
      </c>
      <c r="Y1035" s="159">
        <f t="shared" ca="1" si="105"/>
        <v>-9.327053436771962</v>
      </c>
      <c r="Z1035" s="159">
        <f t="shared" ca="1" si="110"/>
        <v>-14.717576365048943</v>
      </c>
      <c r="AA1035" s="161">
        <f t="shared" ca="1" si="111"/>
        <v>-1471.7576365048944</v>
      </c>
    </row>
    <row r="1036" spans="20:27" x14ac:dyDescent="0.25">
      <c r="T1036" s="165">
        <v>1024</v>
      </c>
      <c r="U1036" s="159">
        <f t="shared" si="106"/>
        <v>253.89150000000001</v>
      </c>
      <c r="V1036" s="159">
        <f t="shared" si="107"/>
        <v>42.541499999999999</v>
      </c>
      <c r="W1036" s="159">
        <f t="shared" si="108"/>
        <v>-301.89</v>
      </c>
      <c r="X1036" s="159">
        <f t="shared" si="109"/>
        <v>-5.4569999999999936</v>
      </c>
      <c r="Y1036" s="159">
        <f t="shared" ref="Y1036:Y1099" ca="1" si="112">$Y$10*EXP($Y$7*$C$6)-$Y$10</f>
        <v>-9.327053436771962</v>
      </c>
      <c r="Z1036" s="159">
        <f t="shared" ca="1" si="110"/>
        <v>-14.717576365048943</v>
      </c>
      <c r="AA1036" s="161">
        <f t="shared" ca="1" si="111"/>
        <v>-1471.7576365048944</v>
      </c>
    </row>
    <row r="1037" spans="20:27" x14ac:dyDescent="0.25">
      <c r="T1037" s="165">
        <v>1025</v>
      </c>
      <c r="U1037" s="159">
        <f t="shared" ref="U1037:U1100" si="113">MAX(0,T1037-$U$9)-$U$10-$U$11/100</f>
        <v>254.89150000000001</v>
      </c>
      <c r="V1037" s="159">
        <f t="shared" ref="V1037:V1100" si="114">$V$10-MAX(0,$V$9-T1037)-$V$11/100</f>
        <v>42.541499999999999</v>
      </c>
      <c r="W1037" s="159">
        <f t="shared" ref="W1037:W1100" si="115">$W$10-T1037</f>
        <v>-302.89</v>
      </c>
      <c r="X1037" s="159">
        <f t="shared" ref="X1037:X1100" si="116">SUM(U1037:W1037)</f>
        <v>-5.4569999999999936</v>
      </c>
      <c r="Y1037" s="159">
        <f t="shared" ca="1" si="112"/>
        <v>-9.327053436771962</v>
      </c>
      <c r="Z1037" s="159">
        <f t="shared" ref="Z1037:Z1100" ca="1" si="117">EXP(-$E$3*$C$6)*SUM(X1037:Y1037)</f>
        <v>-14.717576365048943</v>
      </c>
      <c r="AA1037" s="161">
        <f t="shared" ref="AA1037:AA1100" ca="1" si="118">Z1037*100</f>
        <v>-1471.7576365048944</v>
      </c>
    </row>
    <row r="1038" spans="20:27" x14ac:dyDescent="0.25">
      <c r="T1038" s="165">
        <v>1026</v>
      </c>
      <c r="U1038" s="159">
        <f t="shared" si="113"/>
        <v>255.89150000000001</v>
      </c>
      <c r="V1038" s="159">
        <f t="shared" si="114"/>
        <v>42.541499999999999</v>
      </c>
      <c r="W1038" s="159">
        <f t="shared" si="115"/>
        <v>-303.89</v>
      </c>
      <c r="X1038" s="159">
        <f t="shared" si="116"/>
        <v>-5.4569999999999936</v>
      </c>
      <c r="Y1038" s="159">
        <f t="shared" ca="1" si="112"/>
        <v>-9.327053436771962</v>
      </c>
      <c r="Z1038" s="159">
        <f t="shared" ca="1" si="117"/>
        <v>-14.717576365048943</v>
      </c>
      <c r="AA1038" s="161">
        <f t="shared" ca="1" si="118"/>
        <v>-1471.7576365048944</v>
      </c>
    </row>
    <row r="1039" spans="20:27" x14ac:dyDescent="0.25">
      <c r="T1039" s="165">
        <v>1027</v>
      </c>
      <c r="U1039" s="159">
        <f t="shared" si="113"/>
        <v>256.89149999999995</v>
      </c>
      <c r="V1039" s="159">
        <f t="shared" si="114"/>
        <v>42.541499999999999</v>
      </c>
      <c r="W1039" s="159">
        <f t="shared" si="115"/>
        <v>-304.89</v>
      </c>
      <c r="X1039" s="159">
        <f t="shared" si="116"/>
        <v>-5.4570000000000505</v>
      </c>
      <c r="Y1039" s="159">
        <f t="shared" ca="1" si="112"/>
        <v>-9.327053436771962</v>
      </c>
      <c r="Z1039" s="159">
        <f t="shared" ca="1" si="117"/>
        <v>-14.717576365048998</v>
      </c>
      <c r="AA1039" s="161">
        <f t="shared" ca="1" si="118"/>
        <v>-1471.7576365048999</v>
      </c>
    </row>
    <row r="1040" spans="20:27" x14ac:dyDescent="0.25">
      <c r="T1040" s="165">
        <v>1028</v>
      </c>
      <c r="U1040" s="159">
        <f t="shared" si="113"/>
        <v>257.89149999999995</v>
      </c>
      <c r="V1040" s="159">
        <f t="shared" si="114"/>
        <v>42.541499999999999</v>
      </c>
      <c r="W1040" s="159">
        <f t="shared" si="115"/>
        <v>-305.89</v>
      </c>
      <c r="X1040" s="159">
        <f t="shared" si="116"/>
        <v>-5.4570000000000505</v>
      </c>
      <c r="Y1040" s="159">
        <f t="shared" ca="1" si="112"/>
        <v>-9.327053436771962</v>
      </c>
      <c r="Z1040" s="159">
        <f t="shared" ca="1" si="117"/>
        <v>-14.717576365048998</v>
      </c>
      <c r="AA1040" s="161">
        <f t="shared" ca="1" si="118"/>
        <v>-1471.7576365048999</v>
      </c>
    </row>
    <row r="1041" spans="20:27" x14ac:dyDescent="0.25">
      <c r="T1041" s="165">
        <v>1029</v>
      </c>
      <c r="U1041" s="159">
        <f t="shared" si="113"/>
        <v>258.89149999999995</v>
      </c>
      <c r="V1041" s="159">
        <f t="shared" si="114"/>
        <v>42.541499999999999</v>
      </c>
      <c r="W1041" s="159">
        <f t="shared" si="115"/>
        <v>-306.89</v>
      </c>
      <c r="X1041" s="159">
        <f t="shared" si="116"/>
        <v>-5.4570000000000505</v>
      </c>
      <c r="Y1041" s="159">
        <f t="shared" ca="1" si="112"/>
        <v>-9.327053436771962</v>
      </c>
      <c r="Z1041" s="159">
        <f t="shared" ca="1" si="117"/>
        <v>-14.717576365048998</v>
      </c>
      <c r="AA1041" s="161">
        <f t="shared" ca="1" si="118"/>
        <v>-1471.7576365048999</v>
      </c>
    </row>
    <row r="1042" spans="20:27" x14ac:dyDescent="0.25">
      <c r="T1042" s="165">
        <v>1030</v>
      </c>
      <c r="U1042" s="159">
        <f t="shared" si="113"/>
        <v>259.89149999999995</v>
      </c>
      <c r="V1042" s="159">
        <f t="shared" si="114"/>
        <v>42.541499999999999</v>
      </c>
      <c r="W1042" s="159">
        <f t="shared" si="115"/>
        <v>-307.89</v>
      </c>
      <c r="X1042" s="159">
        <f t="shared" si="116"/>
        <v>-5.4570000000000505</v>
      </c>
      <c r="Y1042" s="159">
        <f t="shared" ca="1" si="112"/>
        <v>-9.327053436771962</v>
      </c>
      <c r="Z1042" s="159">
        <f t="shared" ca="1" si="117"/>
        <v>-14.717576365048998</v>
      </c>
      <c r="AA1042" s="161">
        <f t="shared" ca="1" si="118"/>
        <v>-1471.7576365048999</v>
      </c>
    </row>
    <row r="1043" spans="20:27" x14ac:dyDescent="0.25">
      <c r="T1043" s="165">
        <v>1031</v>
      </c>
      <c r="U1043" s="159">
        <f t="shared" si="113"/>
        <v>260.89149999999995</v>
      </c>
      <c r="V1043" s="159">
        <f t="shared" si="114"/>
        <v>42.541499999999999</v>
      </c>
      <c r="W1043" s="159">
        <f t="shared" si="115"/>
        <v>-308.89</v>
      </c>
      <c r="X1043" s="159">
        <f t="shared" si="116"/>
        <v>-5.4570000000000505</v>
      </c>
      <c r="Y1043" s="159">
        <f t="shared" ca="1" si="112"/>
        <v>-9.327053436771962</v>
      </c>
      <c r="Z1043" s="159">
        <f t="shared" ca="1" si="117"/>
        <v>-14.717576365048998</v>
      </c>
      <c r="AA1043" s="161">
        <f t="shared" ca="1" si="118"/>
        <v>-1471.7576365048999</v>
      </c>
    </row>
    <row r="1044" spans="20:27" x14ac:dyDescent="0.25">
      <c r="T1044" s="165">
        <v>1032</v>
      </c>
      <c r="U1044" s="159">
        <f t="shared" si="113"/>
        <v>261.89149999999995</v>
      </c>
      <c r="V1044" s="159">
        <f t="shared" si="114"/>
        <v>42.541499999999999</v>
      </c>
      <c r="W1044" s="159">
        <f t="shared" si="115"/>
        <v>-309.89</v>
      </c>
      <c r="X1044" s="159">
        <f t="shared" si="116"/>
        <v>-5.4570000000000505</v>
      </c>
      <c r="Y1044" s="159">
        <f t="shared" ca="1" si="112"/>
        <v>-9.327053436771962</v>
      </c>
      <c r="Z1044" s="159">
        <f t="shared" ca="1" si="117"/>
        <v>-14.717576365048998</v>
      </c>
      <c r="AA1044" s="161">
        <f t="shared" ca="1" si="118"/>
        <v>-1471.7576365048999</v>
      </c>
    </row>
    <row r="1045" spans="20:27" x14ac:dyDescent="0.25">
      <c r="T1045" s="165">
        <v>1033</v>
      </c>
      <c r="U1045" s="159">
        <f t="shared" si="113"/>
        <v>262.89149999999995</v>
      </c>
      <c r="V1045" s="159">
        <f t="shared" si="114"/>
        <v>42.541499999999999</v>
      </c>
      <c r="W1045" s="159">
        <f t="shared" si="115"/>
        <v>-310.89</v>
      </c>
      <c r="X1045" s="159">
        <f t="shared" si="116"/>
        <v>-5.4570000000000505</v>
      </c>
      <c r="Y1045" s="159">
        <f t="shared" ca="1" si="112"/>
        <v>-9.327053436771962</v>
      </c>
      <c r="Z1045" s="159">
        <f t="shared" ca="1" si="117"/>
        <v>-14.717576365048998</v>
      </c>
      <c r="AA1045" s="161">
        <f t="shared" ca="1" si="118"/>
        <v>-1471.7576365048999</v>
      </c>
    </row>
    <row r="1046" spans="20:27" x14ac:dyDescent="0.25">
      <c r="T1046" s="165">
        <v>1034</v>
      </c>
      <c r="U1046" s="159">
        <f t="shared" si="113"/>
        <v>263.89149999999995</v>
      </c>
      <c r="V1046" s="159">
        <f t="shared" si="114"/>
        <v>42.541499999999999</v>
      </c>
      <c r="W1046" s="159">
        <f t="shared" si="115"/>
        <v>-311.89</v>
      </c>
      <c r="X1046" s="159">
        <f t="shared" si="116"/>
        <v>-5.4570000000000505</v>
      </c>
      <c r="Y1046" s="159">
        <f t="shared" ca="1" si="112"/>
        <v>-9.327053436771962</v>
      </c>
      <c r="Z1046" s="159">
        <f t="shared" ca="1" si="117"/>
        <v>-14.717576365048998</v>
      </c>
      <c r="AA1046" s="161">
        <f t="shared" ca="1" si="118"/>
        <v>-1471.7576365048999</v>
      </c>
    </row>
    <row r="1047" spans="20:27" x14ac:dyDescent="0.25">
      <c r="T1047" s="165">
        <v>1035</v>
      </c>
      <c r="U1047" s="159">
        <f t="shared" si="113"/>
        <v>264.89149999999995</v>
      </c>
      <c r="V1047" s="159">
        <f t="shared" si="114"/>
        <v>42.541499999999999</v>
      </c>
      <c r="W1047" s="159">
        <f t="shared" si="115"/>
        <v>-312.89</v>
      </c>
      <c r="X1047" s="159">
        <f t="shared" si="116"/>
        <v>-5.4570000000000505</v>
      </c>
      <c r="Y1047" s="159">
        <f t="shared" ca="1" si="112"/>
        <v>-9.327053436771962</v>
      </c>
      <c r="Z1047" s="159">
        <f t="shared" ca="1" si="117"/>
        <v>-14.717576365048998</v>
      </c>
      <c r="AA1047" s="161">
        <f t="shared" ca="1" si="118"/>
        <v>-1471.7576365048999</v>
      </c>
    </row>
    <row r="1048" spans="20:27" x14ac:dyDescent="0.25">
      <c r="T1048" s="165">
        <v>1036</v>
      </c>
      <c r="U1048" s="159">
        <f t="shared" si="113"/>
        <v>265.89149999999995</v>
      </c>
      <c r="V1048" s="159">
        <f t="shared" si="114"/>
        <v>42.541499999999999</v>
      </c>
      <c r="W1048" s="159">
        <f t="shared" si="115"/>
        <v>-313.89</v>
      </c>
      <c r="X1048" s="159">
        <f t="shared" si="116"/>
        <v>-5.4570000000000505</v>
      </c>
      <c r="Y1048" s="159">
        <f t="shared" ca="1" si="112"/>
        <v>-9.327053436771962</v>
      </c>
      <c r="Z1048" s="159">
        <f t="shared" ca="1" si="117"/>
        <v>-14.717576365048998</v>
      </c>
      <c r="AA1048" s="161">
        <f t="shared" ca="1" si="118"/>
        <v>-1471.7576365048999</v>
      </c>
    </row>
    <row r="1049" spans="20:27" x14ac:dyDescent="0.25">
      <c r="T1049" s="165">
        <v>1037</v>
      </c>
      <c r="U1049" s="159">
        <f t="shared" si="113"/>
        <v>266.89149999999995</v>
      </c>
      <c r="V1049" s="159">
        <f t="shared" si="114"/>
        <v>42.541499999999999</v>
      </c>
      <c r="W1049" s="159">
        <f t="shared" si="115"/>
        <v>-314.89</v>
      </c>
      <c r="X1049" s="159">
        <f t="shared" si="116"/>
        <v>-5.4570000000000505</v>
      </c>
      <c r="Y1049" s="159">
        <f t="shared" ca="1" si="112"/>
        <v>-9.327053436771962</v>
      </c>
      <c r="Z1049" s="159">
        <f t="shared" ca="1" si="117"/>
        <v>-14.717576365048998</v>
      </c>
      <c r="AA1049" s="161">
        <f t="shared" ca="1" si="118"/>
        <v>-1471.7576365048999</v>
      </c>
    </row>
    <row r="1050" spans="20:27" x14ac:dyDescent="0.25">
      <c r="T1050" s="165">
        <v>1038</v>
      </c>
      <c r="U1050" s="159">
        <f t="shared" si="113"/>
        <v>267.89149999999995</v>
      </c>
      <c r="V1050" s="159">
        <f t="shared" si="114"/>
        <v>42.541499999999999</v>
      </c>
      <c r="W1050" s="159">
        <f t="shared" si="115"/>
        <v>-315.89</v>
      </c>
      <c r="X1050" s="159">
        <f t="shared" si="116"/>
        <v>-5.4570000000000505</v>
      </c>
      <c r="Y1050" s="159">
        <f t="shared" ca="1" si="112"/>
        <v>-9.327053436771962</v>
      </c>
      <c r="Z1050" s="159">
        <f t="shared" ca="1" si="117"/>
        <v>-14.717576365048998</v>
      </c>
      <c r="AA1050" s="161">
        <f t="shared" ca="1" si="118"/>
        <v>-1471.7576365048999</v>
      </c>
    </row>
    <row r="1051" spans="20:27" x14ac:dyDescent="0.25">
      <c r="T1051" s="165">
        <v>1039</v>
      </c>
      <c r="U1051" s="159">
        <f t="shared" si="113"/>
        <v>268.89149999999995</v>
      </c>
      <c r="V1051" s="159">
        <f t="shared" si="114"/>
        <v>42.541499999999999</v>
      </c>
      <c r="W1051" s="159">
        <f t="shared" si="115"/>
        <v>-316.89</v>
      </c>
      <c r="X1051" s="159">
        <f t="shared" si="116"/>
        <v>-5.4570000000000505</v>
      </c>
      <c r="Y1051" s="159">
        <f t="shared" ca="1" si="112"/>
        <v>-9.327053436771962</v>
      </c>
      <c r="Z1051" s="159">
        <f t="shared" ca="1" si="117"/>
        <v>-14.717576365048998</v>
      </c>
      <c r="AA1051" s="161">
        <f t="shared" ca="1" si="118"/>
        <v>-1471.7576365048999</v>
      </c>
    </row>
    <row r="1052" spans="20:27" x14ac:dyDescent="0.25">
      <c r="T1052" s="165">
        <v>1040</v>
      </c>
      <c r="U1052" s="159">
        <f t="shared" si="113"/>
        <v>269.89149999999995</v>
      </c>
      <c r="V1052" s="159">
        <f t="shared" si="114"/>
        <v>42.541499999999999</v>
      </c>
      <c r="W1052" s="159">
        <f t="shared" si="115"/>
        <v>-317.89</v>
      </c>
      <c r="X1052" s="159">
        <f t="shared" si="116"/>
        <v>-5.4570000000000505</v>
      </c>
      <c r="Y1052" s="159">
        <f t="shared" ca="1" si="112"/>
        <v>-9.327053436771962</v>
      </c>
      <c r="Z1052" s="159">
        <f t="shared" ca="1" si="117"/>
        <v>-14.717576365048998</v>
      </c>
      <c r="AA1052" s="161">
        <f t="shared" ca="1" si="118"/>
        <v>-1471.7576365048999</v>
      </c>
    </row>
    <row r="1053" spans="20:27" x14ac:dyDescent="0.25">
      <c r="T1053" s="165">
        <v>1041</v>
      </c>
      <c r="U1053" s="159">
        <f t="shared" si="113"/>
        <v>270.89149999999995</v>
      </c>
      <c r="V1053" s="159">
        <f t="shared" si="114"/>
        <v>42.541499999999999</v>
      </c>
      <c r="W1053" s="159">
        <f t="shared" si="115"/>
        <v>-318.89</v>
      </c>
      <c r="X1053" s="159">
        <f t="shared" si="116"/>
        <v>-5.4570000000000505</v>
      </c>
      <c r="Y1053" s="159">
        <f t="shared" ca="1" si="112"/>
        <v>-9.327053436771962</v>
      </c>
      <c r="Z1053" s="159">
        <f t="shared" ca="1" si="117"/>
        <v>-14.717576365048998</v>
      </c>
      <c r="AA1053" s="161">
        <f t="shared" ca="1" si="118"/>
        <v>-1471.7576365048999</v>
      </c>
    </row>
    <row r="1054" spans="20:27" x14ac:dyDescent="0.25">
      <c r="T1054" s="165">
        <v>1042</v>
      </c>
      <c r="U1054" s="159">
        <f t="shared" si="113"/>
        <v>271.89149999999995</v>
      </c>
      <c r="V1054" s="159">
        <f t="shared" si="114"/>
        <v>42.541499999999999</v>
      </c>
      <c r="W1054" s="159">
        <f t="shared" si="115"/>
        <v>-319.89</v>
      </c>
      <c r="X1054" s="159">
        <f t="shared" si="116"/>
        <v>-5.4570000000000505</v>
      </c>
      <c r="Y1054" s="159">
        <f t="shared" ca="1" si="112"/>
        <v>-9.327053436771962</v>
      </c>
      <c r="Z1054" s="159">
        <f t="shared" ca="1" si="117"/>
        <v>-14.717576365048998</v>
      </c>
      <c r="AA1054" s="161">
        <f t="shared" ca="1" si="118"/>
        <v>-1471.7576365048999</v>
      </c>
    </row>
    <row r="1055" spans="20:27" x14ac:dyDescent="0.25">
      <c r="T1055" s="165">
        <v>1043</v>
      </c>
      <c r="U1055" s="159">
        <f t="shared" si="113"/>
        <v>272.89149999999995</v>
      </c>
      <c r="V1055" s="159">
        <f t="shared" si="114"/>
        <v>42.541499999999999</v>
      </c>
      <c r="W1055" s="159">
        <f t="shared" si="115"/>
        <v>-320.89</v>
      </c>
      <c r="X1055" s="159">
        <f t="shared" si="116"/>
        <v>-5.4570000000000505</v>
      </c>
      <c r="Y1055" s="159">
        <f t="shared" ca="1" si="112"/>
        <v>-9.327053436771962</v>
      </c>
      <c r="Z1055" s="159">
        <f t="shared" ca="1" si="117"/>
        <v>-14.717576365048998</v>
      </c>
      <c r="AA1055" s="161">
        <f t="shared" ca="1" si="118"/>
        <v>-1471.7576365048999</v>
      </c>
    </row>
    <row r="1056" spans="20:27" x14ac:dyDescent="0.25">
      <c r="T1056" s="165">
        <v>1044</v>
      </c>
      <c r="U1056" s="159">
        <f t="shared" si="113"/>
        <v>273.89149999999995</v>
      </c>
      <c r="V1056" s="159">
        <f t="shared" si="114"/>
        <v>42.541499999999999</v>
      </c>
      <c r="W1056" s="159">
        <f t="shared" si="115"/>
        <v>-321.89</v>
      </c>
      <c r="X1056" s="159">
        <f t="shared" si="116"/>
        <v>-5.4570000000000505</v>
      </c>
      <c r="Y1056" s="159">
        <f t="shared" ca="1" si="112"/>
        <v>-9.327053436771962</v>
      </c>
      <c r="Z1056" s="159">
        <f t="shared" ca="1" si="117"/>
        <v>-14.717576365048998</v>
      </c>
      <c r="AA1056" s="161">
        <f t="shared" ca="1" si="118"/>
        <v>-1471.7576365048999</v>
      </c>
    </row>
    <row r="1057" spans="20:27" x14ac:dyDescent="0.25">
      <c r="T1057" s="165">
        <v>1045</v>
      </c>
      <c r="U1057" s="159">
        <f t="shared" si="113"/>
        <v>274.89149999999995</v>
      </c>
      <c r="V1057" s="159">
        <f t="shared" si="114"/>
        <v>42.541499999999999</v>
      </c>
      <c r="W1057" s="159">
        <f t="shared" si="115"/>
        <v>-322.89</v>
      </c>
      <c r="X1057" s="159">
        <f t="shared" si="116"/>
        <v>-5.4570000000000505</v>
      </c>
      <c r="Y1057" s="159">
        <f t="shared" ca="1" si="112"/>
        <v>-9.327053436771962</v>
      </c>
      <c r="Z1057" s="159">
        <f t="shared" ca="1" si="117"/>
        <v>-14.717576365048998</v>
      </c>
      <c r="AA1057" s="161">
        <f t="shared" ca="1" si="118"/>
        <v>-1471.7576365048999</v>
      </c>
    </row>
    <row r="1058" spans="20:27" x14ac:dyDescent="0.25">
      <c r="T1058" s="165">
        <v>1046</v>
      </c>
      <c r="U1058" s="159">
        <f t="shared" si="113"/>
        <v>275.89149999999995</v>
      </c>
      <c r="V1058" s="159">
        <f t="shared" si="114"/>
        <v>42.541499999999999</v>
      </c>
      <c r="W1058" s="159">
        <f t="shared" si="115"/>
        <v>-323.89</v>
      </c>
      <c r="X1058" s="159">
        <f t="shared" si="116"/>
        <v>-5.4570000000000505</v>
      </c>
      <c r="Y1058" s="159">
        <f t="shared" ca="1" si="112"/>
        <v>-9.327053436771962</v>
      </c>
      <c r="Z1058" s="159">
        <f t="shared" ca="1" si="117"/>
        <v>-14.717576365048998</v>
      </c>
      <c r="AA1058" s="161">
        <f t="shared" ca="1" si="118"/>
        <v>-1471.7576365048999</v>
      </c>
    </row>
    <row r="1059" spans="20:27" x14ac:dyDescent="0.25">
      <c r="T1059" s="165">
        <v>1047</v>
      </c>
      <c r="U1059" s="159">
        <f t="shared" si="113"/>
        <v>276.89149999999995</v>
      </c>
      <c r="V1059" s="159">
        <f t="shared" si="114"/>
        <v>42.541499999999999</v>
      </c>
      <c r="W1059" s="159">
        <f t="shared" si="115"/>
        <v>-324.89</v>
      </c>
      <c r="X1059" s="159">
        <f t="shared" si="116"/>
        <v>-5.4570000000000505</v>
      </c>
      <c r="Y1059" s="159">
        <f t="shared" ca="1" si="112"/>
        <v>-9.327053436771962</v>
      </c>
      <c r="Z1059" s="159">
        <f t="shared" ca="1" si="117"/>
        <v>-14.717576365048998</v>
      </c>
      <c r="AA1059" s="161">
        <f t="shared" ca="1" si="118"/>
        <v>-1471.7576365048999</v>
      </c>
    </row>
    <row r="1060" spans="20:27" x14ac:dyDescent="0.25">
      <c r="T1060" s="165">
        <v>1048</v>
      </c>
      <c r="U1060" s="159">
        <f t="shared" si="113"/>
        <v>277.89149999999995</v>
      </c>
      <c r="V1060" s="159">
        <f t="shared" si="114"/>
        <v>42.541499999999999</v>
      </c>
      <c r="W1060" s="159">
        <f t="shared" si="115"/>
        <v>-325.89</v>
      </c>
      <c r="X1060" s="159">
        <f t="shared" si="116"/>
        <v>-5.4570000000000505</v>
      </c>
      <c r="Y1060" s="159">
        <f t="shared" ca="1" si="112"/>
        <v>-9.327053436771962</v>
      </c>
      <c r="Z1060" s="159">
        <f t="shared" ca="1" si="117"/>
        <v>-14.717576365048998</v>
      </c>
      <c r="AA1060" s="161">
        <f t="shared" ca="1" si="118"/>
        <v>-1471.7576365048999</v>
      </c>
    </row>
    <row r="1061" spans="20:27" x14ac:dyDescent="0.25">
      <c r="T1061" s="165">
        <v>1049</v>
      </c>
      <c r="U1061" s="159">
        <f t="shared" si="113"/>
        <v>278.89149999999995</v>
      </c>
      <c r="V1061" s="159">
        <f t="shared" si="114"/>
        <v>42.541499999999999</v>
      </c>
      <c r="W1061" s="159">
        <f t="shared" si="115"/>
        <v>-326.89</v>
      </c>
      <c r="X1061" s="159">
        <f t="shared" si="116"/>
        <v>-5.4570000000000505</v>
      </c>
      <c r="Y1061" s="159">
        <f t="shared" ca="1" si="112"/>
        <v>-9.327053436771962</v>
      </c>
      <c r="Z1061" s="159">
        <f t="shared" ca="1" si="117"/>
        <v>-14.717576365048998</v>
      </c>
      <c r="AA1061" s="161">
        <f t="shared" ca="1" si="118"/>
        <v>-1471.7576365048999</v>
      </c>
    </row>
    <row r="1062" spans="20:27" x14ac:dyDescent="0.25">
      <c r="T1062" s="165">
        <v>1050</v>
      </c>
      <c r="U1062" s="159">
        <f t="shared" si="113"/>
        <v>279.89149999999995</v>
      </c>
      <c r="V1062" s="159">
        <f t="shared" si="114"/>
        <v>42.541499999999999</v>
      </c>
      <c r="W1062" s="159">
        <f t="shared" si="115"/>
        <v>-327.89</v>
      </c>
      <c r="X1062" s="159">
        <f t="shared" si="116"/>
        <v>-5.4570000000000505</v>
      </c>
      <c r="Y1062" s="159">
        <f t="shared" ca="1" si="112"/>
        <v>-9.327053436771962</v>
      </c>
      <c r="Z1062" s="159">
        <f t="shared" ca="1" si="117"/>
        <v>-14.717576365048998</v>
      </c>
      <c r="AA1062" s="161">
        <f t="shared" ca="1" si="118"/>
        <v>-1471.7576365048999</v>
      </c>
    </row>
    <row r="1063" spans="20:27" x14ac:dyDescent="0.25">
      <c r="T1063" s="165">
        <v>1051</v>
      </c>
      <c r="U1063" s="159">
        <f t="shared" si="113"/>
        <v>280.89149999999995</v>
      </c>
      <c r="V1063" s="159">
        <f t="shared" si="114"/>
        <v>42.541499999999999</v>
      </c>
      <c r="W1063" s="159">
        <f t="shared" si="115"/>
        <v>-328.89</v>
      </c>
      <c r="X1063" s="159">
        <f t="shared" si="116"/>
        <v>-5.4570000000000505</v>
      </c>
      <c r="Y1063" s="159">
        <f t="shared" ca="1" si="112"/>
        <v>-9.327053436771962</v>
      </c>
      <c r="Z1063" s="159">
        <f t="shared" ca="1" si="117"/>
        <v>-14.717576365048998</v>
      </c>
      <c r="AA1063" s="161">
        <f t="shared" ca="1" si="118"/>
        <v>-1471.7576365048999</v>
      </c>
    </row>
    <row r="1064" spans="20:27" x14ac:dyDescent="0.25">
      <c r="T1064" s="165">
        <v>1052</v>
      </c>
      <c r="U1064" s="159">
        <f t="shared" si="113"/>
        <v>281.89149999999995</v>
      </c>
      <c r="V1064" s="159">
        <f t="shared" si="114"/>
        <v>42.541499999999999</v>
      </c>
      <c r="W1064" s="159">
        <f t="shared" si="115"/>
        <v>-329.89</v>
      </c>
      <c r="X1064" s="159">
        <f t="shared" si="116"/>
        <v>-5.4570000000000505</v>
      </c>
      <c r="Y1064" s="159">
        <f t="shared" ca="1" si="112"/>
        <v>-9.327053436771962</v>
      </c>
      <c r="Z1064" s="159">
        <f t="shared" ca="1" si="117"/>
        <v>-14.717576365048998</v>
      </c>
      <c r="AA1064" s="161">
        <f t="shared" ca="1" si="118"/>
        <v>-1471.7576365048999</v>
      </c>
    </row>
    <row r="1065" spans="20:27" x14ac:dyDescent="0.25">
      <c r="T1065" s="165">
        <v>1053</v>
      </c>
      <c r="U1065" s="159">
        <f t="shared" si="113"/>
        <v>282.89149999999995</v>
      </c>
      <c r="V1065" s="159">
        <f t="shared" si="114"/>
        <v>42.541499999999999</v>
      </c>
      <c r="W1065" s="159">
        <f t="shared" si="115"/>
        <v>-330.89</v>
      </c>
      <c r="X1065" s="159">
        <f t="shared" si="116"/>
        <v>-5.4570000000000505</v>
      </c>
      <c r="Y1065" s="159">
        <f t="shared" ca="1" si="112"/>
        <v>-9.327053436771962</v>
      </c>
      <c r="Z1065" s="159">
        <f t="shared" ca="1" si="117"/>
        <v>-14.717576365048998</v>
      </c>
      <c r="AA1065" s="161">
        <f t="shared" ca="1" si="118"/>
        <v>-1471.7576365048999</v>
      </c>
    </row>
    <row r="1066" spans="20:27" x14ac:dyDescent="0.25">
      <c r="T1066" s="165">
        <v>1054</v>
      </c>
      <c r="U1066" s="159">
        <f t="shared" si="113"/>
        <v>283.89149999999995</v>
      </c>
      <c r="V1066" s="159">
        <f t="shared" si="114"/>
        <v>42.541499999999999</v>
      </c>
      <c r="W1066" s="159">
        <f t="shared" si="115"/>
        <v>-331.89</v>
      </c>
      <c r="X1066" s="159">
        <f t="shared" si="116"/>
        <v>-5.4570000000000505</v>
      </c>
      <c r="Y1066" s="159">
        <f t="shared" ca="1" si="112"/>
        <v>-9.327053436771962</v>
      </c>
      <c r="Z1066" s="159">
        <f t="shared" ca="1" si="117"/>
        <v>-14.717576365048998</v>
      </c>
      <c r="AA1066" s="161">
        <f t="shared" ca="1" si="118"/>
        <v>-1471.7576365048999</v>
      </c>
    </row>
    <row r="1067" spans="20:27" x14ac:dyDescent="0.25">
      <c r="T1067" s="165">
        <v>1055</v>
      </c>
      <c r="U1067" s="159">
        <f t="shared" si="113"/>
        <v>284.89149999999995</v>
      </c>
      <c r="V1067" s="159">
        <f t="shared" si="114"/>
        <v>42.541499999999999</v>
      </c>
      <c r="W1067" s="159">
        <f t="shared" si="115"/>
        <v>-332.89</v>
      </c>
      <c r="X1067" s="159">
        <f t="shared" si="116"/>
        <v>-5.4570000000000505</v>
      </c>
      <c r="Y1067" s="159">
        <f t="shared" ca="1" si="112"/>
        <v>-9.327053436771962</v>
      </c>
      <c r="Z1067" s="159">
        <f t="shared" ca="1" si="117"/>
        <v>-14.717576365048998</v>
      </c>
      <c r="AA1067" s="161">
        <f t="shared" ca="1" si="118"/>
        <v>-1471.7576365048999</v>
      </c>
    </row>
    <row r="1068" spans="20:27" x14ac:dyDescent="0.25">
      <c r="T1068" s="165">
        <v>1056</v>
      </c>
      <c r="U1068" s="159">
        <f t="shared" si="113"/>
        <v>285.89149999999995</v>
      </c>
      <c r="V1068" s="159">
        <f t="shared" si="114"/>
        <v>42.541499999999999</v>
      </c>
      <c r="W1068" s="159">
        <f t="shared" si="115"/>
        <v>-333.89</v>
      </c>
      <c r="X1068" s="159">
        <f t="shared" si="116"/>
        <v>-5.4570000000000505</v>
      </c>
      <c r="Y1068" s="159">
        <f t="shared" ca="1" si="112"/>
        <v>-9.327053436771962</v>
      </c>
      <c r="Z1068" s="159">
        <f t="shared" ca="1" si="117"/>
        <v>-14.717576365048998</v>
      </c>
      <c r="AA1068" s="161">
        <f t="shared" ca="1" si="118"/>
        <v>-1471.7576365048999</v>
      </c>
    </row>
    <row r="1069" spans="20:27" x14ac:dyDescent="0.25">
      <c r="T1069" s="165">
        <v>1057</v>
      </c>
      <c r="U1069" s="159">
        <f t="shared" si="113"/>
        <v>286.89149999999995</v>
      </c>
      <c r="V1069" s="159">
        <f t="shared" si="114"/>
        <v>42.541499999999999</v>
      </c>
      <c r="W1069" s="159">
        <f t="shared" si="115"/>
        <v>-334.89</v>
      </c>
      <c r="X1069" s="159">
        <f t="shared" si="116"/>
        <v>-5.4570000000000505</v>
      </c>
      <c r="Y1069" s="159">
        <f t="shared" ca="1" si="112"/>
        <v>-9.327053436771962</v>
      </c>
      <c r="Z1069" s="159">
        <f t="shared" ca="1" si="117"/>
        <v>-14.717576365048998</v>
      </c>
      <c r="AA1069" s="161">
        <f t="shared" ca="1" si="118"/>
        <v>-1471.7576365048999</v>
      </c>
    </row>
    <row r="1070" spans="20:27" x14ac:dyDescent="0.25">
      <c r="T1070" s="165">
        <v>1058</v>
      </c>
      <c r="U1070" s="159">
        <f t="shared" si="113"/>
        <v>287.89149999999995</v>
      </c>
      <c r="V1070" s="159">
        <f t="shared" si="114"/>
        <v>42.541499999999999</v>
      </c>
      <c r="W1070" s="159">
        <f t="shared" si="115"/>
        <v>-335.89</v>
      </c>
      <c r="X1070" s="159">
        <f t="shared" si="116"/>
        <v>-5.4570000000000505</v>
      </c>
      <c r="Y1070" s="159">
        <f t="shared" ca="1" si="112"/>
        <v>-9.327053436771962</v>
      </c>
      <c r="Z1070" s="159">
        <f t="shared" ca="1" si="117"/>
        <v>-14.717576365048998</v>
      </c>
      <c r="AA1070" s="161">
        <f t="shared" ca="1" si="118"/>
        <v>-1471.7576365048999</v>
      </c>
    </row>
    <row r="1071" spans="20:27" x14ac:dyDescent="0.25">
      <c r="T1071" s="165">
        <v>1059</v>
      </c>
      <c r="U1071" s="159">
        <f t="shared" si="113"/>
        <v>288.89149999999995</v>
      </c>
      <c r="V1071" s="159">
        <f t="shared" si="114"/>
        <v>42.541499999999999</v>
      </c>
      <c r="W1071" s="159">
        <f t="shared" si="115"/>
        <v>-336.89</v>
      </c>
      <c r="X1071" s="159">
        <f t="shared" si="116"/>
        <v>-5.4570000000000505</v>
      </c>
      <c r="Y1071" s="159">
        <f t="shared" ca="1" si="112"/>
        <v>-9.327053436771962</v>
      </c>
      <c r="Z1071" s="159">
        <f t="shared" ca="1" si="117"/>
        <v>-14.717576365048998</v>
      </c>
      <c r="AA1071" s="161">
        <f t="shared" ca="1" si="118"/>
        <v>-1471.7576365048999</v>
      </c>
    </row>
    <row r="1072" spans="20:27" x14ac:dyDescent="0.25">
      <c r="T1072" s="165">
        <v>1060</v>
      </c>
      <c r="U1072" s="159">
        <f t="shared" si="113"/>
        <v>289.89149999999995</v>
      </c>
      <c r="V1072" s="159">
        <f t="shared" si="114"/>
        <v>42.541499999999999</v>
      </c>
      <c r="W1072" s="159">
        <f t="shared" si="115"/>
        <v>-337.89</v>
      </c>
      <c r="X1072" s="159">
        <f t="shared" si="116"/>
        <v>-5.4570000000000505</v>
      </c>
      <c r="Y1072" s="159">
        <f t="shared" ca="1" si="112"/>
        <v>-9.327053436771962</v>
      </c>
      <c r="Z1072" s="159">
        <f t="shared" ca="1" si="117"/>
        <v>-14.717576365048998</v>
      </c>
      <c r="AA1072" s="161">
        <f t="shared" ca="1" si="118"/>
        <v>-1471.7576365048999</v>
      </c>
    </row>
    <row r="1073" spans="20:27" x14ac:dyDescent="0.25">
      <c r="T1073" s="165">
        <v>1061</v>
      </c>
      <c r="U1073" s="159">
        <f t="shared" si="113"/>
        <v>290.89149999999995</v>
      </c>
      <c r="V1073" s="159">
        <f t="shared" si="114"/>
        <v>42.541499999999999</v>
      </c>
      <c r="W1073" s="159">
        <f t="shared" si="115"/>
        <v>-338.89</v>
      </c>
      <c r="X1073" s="159">
        <f t="shared" si="116"/>
        <v>-5.4570000000000505</v>
      </c>
      <c r="Y1073" s="159">
        <f t="shared" ca="1" si="112"/>
        <v>-9.327053436771962</v>
      </c>
      <c r="Z1073" s="159">
        <f t="shared" ca="1" si="117"/>
        <v>-14.717576365048998</v>
      </c>
      <c r="AA1073" s="161">
        <f t="shared" ca="1" si="118"/>
        <v>-1471.7576365048999</v>
      </c>
    </row>
    <row r="1074" spans="20:27" x14ac:dyDescent="0.25">
      <c r="T1074" s="165">
        <v>1062</v>
      </c>
      <c r="U1074" s="159">
        <f t="shared" si="113"/>
        <v>291.89149999999995</v>
      </c>
      <c r="V1074" s="159">
        <f t="shared" si="114"/>
        <v>42.541499999999999</v>
      </c>
      <c r="W1074" s="159">
        <f t="shared" si="115"/>
        <v>-339.89</v>
      </c>
      <c r="X1074" s="159">
        <f t="shared" si="116"/>
        <v>-5.4570000000000505</v>
      </c>
      <c r="Y1074" s="159">
        <f t="shared" ca="1" si="112"/>
        <v>-9.327053436771962</v>
      </c>
      <c r="Z1074" s="159">
        <f t="shared" ca="1" si="117"/>
        <v>-14.717576365048998</v>
      </c>
      <c r="AA1074" s="161">
        <f t="shared" ca="1" si="118"/>
        <v>-1471.7576365048999</v>
      </c>
    </row>
    <row r="1075" spans="20:27" x14ac:dyDescent="0.25">
      <c r="T1075" s="165">
        <v>1063</v>
      </c>
      <c r="U1075" s="159">
        <f t="shared" si="113"/>
        <v>292.89149999999995</v>
      </c>
      <c r="V1075" s="159">
        <f t="shared" si="114"/>
        <v>42.541499999999999</v>
      </c>
      <c r="W1075" s="159">
        <f t="shared" si="115"/>
        <v>-340.89</v>
      </c>
      <c r="X1075" s="159">
        <f t="shared" si="116"/>
        <v>-5.4570000000000505</v>
      </c>
      <c r="Y1075" s="159">
        <f t="shared" ca="1" si="112"/>
        <v>-9.327053436771962</v>
      </c>
      <c r="Z1075" s="159">
        <f t="shared" ca="1" si="117"/>
        <v>-14.717576365048998</v>
      </c>
      <c r="AA1075" s="161">
        <f t="shared" ca="1" si="118"/>
        <v>-1471.7576365048999</v>
      </c>
    </row>
    <row r="1076" spans="20:27" x14ac:dyDescent="0.25">
      <c r="T1076" s="165">
        <v>1064</v>
      </c>
      <c r="U1076" s="159">
        <f t="shared" si="113"/>
        <v>293.89149999999995</v>
      </c>
      <c r="V1076" s="159">
        <f t="shared" si="114"/>
        <v>42.541499999999999</v>
      </c>
      <c r="W1076" s="159">
        <f t="shared" si="115"/>
        <v>-341.89</v>
      </c>
      <c r="X1076" s="159">
        <f t="shared" si="116"/>
        <v>-5.4570000000000505</v>
      </c>
      <c r="Y1076" s="159">
        <f t="shared" ca="1" si="112"/>
        <v>-9.327053436771962</v>
      </c>
      <c r="Z1076" s="159">
        <f t="shared" ca="1" si="117"/>
        <v>-14.717576365048998</v>
      </c>
      <c r="AA1076" s="161">
        <f t="shared" ca="1" si="118"/>
        <v>-1471.7576365048999</v>
      </c>
    </row>
    <row r="1077" spans="20:27" x14ac:dyDescent="0.25">
      <c r="T1077" s="165">
        <v>1065</v>
      </c>
      <c r="U1077" s="159">
        <f t="shared" si="113"/>
        <v>294.89149999999995</v>
      </c>
      <c r="V1077" s="159">
        <f t="shared" si="114"/>
        <v>42.541499999999999</v>
      </c>
      <c r="W1077" s="159">
        <f t="shared" si="115"/>
        <v>-342.89</v>
      </c>
      <c r="X1077" s="159">
        <f t="shared" si="116"/>
        <v>-5.4570000000000505</v>
      </c>
      <c r="Y1077" s="159">
        <f t="shared" ca="1" si="112"/>
        <v>-9.327053436771962</v>
      </c>
      <c r="Z1077" s="159">
        <f t="shared" ca="1" si="117"/>
        <v>-14.717576365048998</v>
      </c>
      <c r="AA1077" s="161">
        <f t="shared" ca="1" si="118"/>
        <v>-1471.7576365048999</v>
      </c>
    </row>
    <row r="1078" spans="20:27" x14ac:dyDescent="0.25">
      <c r="T1078" s="165">
        <v>1066</v>
      </c>
      <c r="U1078" s="159">
        <f t="shared" si="113"/>
        <v>295.89149999999995</v>
      </c>
      <c r="V1078" s="159">
        <f t="shared" si="114"/>
        <v>42.541499999999999</v>
      </c>
      <c r="W1078" s="159">
        <f t="shared" si="115"/>
        <v>-343.89</v>
      </c>
      <c r="X1078" s="159">
        <f t="shared" si="116"/>
        <v>-5.4570000000000505</v>
      </c>
      <c r="Y1078" s="159">
        <f t="shared" ca="1" si="112"/>
        <v>-9.327053436771962</v>
      </c>
      <c r="Z1078" s="159">
        <f t="shared" ca="1" si="117"/>
        <v>-14.717576365048998</v>
      </c>
      <c r="AA1078" s="161">
        <f t="shared" ca="1" si="118"/>
        <v>-1471.7576365048999</v>
      </c>
    </row>
    <row r="1079" spans="20:27" x14ac:dyDescent="0.25">
      <c r="T1079" s="165">
        <v>1067</v>
      </c>
      <c r="U1079" s="159">
        <f t="shared" si="113"/>
        <v>296.89149999999995</v>
      </c>
      <c r="V1079" s="159">
        <f t="shared" si="114"/>
        <v>42.541499999999999</v>
      </c>
      <c r="W1079" s="159">
        <f t="shared" si="115"/>
        <v>-344.89</v>
      </c>
      <c r="X1079" s="159">
        <f t="shared" si="116"/>
        <v>-5.4570000000000505</v>
      </c>
      <c r="Y1079" s="159">
        <f t="shared" ca="1" si="112"/>
        <v>-9.327053436771962</v>
      </c>
      <c r="Z1079" s="159">
        <f t="shared" ca="1" si="117"/>
        <v>-14.717576365048998</v>
      </c>
      <c r="AA1079" s="161">
        <f t="shared" ca="1" si="118"/>
        <v>-1471.7576365048999</v>
      </c>
    </row>
    <row r="1080" spans="20:27" x14ac:dyDescent="0.25">
      <c r="T1080" s="165">
        <v>1068</v>
      </c>
      <c r="U1080" s="159">
        <f t="shared" si="113"/>
        <v>297.89149999999995</v>
      </c>
      <c r="V1080" s="159">
        <f t="shared" si="114"/>
        <v>42.541499999999999</v>
      </c>
      <c r="W1080" s="159">
        <f t="shared" si="115"/>
        <v>-345.89</v>
      </c>
      <c r="X1080" s="159">
        <f t="shared" si="116"/>
        <v>-5.4570000000000505</v>
      </c>
      <c r="Y1080" s="159">
        <f t="shared" ca="1" si="112"/>
        <v>-9.327053436771962</v>
      </c>
      <c r="Z1080" s="159">
        <f t="shared" ca="1" si="117"/>
        <v>-14.717576365048998</v>
      </c>
      <c r="AA1080" s="161">
        <f t="shared" ca="1" si="118"/>
        <v>-1471.7576365048999</v>
      </c>
    </row>
    <row r="1081" spans="20:27" x14ac:dyDescent="0.25">
      <c r="T1081" s="165">
        <v>1069</v>
      </c>
      <c r="U1081" s="159">
        <f t="shared" si="113"/>
        <v>298.89149999999995</v>
      </c>
      <c r="V1081" s="159">
        <f t="shared" si="114"/>
        <v>42.541499999999999</v>
      </c>
      <c r="W1081" s="159">
        <f t="shared" si="115"/>
        <v>-346.89</v>
      </c>
      <c r="X1081" s="159">
        <f t="shared" si="116"/>
        <v>-5.4570000000000505</v>
      </c>
      <c r="Y1081" s="159">
        <f t="shared" ca="1" si="112"/>
        <v>-9.327053436771962</v>
      </c>
      <c r="Z1081" s="159">
        <f t="shared" ca="1" si="117"/>
        <v>-14.717576365048998</v>
      </c>
      <c r="AA1081" s="161">
        <f t="shared" ca="1" si="118"/>
        <v>-1471.7576365048999</v>
      </c>
    </row>
    <row r="1082" spans="20:27" x14ac:dyDescent="0.25">
      <c r="T1082" s="165">
        <v>1070</v>
      </c>
      <c r="U1082" s="159">
        <f t="shared" si="113"/>
        <v>299.89149999999995</v>
      </c>
      <c r="V1082" s="159">
        <f t="shared" si="114"/>
        <v>42.541499999999999</v>
      </c>
      <c r="W1082" s="159">
        <f t="shared" si="115"/>
        <v>-347.89</v>
      </c>
      <c r="X1082" s="159">
        <f t="shared" si="116"/>
        <v>-5.4570000000000505</v>
      </c>
      <c r="Y1082" s="159">
        <f t="shared" ca="1" si="112"/>
        <v>-9.327053436771962</v>
      </c>
      <c r="Z1082" s="159">
        <f t="shared" ca="1" si="117"/>
        <v>-14.717576365048998</v>
      </c>
      <c r="AA1082" s="161">
        <f t="shared" ca="1" si="118"/>
        <v>-1471.7576365048999</v>
      </c>
    </row>
    <row r="1083" spans="20:27" x14ac:dyDescent="0.25">
      <c r="T1083" s="165">
        <v>1071</v>
      </c>
      <c r="U1083" s="159">
        <f t="shared" si="113"/>
        <v>300.89149999999995</v>
      </c>
      <c r="V1083" s="159">
        <f t="shared" si="114"/>
        <v>42.541499999999999</v>
      </c>
      <c r="W1083" s="159">
        <f t="shared" si="115"/>
        <v>-348.89</v>
      </c>
      <c r="X1083" s="159">
        <f t="shared" si="116"/>
        <v>-5.4570000000000505</v>
      </c>
      <c r="Y1083" s="159">
        <f t="shared" ca="1" si="112"/>
        <v>-9.327053436771962</v>
      </c>
      <c r="Z1083" s="159">
        <f t="shared" ca="1" si="117"/>
        <v>-14.717576365048998</v>
      </c>
      <c r="AA1083" s="161">
        <f t="shared" ca="1" si="118"/>
        <v>-1471.7576365048999</v>
      </c>
    </row>
    <row r="1084" spans="20:27" x14ac:dyDescent="0.25">
      <c r="T1084" s="165">
        <v>1072</v>
      </c>
      <c r="U1084" s="159">
        <f t="shared" si="113"/>
        <v>301.89149999999995</v>
      </c>
      <c r="V1084" s="159">
        <f t="shared" si="114"/>
        <v>42.541499999999999</v>
      </c>
      <c r="W1084" s="159">
        <f t="shared" si="115"/>
        <v>-349.89</v>
      </c>
      <c r="X1084" s="159">
        <f t="shared" si="116"/>
        <v>-5.4570000000000505</v>
      </c>
      <c r="Y1084" s="159">
        <f t="shared" ca="1" si="112"/>
        <v>-9.327053436771962</v>
      </c>
      <c r="Z1084" s="159">
        <f t="shared" ca="1" si="117"/>
        <v>-14.717576365048998</v>
      </c>
      <c r="AA1084" s="161">
        <f t="shared" ca="1" si="118"/>
        <v>-1471.7576365048999</v>
      </c>
    </row>
    <row r="1085" spans="20:27" x14ac:dyDescent="0.25">
      <c r="T1085" s="165">
        <v>1073</v>
      </c>
      <c r="U1085" s="159">
        <f t="shared" si="113"/>
        <v>302.89149999999995</v>
      </c>
      <c r="V1085" s="159">
        <f t="shared" si="114"/>
        <v>42.541499999999999</v>
      </c>
      <c r="W1085" s="159">
        <f t="shared" si="115"/>
        <v>-350.89</v>
      </c>
      <c r="X1085" s="159">
        <f t="shared" si="116"/>
        <v>-5.4570000000000505</v>
      </c>
      <c r="Y1085" s="159">
        <f t="shared" ca="1" si="112"/>
        <v>-9.327053436771962</v>
      </c>
      <c r="Z1085" s="159">
        <f t="shared" ca="1" si="117"/>
        <v>-14.717576365048998</v>
      </c>
      <c r="AA1085" s="161">
        <f t="shared" ca="1" si="118"/>
        <v>-1471.7576365048999</v>
      </c>
    </row>
    <row r="1086" spans="20:27" x14ac:dyDescent="0.25">
      <c r="T1086" s="165">
        <v>1074</v>
      </c>
      <c r="U1086" s="159">
        <f t="shared" si="113"/>
        <v>303.89149999999995</v>
      </c>
      <c r="V1086" s="159">
        <f t="shared" si="114"/>
        <v>42.541499999999999</v>
      </c>
      <c r="W1086" s="159">
        <f t="shared" si="115"/>
        <v>-351.89</v>
      </c>
      <c r="X1086" s="159">
        <f t="shared" si="116"/>
        <v>-5.4570000000000505</v>
      </c>
      <c r="Y1086" s="159">
        <f t="shared" ca="1" si="112"/>
        <v>-9.327053436771962</v>
      </c>
      <c r="Z1086" s="159">
        <f t="shared" ca="1" si="117"/>
        <v>-14.717576365048998</v>
      </c>
      <c r="AA1086" s="161">
        <f t="shared" ca="1" si="118"/>
        <v>-1471.7576365048999</v>
      </c>
    </row>
    <row r="1087" spans="20:27" x14ac:dyDescent="0.25">
      <c r="T1087" s="165">
        <v>1075</v>
      </c>
      <c r="U1087" s="159">
        <f t="shared" si="113"/>
        <v>304.89149999999995</v>
      </c>
      <c r="V1087" s="159">
        <f t="shared" si="114"/>
        <v>42.541499999999999</v>
      </c>
      <c r="W1087" s="159">
        <f t="shared" si="115"/>
        <v>-352.89</v>
      </c>
      <c r="X1087" s="159">
        <f t="shared" si="116"/>
        <v>-5.4570000000000505</v>
      </c>
      <c r="Y1087" s="159">
        <f t="shared" ca="1" si="112"/>
        <v>-9.327053436771962</v>
      </c>
      <c r="Z1087" s="159">
        <f t="shared" ca="1" si="117"/>
        <v>-14.717576365048998</v>
      </c>
      <c r="AA1087" s="161">
        <f t="shared" ca="1" si="118"/>
        <v>-1471.7576365048999</v>
      </c>
    </row>
    <row r="1088" spans="20:27" x14ac:dyDescent="0.25">
      <c r="T1088" s="165">
        <v>1076</v>
      </c>
      <c r="U1088" s="159">
        <f t="shared" si="113"/>
        <v>305.89149999999995</v>
      </c>
      <c r="V1088" s="159">
        <f t="shared" si="114"/>
        <v>42.541499999999999</v>
      </c>
      <c r="W1088" s="159">
        <f t="shared" si="115"/>
        <v>-353.89</v>
      </c>
      <c r="X1088" s="159">
        <f t="shared" si="116"/>
        <v>-5.4570000000000505</v>
      </c>
      <c r="Y1088" s="159">
        <f t="shared" ca="1" si="112"/>
        <v>-9.327053436771962</v>
      </c>
      <c r="Z1088" s="159">
        <f t="shared" ca="1" si="117"/>
        <v>-14.717576365048998</v>
      </c>
      <c r="AA1088" s="161">
        <f t="shared" ca="1" si="118"/>
        <v>-1471.7576365048999</v>
      </c>
    </row>
    <row r="1089" spans="20:27" x14ac:dyDescent="0.25">
      <c r="T1089" s="165">
        <v>1077</v>
      </c>
      <c r="U1089" s="159">
        <f t="shared" si="113"/>
        <v>306.89149999999995</v>
      </c>
      <c r="V1089" s="159">
        <f t="shared" si="114"/>
        <v>42.541499999999999</v>
      </c>
      <c r="W1089" s="159">
        <f t="shared" si="115"/>
        <v>-354.89</v>
      </c>
      <c r="X1089" s="159">
        <f t="shared" si="116"/>
        <v>-5.4570000000000505</v>
      </c>
      <c r="Y1089" s="159">
        <f t="shared" ca="1" si="112"/>
        <v>-9.327053436771962</v>
      </c>
      <c r="Z1089" s="159">
        <f t="shared" ca="1" si="117"/>
        <v>-14.717576365048998</v>
      </c>
      <c r="AA1089" s="161">
        <f t="shared" ca="1" si="118"/>
        <v>-1471.7576365048999</v>
      </c>
    </row>
    <row r="1090" spans="20:27" x14ac:dyDescent="0.25">
      <c r="T1090" s="165">
        <v>1078</v>
      </c>
      <c r="U1090" s="159">
        <f t="shared" si="113"/>
        <v>307.89149999999995</v>
      </c>
      <c r="V1090" s="159">
        <f t="shared" si="114"/>
        <v>42.541499999999999</v>
      </c>
      <c r="W1090" s="159">
        <f t="shared" si="115"/>
        <v>-355.89</v>
      </c>
      <c r="X1090" s="159">
        <f t="shared" si="116"/>
        <v>-5.4570000000000505</v>
      </c>
      <c r="Y1090" s="159">
        <f t="shared" ca="1" si="112"/>
        <v>-9.327053436771962</v>
      </c>
      <c r="Z1090" s="159">
        <f t="shared" ca="1" si="117"/>
        <v>-14.717576365048998</v>
      </c>
      <c r="AA1090" s="161">
        <f t="shared" ca="1" si="118"/>
        <v>-1471.7576365048999</v>
      </c>
    </row>
    <row r="1091" spans="20:27" x14ac:dyDescent="0.25">
      <c r="T1091" s="165">
        <v>1079</v>
      </c>
      <c r="U1091" s="159">
        <f t="shared" si="113"/>
        <v>308.89149999999995</v>
      </c>
      <c r="V1091" s="159">
        <f t="shared" si="114"/>
        <v>42.541499999999999</v>
      </c>
      <c r="W1091" s="159">
        <f t="shared" si="115"/>
        <v>-356.89</v>
      </c>
      <c r="X1091" s="159">
        <f t="shared" si="116"/>
        <v>-5.4570000000000505</v>
      </c>
      <c r="Y1091" s="159">
        <f t="shared" ca="1" si="112"/>
        <v>-9.327053436771962</v>
      </c>
      <c r="Z1091" s="159">
        <f t="shared" ca="1" si="117"/>
        <v>-14.717576365048998</v>
      </c>
      <c r="AA1091" s="161">
        <f t="shared" ca="1" si="118"/>
        <v>-1471.7576365048999</v>
      </c>
    </row>
    <row r="1092" spans="20:27" x14ac:dyDescent="0.25">
      <c r="T1092" s="165">
        <v>1080</v>
      </c>
      <c r="U1092" s="159">
        <f t="shared" si="113"/>
        <v>309.89149999999995</v>
      </c>
      <c r="V1092" s="159">
        <f t="shared" si="114"/>
        <v>42.541499999999999</v>
      </c>
      <c r="W1092" s="159">
        <f t="shared" si="115"/>
        <v>-357.89</v>
      </c>
      <c r="X1092" s="159">
        <f t="shared" si="116"/>
        <v>-5.4570000000000505</v>
      </c>
      <c r="Y1092" s="159">
        <f t="shared" ca="1" si="112"/>
        <v>-9.327053436771962</v>
      </c>
      <c r="Z1092" s="159">
        <f t="shared" ca="1" si="117"/>
        <v>-14.717576365048998</v>
      </c>
      <c r="AA1092" s="161">
        <f t="shared" ca="1" si="118"/>
        <v>-1471.7576365048999</v>
      </c>
    </row>
    <row r="1093" spans="20:27" x14ac:dyDescent="0.25">
      <c r="T1093" s="165">
        <v>1081</v>
      </c>
      <c r="U1093" s="159">
        <f t="shared" si="113"/>
        <v>310.89149999999995</v>
      </c>
      <c r="V1093" s="159">
        <f t="shared" si="114"/>
        <v>42.541499999999999</v>
      </c>
      <c r="W1093" s="159">
        <f t="shared" si="115"/>
        <v>-358.89</v>
      </c>
      <c r="X1093" s="159">
        <f t="shared" si="116"/>
        <v>-5.4570000000000505</v>
      </c>
      <c r="Y1093" s="159">
        <f t="shared" ca="1" si="112"/>
        <v>-9.327053436771962</v>
      </c>
      <c r="Z1093" s="159">
        <f t="shared" ca="1" si="117"/>
        <v>-14.717576365048998</v>
      </c>
      <c r="AA1093" s="161">
        <f t="shared" ca="1" si="118"/>
        <v>-1471.7576365048999</v>
      </c>
    </row>
    <row r="1094" spans="20:27" x14ac:dyDescent="0.25">
      <c r="T1094" s="165">
        <v>1082</v>
      </c>
      <c r="U1094" s="159">
        <f t="shared" si="113"/>
        <v>311.89149999999995</v>
      </c>
      <c r="V1094" s="159">
        <f t="shared" si="114"/>
        <v>42.541499999999999</v>
      </c>
      <c r="W1094" s="159">
        <f t="shared" si="115"/>
        <v>-359.89</v>
      </c>
      <c r="X1094" s="159">
        <f t="shared" si="116"/>
        <v>-5.4570000000000505</v>
      </c>
      <c r="Y1094" s="159">
        <f t="shared" ca="1" si="112"/>
        <v>-9.327053436771962</v>
      </c>
      <c r="Z1094" s="159">
        <f t="shared" ca="1" si="117"/>
        <v>-14.717576365048998</v>
      </c>
      <c r="AA1094" s="161">
        <f t="shared" ca="1" si="118"/>
        <v>-1471.7576365048999</v>
      </c>
    </row>
    <row r="1095" spans="20:27" x14ac:dyDescent="0.25">
      <c r="T1095" s="165">
        <v>1083</v>
      </c>
      <c r="U1095" s="159">
        <f t="shared" si="113"/>
        <v>312.89149999999995</v>
      </c>
      <c r="V1095" s="159">
        <f t="shared" si="114"/>
        <v>42.541499999999999</v>
      </c>
      <c r="W1095" s="159">
        <f t="shared" si="115"/>
        <v>-360.89</v>
      </c>
      <c r="X1095" s="159">
        <f t="shared" si="116"/>
        <v>-5.4570000000000505</v>
      </c>
      <c r="Y1095" s="159">
        <f t="shared" ca="1" si="112"/>
        <v>-9.327053436771962</v>
      </c>
      <c r="Z1095" s="159">
        <f t="shared" ca="1" si="117"/>
        <v>-14.717576365048998</v>
      </c>
      <c r="AA1095" s="161">
        <f t="shared" ca="1" si="118"/>
        <v>-1471.7576365048999</v>
      </c>
    </row>
    <row r="1096" spans="20:27" x14ac:dyDescent="0.25">
      <c r="T1096" s="165">
        <v>1084</v>
      </c>
      <c r="U1096" s="159">
        <f t="shared" si="113"/>
        <v>313.89149999999995</v>
      </c>
      <c r="V1096" s="159">
        <f t="shared" si="114"/>
        <v>42.541499999999999</v>
      </c>
      <c r="W1096" s="159">
        <f t="shared" si="115"/>
        <v>-361.89</v>
      </c>
      <c r="X1096" s="159">
        <f t="shared" si="116"/>
        <v>-5.4570000000000505</v>
      </c>
      <c r="Y1096" s="159">
        <f t="shared" ca="1" si="112"/>
        <v>-9.327053436771962</v>
      </c>
      <c r="Z1096" s="159">
        <f t="shared" ca="1" si="117"/>
        <v>-14.717576365048998</v>
      </c>
      <c r="AA1096" s="161">
        <f t="shared" ca="1" si="118"/>
        <v>-1471.7576365048999</v>
      </c>
    </row>
    <row r="1097" spans="20:27" x14ac:dyDescent="0.25">
      <c r="T1097" s="165">
        <v>1085</v>
      </c>
      <c r="U1097" s="159">
        <f t="shared" si="113"/>
        <v>314.89149999999995</v>
      </c>
      <c r="V1097" s="159">
        <f t="shared" si="114"/>
        <v>42.541499999999999</v>
      </c>
      <c r="W1097" s="159">
        <f t="shared" si="115"/>
        <v>-362.89</v>
      </c>
      <c r="X1097" s="159">
        <f t="shared" si="116"/>
        <v>-5.4570000000000505</v>
      </c>
      <c r="Y1097" s="159">
        <f t="shared" ca="1" si="112"/>
        <v>-9.327053436771962</v>
      </c>
      <c r="Z1097" s="159">
        <f t="shared" ca="1" si="117"/>
        <v>-14.717576365048998</v>
      </c>
      <c r="AA1097" s="161">
        <f t="shared" ca="1" si="118"/>
        <v>-1471.7576365048999</v>
      </c>
    </row>
    <row r="1098" spans="20:27" x14ac:dyDescent="0.25">
      <c r="T1098" s="165">
        <v>1086</v>
      </c>
      <c r="U1098" s="159">
        <f t="shared" si="113"/>
        <v>315.89149999999995</v>
      </c>
      <c r="V1098" s="159">
        <f t="shared" si="114"/>
        <v>42.541499999999999</v>
      </c>
      <c r="W1098" s="159">
        <f t="shared" si="115"/>
        <v>-363.89</v>
      </c>
      <c r="X1098" s="159">
        <f t="shared" si="116"/>
        <v>-5.4570000000000505</v>
      </c>
      <c r="Y1098" s="159">
        <f t="shared" ca="1" si="112"/>
        <v>-9.327053436771962</v>
      </c>
      <c r="Z1098" s="159">
        <f t="shared" ca="1" si="117"/>
        <v>-14.717576365048998</v>
      </c>
      <c r="AA1098" s="161">
        <f t="shared" ca="1" si="118"/>
        <v>-1471.7576365048999</v>
      </c>
    </row>
    <row r="1099" spans="20:27" x14ac:dyDescent="0.25">
      <c r="T1099" s="165">
        <v>1087</v>
      </c>
      <c r="U1099" s="159">
        <f t="shared" si="113"/>
        <v>316.89149999999995</v>
      </c>
      <c r="V1099" s="159">
        <f t="shared" si="114"/>
        <v>42.541499999999999</v>
      </c>
      <c r="W1099" s="159">
        <f t="shared" si="115"/>
        <v>-364.89</v>
      </c>
      <c r="X1099" s="159">
        <f t="shared" si="116"/>
        <v>-5.4570000000000505</v>
      </c>
      <c r="Y1099" s="159">
        <f t="shared" ca="1" si="112"/>
        <v>-9.327053436771962</v>
      </c>
      <c r="Z1099" s="159">
        <f t="shared" ca="1" si="117"/>
        <v>-14.717576365048998</v>
      </c>
      <c r="AA1099" s="161">
        <f t="shared" ca="1" si="118"/>
        <v>-1471.7576365048999</v>
      </c>
    </row>
    <row r="1100" spans="20:27" x14ac:dyDescent="0.25">
      <c r="T1100" s="165">
        <v>1088</v>
      </c>
      <c r="U1100" s="159">
        <f t="shared" si="113"/>
        <v>317.89149999999995</v>
      </c>
      <c r="V1100" s="159">
        <f t="shared" si="114"/>
        <v>42.541499999999999</v>
      </c>
      <c r="W1100" s="159">
        <f t="shared" si="115"/>
        <v>-365.89</v>
      </c>
      <c r="X1100" s="159">
        <f t="shared" si="116"/>
        <v>-5.4570000000000505</v>
      </c>
      <c r="Y1100" s="159">
        <f t="shared" ref="Y1100:Y1163" ca="1" si="119">$Y$10*EXP($Y$7*$C$6)-$Y$10</f>
        <v>-9.327053436771962</v>
      </c>
      <c r="Z1100" s="159">
        <f t="shared" ca="1" si="117"/>
        <v>-14.717576365048998</v>
      </c>
      <c r="AA1100" s="161">
        <f t="shared" ca="1" si="118"/>
        <v>-1471.7576365048999</v>
      </c>
    </row>
    <row r="1101" spans="20:27" x14ac:dyDescent="0.25">
      <c r="T1101" s="165">
        <v>1089</v>
      </c>
      <c r="U1101" s="159">
        <f t="shared" ref="U1101:U1164" si="120">MAX(0,T1101-$U$9)-$U$10-$U$11/100</f>
        <v>318.89149999999995</v>
      </c>
      <c r="V1101" s="159">
        <f t="shared" ref="V1101:V1164" si="121">$V$10-MAX(0,$V$9-T1101)-$V$11/100</f>
        <v>42.541499999999999</v>
      </c>
      <c r="W1101" s="159">
        <f t="shared" ref="W1101:W1164" si="122">$W$10-T1101</f>
        <v>-366.89</v>
      </c>
      <c r="X1101" s="159">
        <f t="shared" ref="X1101:X1164" si="123">SUM(U1101:W1101)</f>
        <v>-5.4570000000000505</v>
      </c>
      <c r="Y1101" s="159">
        <f t="shared" ca="1" si="119"/>
        <v>-9.327053436771962</v>
      </c>
      <c r="Z1101" s="159">
        <f t="shared" ref="Z1101:Z1164" ca="1" si="124">EXP(-$E$3*$C$6)*SUM(X1101:Y1101)</f>
        <v>-14.717576365048998</v>
      </c>
      <c r="AA1101" s="161">
        <f t="shared" ref="AA1101:AA1164" ca="1" si="125">Z1101*100</f>
        <v>-1471.7576365048999</v>
      </c>
    </row>
    <row r="1102" spans="20:27" x14ac:dyDescent="0.25">
      <c r="T1102" s="165">
        <v>1090</v>
      </c>
      <c r="U1102" s="159">
        <f t="shared" si="120"/>
        <v>319.89149999999995</v>
      </c>
      <c r="V1102" s="159">
        <f t="shared" si="121"/>
        <v>42.541499999999999</v>
      </c>
      <c r="W1102" s="159">
        <f t="shared" si="122"/>
        <v>-367.89</v>
      </c>
      <c r="X1102" s="159">
        <f t="shared" si="123"/>
        <v>-5.4570000000000505</v>
      </c>
      <c r="Y1102" s="159">
        <f t="shared" ca="1" si="119"/>
        <v>-9.327053436771962</v>
      </c>
      <c r="Z1102" s="159">
        <f t="shared" ca="1" si="124"/>
        <v>-14.717576365048998</v>
      </c>
      <c r="AA1102" s="161">
        <f t="shared" ca="1" si="125"/>
        <v>-1471.7576365048999</v>
      </c>
    </row>
    <row r="1103" spans="20:27" x14ac:dyDescent="0.25">
      <c r="T1103" s="165">
        <v>1091</v>
      </c>
      <c r="U1103" s="159">
        <f t="shared" si="120"/>
        <v>320.89149999999995</v>
      </c>
      <c r="V1103" s="159">
        <f t="shared" si="121"/>
        <v>42.541499999999999</v>
      </c>
      <c r="W1103" s="159">
        <f t="shared" si="122"/>
        <v>-368.89</v>
      </c>
      <c r="X1103" s="159">
        <f t="shared" si="123"/>
        <v>-5.4570000000000505</v>
      </c>
      <c r="Y1103" s="159">
        <f t="shared" ca="1" si="119"/>
        <v>-9.327053436771962</v>
      </c>
      <c r="Z1103" s="159">
        <f t="shared" ca="1" si="124"/>
        <v>-14.717576365048998</v>
      </c>
      <c r="AA1103" s="161">
        <f t="shared" ca="1" si="125"/>
        <v>-1471.7576365048999</v>
      </c>
    </row>
    <row r="1104" spans="20:27" x14ac:dyDescent="0.25">
      <c r="T1104" s="165">
        <v>1092</v>
      </c>
      <c r="U1104" s="159">
        <f t="shared" si="120"/>
        <v>321.89149999999995</v>
      </c>
      <c r="V1104" s="159">
        <f t="shared" si="121"/>
        <v>42.541499999999999</v>
      </c>
      <c r="W1104" s="159">
        <f t="shared" si="122"/>
        <v>-369.89</v>
      </c>
      <c r="X1104" s="159">
        <f t="shared" si="123"/>
        <v>-5.4570000000000505</v>
      </c>
      <c r="Y1104" s="159">
        <f t="shared" ca="1" si="119"/>
        <v>-9.327053436771962</v>
      </c>
      <c r="Z1104" s="159">
        <f t="shared" ca="1" si="124"/>
        <v>-14.717576365048998</v>
      </c>
      <c r="AA1104" s="161">
        <f t="shared" ca="1" si="125"/>
        <v>-1471.7576365048999</v>
      </c>
    </row>
    <row r="1105" spans="20:27" x14ac:dyDescent="0.25">
      <c r="T1105" s="165">
        <v>1093</v>
      </c>
      <c r="U1105" s="159">
        <f t="shared" si="120"/>
        <v>322.89149999999995</v>
      </c>
      <c r="V1105" s="159">
        <f t="shared" si="121"/>
        <v>42.541499999999999</v>
      </c>
      <c r="W1105" s="159">
        <f t="shared" si="122"/>
        <v>-370.89</v>
      </c>
      <c r="X1105" s="159">
        <f t="shared" si="123"/>
        <v>-5.4570000000000505</v>
      </c>
      <c r="Y1105" s="159">
        <f t="shared" ca="1" si="119"/>
        <v>-9.327053436771962</v>
      </c>
      <c r="Z1105" s="159">
        <f t="shared" ca="1" si="124"/>
        <v>-14.717576365048998</v>
      </c>
      <c r="AA1105" s="161">
        <f t="shared" ca="1" si="125"/>
        <v>-1471.7576365048999</v>
      </c>
    </row>
    <row r="1106" spans="20:27" x14ac:dyDescent="0.25">
      <c r="T1106" s="165">
        <v>1094</v>
      </c>
      <c r="U1106" s="159">
        <f t="shared" si="120"/>
        <v>323.89149999999995</v>
      </c>
      <c r="V1106" s="159">
        <f t="shared" si="121"/>
        <v>42.541499999999999</v>
      </c>
      <c r="W1106" s="159">
        <f t="shared" si="122"/>
        <v>-371.89</v>
      </c>
      <c r="X1106" s="159">
        <f t="shared" si="123"/>
        <v>-5.4570000000000505</v>
      </c>
      <c r="Y1106" s="159">
        <f t="shared" ca="1" si="119"/>
        <v>-9.327053436771962</v>
      </c>
      <c r="Z1106" s="159">
        <f t="shared" ca="1" si="124"/>
        <v>-14.717576365048998</v>
      </c>
      <c r="AA1106" s="161">
        <f t="shared" ca="1" si="125"/>
        <v>-1471.7576365048999</v>
      </c>
    </row>
    <row r="1107" spans="20:27" x14ac:dyDescent="0.25">
      <c r="T1107" s="165">
        <v>1095</v>
      </c>
      <c r="U1107" s="159">
        <f t="shared" si="120"/>
        <v>324.89149999999995</v>
      </c>
      <c r="V1107" s="159">
        <f t="shared" si="121"/>
        <v>42.541499999999999</v>
      </c>
      <c r="W1107" s="159">
        <f t="shared" si="122"/>
        <v>-372.89</v>
      </c>
      <c r="X1107" s="159">
        <f t="shared" si="123"/>
        <v>-5.4570000000000505</v>
      </c>
      <c r="Y1107" s="159">
        <f t="shared" ca="1" si="119"/>
        <v>-9.327053436771962</v>
      </c>
      <c r="Z1107" s="159">
        <f t="shared" ca="1" si="124"/>
        <v>-14.717576365048998</v>
      </c>
      <c r="AA1107" s="161">
        <f t="shared" ca="1" si="125"/>
        <v>-1471.7576365048999</v>
      </c>
    </row>
    <row r="1108" spans="20:27" x14ac:dyDescent="0.25">
      <c r="T1108" s="165">
        <v>1096</v>
      </c>
      <c r="U1108" s="159">
        <f t="shared" si="120"/>
        <v>325.89149999999995</v>
      </c>
      <c r="V1108" s="159">
        <f t="shared" si="121"/>
        <v>42.541499999999999</v>
      </c>
      <c r="W1108" s="159">
        <f t="shared" si="122"/>
        <v>-373.89</v>
      </c>
      <c r="X1108" s="159">
        <f t="shared" si="123"/>
        <v>-5.4570000000000505</v>
      </c>
      <c r="Y1108" s="159">
        <f t="shared" ca="1" si="119"/>
        <v>-9.327053436771962</v>
      </c>
      <c r="Z1108" s="159">
        <f t="shared" ca="1" si="124"/>
        <v>-14.717576365048998</v>
      </c>
      <c r="AA1108" s="161">
        <f t="shared" ca="1" si="125"/>
        <v>-1471.7576365048999</v>
      </c>
    </row>
    <row r="1109" spans="20:27" x14ac:dyDescent="0.25">
      <c r="T1109" s="165">
        <v>1097</v>
      </c>
      <c r="U1109" s="159">
        <f t="shared" si="120"/>
        <v>326.89149999999995</v>
      </c>
      <c r="V1109" s="159">
        <f t="shared" si="121"/>
        <v>42.541499999999999</v>
      </c>
      <c r="W1109" s="159">
        <f t="shared" si="122"/>
        <v>-374.89</v>
      </c>
      <c r="X1109" s="159">
        <f t="shared" si="123"/>
        <v>-5.4570000000000505</v>
      </c>
      <c r="Y1109" s="159">
        <f t="shared" ca="1" si="119"/>
        <v>-9.327053436771962</v>
      </c>
      <c r="Z1109" s="159">
        <f t="shared" ca="1" si="124"/>
        <v>-14.717576365048998</v>
      </c>
      <c r="AA1109" s="161">
        <f t="shared" ca="1" si="125"/>
        <v>-1471.7576365048999</v>
      </c>
    </row>
    <row r="1110" spans="20:27" x14ac:dyDescent="0.25">
      <c r="T1110" s="165">
        <v>1098</v>
      </c>
      <c r="U1110" s="159">
        <f t="shared" si="120"/>
        <v>327.89149999999995</v>
      </c>
      <c r="V1110" s="159">
        <f t="shared" si="121"/>
        <v>42.541499999999999</v>
      </c>
      <c r="W1110" s="159">
        <f t="shared" si="122"/>
        <v>-375.89</v>
      </c>
      <c r="X1110" s="159">
        <f t="shared" si="123"/>
        <v>-5.4570000000000505</v>
      </c>
      <c r="Y1110" s="159">
        <f t="shared" ca="1" si="119"/>
        <v>-9.327053436771962</v>
      </c>
      <c r="Z1110" s="159">
        <f t="shared" ca="1" si="124"/>
        <v>-14.717576365048998</v>
      </c>
      <c r="AA1110" s="161">
        <f t="shared" ca="1" si="125"/>
        <v>-1471.7576365048999</v>
      </c>
    </row>
    <row r="1111" spans="20:27" x14ac:dyDescent="0.25">
      <c r="T1111" s="165">
        <v>1099</v>
      </c>
      <c r="U1111" s="159">
        <f t="shared" si="120"/>
        <v>328.89149999999995</v>
      </c>
      <c r="V1111" s="159">
        <f t="shared" si="121"/>
        <v>42.541499999999999</v>
      </c>
      <c r="W1111" s="159">
        <f t="shared" si="122"/>
        <v>-376.89</v>
      </c>
      <c r="X1111" s="159">
        <f t="shared" si="123"/>
        <v>-5.4570000000000505</v>
      </c>
      <c r="Y1111" s="159">
        <f t="shared" ca="1" si="119"/>
        <v>-9.327053436771962</v>
      </c>
      <c r="Z1111" s="159">
        <f t="shared" ca="1" si="124"/>
        <v>-14.717576365048998</v>
      </c>
      <c r="AA1111" s="161">
        <f t="shared" ca="1" si="125"/>
        <v>-1471.7576365048999</v>
      </c>
    </row>
    <row r="1112" spans="20:27" x14ac:dyDescent="0.25">
      <c r="T1112" s="165">
        <v>1100</v>
      </c>
      <c r="U1112" s="159">
        <f t="shared" si="120"/>
        <v>329.89149999999995</v>
      </c>
      <c r="V1112" s="159">
        <f t="shared" si="121"/>
        <v>42.541499999999999</v>
      </c>
      <c r="W1112" s="159">
        <f t="shared" si="122"/>
        <v>-377.89</v>
      </c>
      <c r="X1112" s="159">
        <f t="shared" si="123"/>
        <v>-5.4570000000000505</v>
      </c>
      <c r="Y1112" s="159">
        <f t="shared" ca="1" si="119"/>
        <v>-9.327053436771962</v>
      </c>
      <c r="Z1112" s="159">
        <f t="shared" ca="1" si="124"/>
        <v>-14.717576365048998</v>
      </c>
      <c r="AA1112" s="161">
        <f t="shared" ca="1" si="125"/>
        <v>-1471.7576365048999</v>
      </c>
    </row>
    <row r="1113" spans="20:27" x14ac:dyDescent="0.25">
      <c r="T1113" s="165">
        <v>1101</v>
      </c>
      <c r="U1113" s="159">
        <f t="shared" si="120"/>
        <v>330.89149999999995</v>
      </c>
      <c r="V1113" s="159">
        <f t="shared" si="121"/>
        <v>42.541499999999999</v>
      </c>
      <c r="W1113" s="159">
        <f t="shared" si="122"/>
        <v>-378.89</v>
      </c>
      <c r="X1113" s="159">
        <f t="shared" si="123"/>
        <v>-5.4570000000000505</v>
      </c>
      <c r="Y1113" s="159">
        <f t="shared" ca="1" si="119"/>
        <v>-9.327053436771962</v>
      </c>
      <c r="Z1113" s="159">
        <f t="shared" ca="1" si="124"/>
        <v>-14.717576365048998</v>
      </c>
      <c r="AA1113" s="161">
        <f t="shared" ca="1" si="125"/>
        <v>-1471.7576365048999</v>
      </c>
    </row>
    <row r="1114" spans="20:27" x14ac:dyDescent="0.25">
      <c r="T1114" s="165">
        <v>1102</v>
      </c>
      <c r="U1114" s="159">
        <f t="shared" si="120"/>
        <v>331.89149999999995</v>
      </c>
      <c r="V1114" s="159">
        <f t="shared" si="121"/>
        <v>42.541499999999999</v>
      </c>
      <c r="W1114" s="159">
        <f t="shared" si="122"/>
        <v>-379.89</v>
      </c>
      <c r="X1114" s="159">
        <f t="shared" si="123"/>
        <v>-5.4570000000000505</v>
      </c>
      <c r="Y1114" s="159">
        <f t="shared" ca="1" si="119"/>
        <v>-9.327053436771962</v>
      </c>
      <c r="Z1114" s="159">
        <f t="shared" ca="1" si="124"/>
        <v>-14.717576365048998</v>
      </c>
      <c r="AA1114" s="161">
        <f t="shared" ca="1" si="125"/>
        <v>-1471.7576365048999</v>
      </c>
    </row>
    <row r="1115" spans="20:27" x14ac:dyDescent="0.25">
      <c r="T1115" s="165">
        <v>1103</v>
      </c>
      <c r="U1115" s="159">
        <f t="shared" si="120"/>
        <v>332.89149999999995</v>
      </c>
      <c r="V1115" s="159">
        <f t="shared" si="121"/>
        <v>42.541499999999999</v>
      </c>
      <c r="W1115" s="159">
        <f t="shared" si="122"/>
        <v>-380.89</v>
      </c>
      <c r="X1115" s="159">
        <f t="shared" si="123"/>
        <v>-5.4570000000000505</v>
      </c>
      <c r="Y1115" s="159">
        <f t="shared" ca="1" si="119"/>
        <v>-9.327053436771962</v>
      </c>
      <c r="Z1115" s="159">
        <f t="shared" ca="1" si="124"/>
        <v>-14.717576365048998</v>
      </c>
      <c r="AA1115" s="161">
        <f t="shared" ca="1" si="125"/>
        <v>-1471.7576365048999</v>
      </c>
    </row>
    <row r="1116" spans="20:27" x14ac:dyDescent="0.25">
      <c r="T1116" s="165">
        <v>1104</v>
      </c>
      <c r="U1116" s="159">
        <f t="shared" si="120"/>
        <v>333.89149999999995</v>
      </c>
      <c r="V1116" s="159">
        <f t="shared" si="121"/>
        <v>42.541499999999999</v>
      </c>
      <c r="W1116" s="159">
        <f t="shared" si="122"/>
        <v>-381.89</v>
      </c>
      <c r="X1116" s="159">
        <f t="shared" si="123"/>
        <v>-5.4570000000000505</v>
      </c>
      <c r="Y1116" s="159">
        <f t="shared" ca="1" si="119"/>
        <v>-9.327053436771962</v>
      </c>
      <c r="Z1116" s="159">
        <f t="shared" ca="1" si="124"/>
        <v>-14.717576365048998</v>
      </c>
      <c r="AA1116" s="161">
        <f t="shared" ca="1" si="125"/>
        <v>-1471.7576365048999</v>
      </c>
    </row>
    <row r="1117" spans="20:27" x14ac:dyDescent="0.25">
      <c r="T1117" s="165">
        <v>1105</v>
      </c>
      <c r="U1117" s="159">
        <f t="shared" si="120"/>
        <v>334.89149999999995</v>
      </c>
      <c r="V1117" s="159">
        <f t="shared" si="121"/>
        <v>42.541499999999999</v>
      </c>
      <c r="W1117" s="159">
        <f t="shared" si="122"/>
        <v>-382.89</v>
      </c>
      <c r="X1117" s="159">
        <f t="shared" si="123"/>
        <v>-5.4570000000000505</v>
      </c>
      <c r="Y1117" s="159">
        <f t="shared" ca="1" si="119"/>
        <v>-9.327053436771962</v>
      </c>
      <c r="Z1117" s="159">
        <f t="shared" ca="1" si="124"/>
        <v>-14.717576365048998</v>
      </c>
      <c r="AA1117" s="161">
        <f t="shared" ca="1" si="125"/>
        <v>-1471.7576365048999</v>
      </c>
    </row>
    <row r="1118" spans="20:27" x14ac:dyDescent="0.25">
      <c r="T1118" s="165">
        <v>1106</v>
      </c>
      <c r="U1118" s="159">
        <f t="shared" si="120"/>
        <v>335.89149999999995</v>
      </c>
      <c r="V1118" s="159">
        <f t="shared" si="121"/>
        <v>42.541499999999999</v>
      </c>
      <c r="W1118" s="159">
        <f t="shared" si="122"/>
        <v>-383.89</v>
      </c>
      <c r="X1118" s="159">
        <f t="shared" si="123"/>
        <v>-5.4570000000000505</v>
      </c>
      <c r="Y1118" s="159">
        <f t="shared" ca="1" si="119"/>
        <v>-9.327053436771962</v>
      </c>
      <c r="Z1118" s="159">
        <f t="shared" ca="1" si="124"/>
        <v>-14.717576365048998</v>
      </c>
      <c r="AA1118" s="161">
        <f t="shared" ca="1" si="125"/>
        <v>-1471.7576365048999</v>
      </c>
    </row>
    <row r="1119" spans="20:27" x14ac:dyDescent="0.25">
      <c r="T1119" s="165">
        <v>1107</v>
      </c>
      <c r="U1119" s="159">
        <f t="shared" si="120"/>
        <v>336.89149999999995</v>
      </c>
      <c r="V1119" s="159">
        <f t="shared" si="121"/>
        <v>42.541499999999999</v>
      </c>
      <c r="W1119" s="159">
        <f t="shared" si="122"/>
        <v>-384.89</v>
      </c>
      <c r="X1119" s="159">
        <f t="shared" si="123"/>
        <v>-5.4570000000000505</v>
      </c>
      <c r="Y1119" s="159">
        <f t="shared" ca="1" si="119"/>
        <v>-9.327053436771962</v>
      </c>
      <c r="Z1119" s="159">
        <f t="shared" ca="1" si="124"/>
        <v>-14.717576365048998</v>
      </c>
      <c r="AA1119" s="161">
        <f t="shared" ca="1" si="125"/>
        <v>-1471.7576365048999</v>
      </c>
    </row>
    <row r="1120" spans="20:27" x14ac:dyDescent="0.25">
      <c r="T1120" s="165">
        <v>1108</v>
      </c>
      <c r="U1120" s="159">
        <f t="shared" si="120"/>
        <v>337.89149999999995</v>
      </c>
      <c r="V1120" s="159">
        <f t="shared" si="121"/>
        <v>42.541499999999999</v>
      </c>
      <c r="W1120" s="159">
        <f t="shared" si="122"/>
        <v>-385.89</v>
      </c>
      <c r="X1120" s="159">
        <f t="shared" si="123"/>
        <v>-5.4570000000000505</v>
      </c>
      <c r="Y1120" s="159">
        <f t="shared" ca="1" si="119"/>
        <v>-9.327053436771962</v>
      </c>
      <c r="Z1120" s="159">
        <f t="shared" ca="1" si="124"/>
        <v>-14.717576365048998</v>
      </c>
      <c r="AA1120" s="161">
        <f t="shared" ca="1" si="125"/>
        <v>-1471.7576365048999</v>
      </c>
    </row>
    <row r="1121" spans="20:27" x14ac:dyDescent="0.25">
      <c r="T1121" s="165">
        <v>1109</v>
      </c>
      <c r="U1121" s="159">
        <f t="shared" si="120"/>
        <v>338.89149999999995</v>
      </c>
      <c r="V1121" s="159">
        <f t="shared" si="121"/>
        <v>42.541499999999999</v>
      </c>
      <c r="W1121" s="159">
        <f t="shared" si="122"/>
        <v>-386.89</v>
      </c>
      <c r="X1121" s="159">
        <f t="shared" si="123"/>
        <v>-5.4570000000000505</v>
      </c>
      <c r="Y1121" s="159">
        <f t="shared" ca="1" si="119"/>
        <v>-9.327053436771962</v>
      </c>
      <c r="Z1121" s="159">
        <f t="shared" ca="1" si="124"/>
        <v>-14.717576365048998</v>
      </c>
      <c r="AA1121" s="161">
        <f t="shared" ca="1" si="125"/>
        <v>-1471.7576365048999</v>
      </c>
    </row>
    <row r="1122" spans="20:27" x14ac:dyDescent="0.25">
      <c r="T1122" s="165">
        <v>1110</v>
      </c>
      <c r="U1122" s="159">
        <f t="shared" si="120"/>
        <v>339.89149999999995</v>
      </c>
      <c r="V1122" s="159">
        <f t="shared" si="121"/>
        <v>42.541499999999999</v>
      </c>
      <c r="W1122" s="159">
        <f t="shared" si="122"/>
        <v>-387.89</v>
      </c>
      <c r="X1122" s="159">
        <f t="shared" si="123"/>
        <v>-5.4570000000000505</v>
      </c>
      <c r="Y1122" s="159">
        <f t="shared" ca="1" si="119"/>
        <v>-9.327053436771962</v>
      </c>
      <c r="Z1122" s="159">
        <f t="shared" ca="1" si="124"/>
        <v>-14.717576365048998</v>
      </c>
      <c r="AA1122" s="161">
        <f t="shared" ca="1" si="125"/>
        <v>-1471.7576365048999</v>
      </c>
    </row>
    <row r="1123" spans="20:27" x14ac:dyDescent="0.25">
      <c r="T1123" s="165">
        <v>1111</v>
      </c>
      <c r="U1123" s="159">
        <f t="shared" si="120"/>
        <v>340.89149999999995</v>
      </c>
      <c r="V1123" s="159">
        <f t="shared" si="121"/>
        <v>42.541499999999999</v>
      </c>
      <c r="W1123" s="159">
        <f t="shared" si="122"/>
        <v>-388.89</v>
      </c>
      <c r="X1123" s="159">
        <f t="shared" si="123"/>
        <v>-5.4570000000000505</v>
      </c>
      <c r="Y1123" s="159">
        <f t="shared" ca="1" si="119"/>
        <v>-9.327053436771962</v>
      </c>
      <c r="Z1123" s="159">
        <f t="shared" ca="1" si="124"/>
        <v>-14.717576365048998</v>
      </c>
      <c r="AA1123" s="161">
        <f t="shared" ca="1" si="125"/>
        <v>-1471.7576365048999</v>
      </c>
    </row>
    <row r="1124" spans="20:27" x14ac:dyDescent="0.25">
      <c r="T1124" s="165">
        <v>1112</v>
      </c>
      <c r="U1124" s="159">
        <f t="shared" si="120"/>
        <v>341.89149999999995</v>
      </c>
      <c r="V1124" s="159">
        <f t="shared" si="121"/>
        <v>42.541499999999999</v>
      </c>
      <c r="W1124" s="159">
        <f t="shared" si="122"/>
        <v>-389.89</v>
      </c>
      <c r="X1124" s="159">
        <f t="shared" si="123"/>
        <v>-5.4570000000000505</v>
      </c>
      <c r="Y1124" s="159">
        <f t="shared" ca="1" si="119"/>
        <v>-9.327053436771962</v>
      </c>
      <c r="Z1124" s="159">
        <f t="shared" ca="1" si="124"/>
        <v>-14.717576365048998</v>
      </c>
      <c r="AA1124" s="161">
        <f t="shared" ca="1" si="125"/>
        <v>-1471.7576365048999</v>
      </c>
    </row>
    <row r="1125" spans="20:27" x14ac:dyDescent="0.25">
      <c r="T1125" s="165">
        <v>1113</v>
      </c>
      <c r="U1125" s="159">
        <f t="shared" si="120"/>
        <v>342.89149999999995</v>
      </c>
      <c r="V1125" s="159">
        <f t="shared" si="121"/>
        <v>42.541499999999999</v>
      </c>
      <c r="W1125" s="159">
        <f t="shared" si="122"/>
        <v>-390.89</v>
      </c>
      <c r="X1125" s="159">
        <f t="shared" si="123"/>
        <v>-5.4570000000000505</v>
      </c>
      <c r="Y1125" s="159">
        <f t="shared" ca="1" si="119"/>
        <v>-9.327053436771962</v>
      </c>
      <c r="Z1125" s="159">
        <f t="shared" ca="1" si="124"/>
        <v>-14.717576365048998</v>
      </c>
      <c r="AA1125" s="161">
        <f t="shared" ca="1" si="125"/>
        <v>-1471.7576365048999</v>
      </c>
    </row>
    <row r="1126" spans="20:27" x14ac:dyDescent="0.25">
      <c r="T1126" s="165">
        <v>1114</v>
      </c>
      <c r="U1126" s="159">
        <f t="shared" si="120"/>
        <v>343.89149999999995</v>
      </c>
      <c r="V1126" s="159">
        <f t="shared" si="121"/>
        <v>42.541499999999999</v>
      </c>
      <c r="W1126" s="159">
        <f t="shared" si="122"/>
        <v>-391.89</v>
      </c>
      <c r="X1126" s="159">
        <f t="shared" si="123"/>
        <v>-5.4570000000000505</v>
      </c>
      <c r="Y1126" s="159">
        <f t="shared" ca="1" si="119"/>
        <v>-9.327053436771962</v>
      </c>
      <c r="Z1126" s="159">
        <f t="shared" ca="1" si="124"/>
        <v>-14.717576365048998</v>
      </c>
      <c r="AA1126" s="161">
        <f t="shared" ca="1" si="125"/>
        <v>-1471.7576365048999</v>
      </c>
    </row>
    <row r="1127" spans="20:27" x14ac:dyDescent="0.25">
      <c r="T1127" s="165">
        <v>1115</v>
      </c>
      <c r="U1127" s="159">
        <f t="shared" si="120"/>
        <v>344.89149999999995</v>
      </c>
      <c r="V1127" s="159">
        <f t="shared" si="121"/>
        <v>42.541499999999999</v>
      </c>
      <c r="W1127" s="159">
        <f t="shared" si="122"/>
        <v>-392.89</v>
      </c>
      <c r="X1127" s="159">
        <f t="shared" si="123"/>
        <v>-5.4570000000000505</v>
      </c>
      <c r="Y1127" s="159">
        <f t="shared" ca="1" si="119"/>
        <v>-9.327053436771962</v>
      </c>
      <c r="Z1127" s="159">
        <f t="shared" ca="1" si="124"/>
        <v>-14.717576365048998</v>
      </c>
      <c r="AA1127" s="161">
        <f t="shared" ca="1" si="125"/>
        <v>-1471.7576365048999</v>
      </c>
    </row>
    <row r="1128" spans="20:27" x14ac:dyDescent="0.25">
      <c r="T1128" s="165">
        <v>1116</v>
      </c>
      <c r="U1128" s="159">
        <f t="shared" si="120"/>
        <v>345.89149999999995</v>
      </c>
      <c r="V1128" s="159">
        <f t="shared" si="121"/>
        <v>42.541499999999999</v>
      </c>
      <c r="W1128" s="159">
        <f t="shared" si="122"/>
        <v>-393.89</v>
      </c>
      <c r="X1128" s="159">
        <f t="shared" si="123"/>
        <v>-5.4570000000000505</v>
      </c>
      <c r="Y1128" s="159">
        <f t="shared" ca="1" si="119"/>
        <v>-9.327053436771962</v>
      </c>
      <c r="Z1128" s="159">
        <f t="shared" ca="1" si="124"/>
        <v>-14.717576365048998</v>
      </c>
      <c r="AA1128" s="161">
        <f t="shared" ca="1" si="125"/>
        <v>-1471.7576365048999</v>
      </c>
    </row>
    <row r="1129" spans="20:27" x14ac:dyDescent="0.25">
      <c r="T1129" s="165">
        <v>1117</v>
      </c>
      <c r="U1129" s="159">
        <f t="shared" si="120"/>
        <v>346.89149999999995</v>
      </c>
      <c r="V1129" s="159">
        <f t="shared" si="121"/>
        <v>42.541499999999999</v>
      </c>
      <c r="W1129" s="159">
        <f t="shared" si="122"/>
        <v>-394.89</v>
      </c>
      <c r="X1129" s="159">
        <f t="shared" si="123"/>
        <v>-5.4570000000000505</v>
      </c>
      <c r="Y1129" s="159">
        <f t="shared" ca="1" si="119"/>
        <v>-9.327053436771962</v>
      </c>
      <c r="Z1129" s="159">
        <f t="shared" ca="1" si="124"/>
        <v>-14.717576365048998</v>
      </c>
      <c r="AA1129" s="161">
        <f t="shared" ca="1" si="125"/>
        <v>-1471.7576365048999</v>
      </c>
    </row>
    <row r="1130" spans="20:27" x14ac:dyDescent="0.25">
      <c r="T1130" s="165">
        <v>1118</v>
      </c>
      <c r="U1130" s="159">
        <f t="shared" si="120"/>
        <v>347.89149999999995</v>
      </c>
      <c r="V1130" s="159">
        <f t="shared" si="121"/>
        <v>42.541499999999999</v>
      </c>
      <c r="W1130" s="159">
        <f t="shared" si="122"/>
        <v>-395.89</v>
      </c>
      <c r="X1130" s="159">
        <f t="shared" si="123"/>
        <v>-5.4570000000000505</v>
      </c>
      <c r="Y1130" s="159">
        <f t="shared" ca="1" si="119"/>
        <v>-9.327053436771962</v>
      </c>
      <c r="Z1130" s="159">
        <f t="shared" ca="1" si="124"/>
        <v>-14.717576365048998</v>
      </c>
      <c r="AA1130" s="161">
        <f t="shared" ca="1" si="125"/>
        <v>-1471.7576365048999</v>
      </c>
    </row>
    <row r="1131" spans="20:27" x14ac:dyDescent="0.25">
      <c r="T1131" s="165">
        <v>1119</v>
      </c>
      <c r="U1131" s="159">
        <f t="shared" si="120"/>
        <v>348.89149999999995</v>
      </c>
      <c r="V1131" s="159">
        <f t="shared" si="121"/>
        <v>42.541499999999999</v>
      </c>
      <c r="W1131" s="159">
        <f t="shared" si="122"/>
        <v>-396.89</v>
      </c>
      <c r="X1131" s="159">
        <f t="shared" si="123"/>
        <v>-5.4570000000000505</v>
      </c>
      <c r="Y1131" s="159">
        <f t="shared" ca="1" si="119"/>
        <v>-9.327053436771962</v>
      </c>
      <c r="Z1131" s="159">
        <f t="shared" ca="1" si="124"/>
        <v>-14.717576365048998</v>
      </c>
      <c r="AA1131" s="161">
        <f t="shared" ca="1" si="125"/>
        <v>-1471.7576365048999</v>
      </c>
    </row>
    <row r="1132" spans="20:27" x14ac:dyDescent="0.25">
      <c r="T1132" s="165">
        <v>1120</v>
      </c>
      <c r="U1132" s="159">
        <f t="shared" si="120"/>
        <v>349.89149999999995</v>
      </c>
      <c r="V1132" s="159">
        <f t="shared" si="121"/>
        <v>42.541499999999999</v>
      </c>
      <c r="W1132" s="159">
        <f t="shared" si="122"/>
        <v>-397.89</v>
      </c>
      <c r="X1132" s="159">
        <f t="shared" si="123"/>
        <v>-5.4570000000000505</v>
      </c>
      <c r="Y1132" s="159">
        <f t="shared" ca="1" si="119"/>
        <v>-9.327053436771962</v>
      </c>
      <c r="Z1132" s="159">
        <f t="shared" ca="1" si="124"/>
        <v>-14.717576365048998</v>
      </c>
      <c r="AA1132" s="161">
        <f t="shared" ca="1" si="125"/>
        <v>-1471.7576365048999</v>
      </c>
    </row>
    <row r="1133" spans="20:27" x14ac:dyDescent="0.25">
      <c r="T1133" s="165">
        <v>1121</v>
      </c>
      <c r="U1133" s="159">
        <f t="shared" si="120"/>
        <v>350.89149999999995</v>
      </c>
      <c r="V1133" s="159">
        <f t="shared" si="121"/>
        <v>42.541499999999999</v>
      </c>
      <c r="W1133" s="159">
        <f t="shared" si="122"/>
        <v>-398.89</v>
      </c>
      <c r="X1133" s="159">
        <f t="shared" si="123"/>
        <v>-5.4570000000000505</v>
      </c>
      <c r="Y1133" s="159">
        <f t="shared" ca="1" si="119"/>
        <v>-9.327053436771962</v>
      </c>
      <c r="Z1133" s="159">
        <f t="shared" ca="1" si="124"/>
        <v>-14.717576365048998</v>
      </c>
      <c r="AA1133" s="161">
        <f t="shared" ca="1" si="125"/>
        <v>-1471.7576365048999</v>
      </c>
    </row>
    <row r="1134" spans="20:27" x14ac:dyDescent="0.25">
      <c r="T1134" s="165">
        <v>1122</v>
      </c>
      <c r="U1134" s="159">
        <f t="shared" si="120"/>
        <v>351.89149999999995</v>
      </c>
      <c r="V1134" s="159">
        <f t="shared" si="121"/>
        <v>42.541499999999999</v>
      </c>
      <c r="W1134" s="159">
        <f t="shared" si="122"/>
        <v>-399.89</v>
      </c>
      <c r="X1134" s="159">
        <f t="shared" si="123"/>
        <v>-5.4570000000000505</v>
      </c>
      <c r="Y1134" s="159">
        <f t="shared" ca="1" si="119"/>
        <v>-9.327053436771962</v>
      </c>
      <c r="Z1134" s="159">
        <f t="shared" ca="1" si="124"/>
        <v>-14.717576365048998</v>
      </c>
      <c r="AA1134" s="161">
        <f t="shared" ca="1" si="125"/>
        <v>-1471.7576365048999</v>
      </c>
    </row>
    <row r="1135" spans="20:27" x14ac:dyDescent="0.25">
      <c r="T1135" s="165">
        <v>1123</v>
      </c>
      <c r="U1135" s="159">
        <f t="shared" si="120"/>
        <v>352.89149999999995</v>
      </c>
      <c r="V1135" s="159">
        <f t="shared" si="121"/>
        <v>42.541499999999999</v>
      </c>
      <c r="W1135" s="159">
        <f t="shared" si="122"/>
        <v>-400.89</v>
      </c>
      <c r="X1135" s="159">
        <f t="shared" si="123"/>
        <v>-5.4570000000000505</v>
      </c>
      <c r="Y1135" s="159">
        <f t="shared" ca="1" si="119"/>
        <v>-9.327053436771962</v>
      </c>
      <c r="Z1135" s="159">
        <f t="shared" ca="1" si="124"/>
        <v>-14.717576365048998</v>
      </c>
      <c r="AA1135" s="161">
        <f t="shared" ca="1" si="125"/>
        <v>-1471.7576365048999</v>
      </c>
    </row>
    <row r="1136" spans="20:27" x14ac:dyDescent="0.25">
      <c r="T1136" s="165">
        <v>1124</v>
      </c>
      <c r="U1136" s="159">
        <f t="shared" si="120"/>
        <v>353.89149999999995</v>
      </c>
      <c r="V1136" s="159">
        <f t="shared" si="121"/>
        <v>42.541499999999999</v>
      </c>
      <c r="W1136" s="159">
        <f t="shared" si="122"/>
        <v>-401.89</v>
      </c>
      <c r="X1136" s="159">
        <f t="shared" si="123"/>
        <v>-5.4570000000000505</v>
      </c>
      <c r="Y1136" s="159">
        <f t="shared" ca="1" si="119"/>
        <v>-9.327053436771962</v>
      </c>
      <c r="Z1136" s="159">
        <f t="shared" ca="1" si="124"/>
        <v>-14.717576365048998</v>
      </c>
      <c r="AA1136" s="161">
        <f t="shared" ca="1" si="125"/>
        <v>-1471.7576365048999</v>
      </c>
    </row>
    <row r="1137" spans="20:27" x14ac:dyDescent="0.25">
      <c r="T1137" s="165">
        <v>1125</v>
      </c>
      <c r="U1137" s="159">
        <f t="shared" si="120"/>
        <v>354.89149999999995</v>
      </c>
      <c r="V1137" s="159">
        <f t="shared" si="121"/>
        <v>42.541499999999999</v>
      </c>
      <c r="W1137" s="159">
        <f t="shared" si="122"/>
        <v>-402.89</v>
      </c>
      <c r="X1137" s="159">
        <f t="shared" si="123"/>
        <v>-5.4570000000000505</v>
      </c>
      <c r="Y1137" s="159">
        <f t="shared" ca="1" si="119"/>
        <v>-9.327053436771962</v>
      </c>
      <c r="Z1137" s="159">
        <f t="shared" ca="1" si="124"/>
        <v>-14.717576365048998</v>
      </c>
      <c r="AA1137" s="161">
        <f t="shared" ca="1" si="125"/>
        <v>-1471.7576365048999</v>
      </c>
    </row>
    <row r="1138" spans="20:27" x14ac:dyDescent="0.25">
      <c r="T1138" s="165">
        <v>1126</v>
      </c>
      <c r="U1138" s="159">
        <f t="shared" si="120"/>
        <v>355.89149999999995</v>
      </c>
      <c r="V1138" s="159">
        <f t="shared" si="121"/>
        <v>42.541499999999999</v>
      </c>
      <c r="W1138" s="159">
        <f t="shared" si="122"/>
        <v>-403.89</v>
      </c>
      <c r="X1138" s="159">
        <f t="shared" si="123"/>
        <v>-5.4570000000000505</v>
      </c>
      <c r="Y1138" s="159">
        <f t="shared" ca="1" si="119"/>
        <v>-9.327053436771962</v>
      </c>
      <c r="Z1138" s="159">
        <f t="shared" ca="1" si="124"/>
        <v>-14.717576365048998</v>
      </c>
      <c r="AA1138" s="161">
        <f t="shared" ca="1" si="125"/>
        <v>-1471.7576365048999</v>
      </c>
    </row>
    <row r="1139" spans="20:27" x14ac:dyDescent="0.25">
      <c r="T1139" s="165">
        <v>1127</v>
      </c>
      <c r="U1139" s="159">
        <f t="shared" si="120"/>
        <v>356.89149999999995</v>
      </c>
      <c r="V1139" s="159">
        <f t="shared" si="121"/>
        <v>42.541499999999999</v>
      </c>
      <c r="W1139" s="159">
        <f t="shared" si="122"/>
        <v>-404.89</v>
      </c>
      <c r="X1139" s="159">
        <f t="shared" si="123"/>
        <v>-5.4570000000000505</v>
      </c>
      <c r="Y1139" s="159">
        <f t="shared" ca="1" si="119"/>
        <v>-9.327053436771962</v>
      </c>
      <c r="Z1139" s="159">
        <f t="shared" ca="1" si="124"/>
        <v>-14.717576365048998</v>
      </c>
      <c r="AA1139" s="161">
        <f t="shared" ca="1" si="125"/>
        <v>-1471.7576365048999</v>
      </c>
    </row>
    <row r="1140" spans="20:27" x14ac:dyDescent="0.25">
      <c r="T1140" s="165">
        <v>1128</v>
      </c>
      <c r="U1140" s="159">
        <f t="shared" si="120"/>
        <v>357.89149999999995</v>
      </c>
      <c r="V1140" s="159">
        <f t="shared" si="121"/>
        <v>42.541499999999999</v>
      </c>
      <c r="W1140" s="159">
        <f t="shared" si="122"/>
        <v>-405.89</v>
      </c>
      <c r="X1140" s="159">
        <f t="shared" si="123"/>
        <v>-5.4570000000000505</v>
      </c>
      <c r="Y1140" s="159">
        <f t="shared" ca="1" si="119"/>
        <v>-9.327053436771962</v>
      </c>
      <c r="Z1140" s="159">
        <f t="shared" ca="1" si="124"/>
        <v>-14.717576365048998</v>
      </c>
      <c r="AA1140" s="161">
        <f t="shared" ca="1" si="125"/>
        <v>-1471.7576365048999</v>
      </c>
    </row>
    <row r="1141" spans="20:27" x14ac:dyDescent="0.25">
      <c r="T1141" s="165">
        <v>1129</v>
      </c>
      <c r="U1141" s="159">
        <f t="shared" si="120"/>
        <v>358.89149999999995</v>
      </c>
      <c r="V1141" s="159">
        <f t="shared" si="121"/>
        <v>42.541499999999999</v>
      </c>
      <c r="W1141" s="159">
        <f t="shared" si="122"/>
        <v>-406.89</v>
      </c>
      <c r="X1141" s="159">
        <f t="shared" si="123"/>
        <v>-5.4570000000000505</v>
      </c>
      <c r="Y1141" s="159">
        <f t="shared" ca="1" si="119"/>
        <v>-9.327053436771962</v>
      </c>
      <c r="Z1141" s="159">
        <f t="shared" ca="1" si="124"/>
        <v>-14.717576365048998</v>
      </c>
      <c r="AA1141" s="161">
        <f t="shared" ca="1" si="125"/>
        <v>-1471.7576365048999</v>
      </c>
    </row>
    <row r="1142" spans="20:27" x14ac:dyDescent="0.25">
      <c r="T1142" s="165">
        <v>1130</v>
      </c>
      <c r="U1142" s="159">
        <f t="shared" si="120"/>
        <v>359.89149999999995</v>
      </c>
      <c r="V1142" s="159">
        <f t="shared" si="121"/>
        <v>42.541499999999999</v>
      </c>
      <c r="W1142" s="159">
        <f t="shared" si="122"/>
        <v>-407.89</v>
      </c>
      <c r="X1142" s="159">
        <f t="shared" si="123"/>
        <v>-5.4570000000000505</v>
      </c>
      <c r="Y1142" s="159">
        <f t="shared" ca="1" si="119"/>
        <v>-9.327053436771962</v>
      </c>
      <c r="Z1142" s="159">
        <f t="shared" ca="1" si="124"/>
        <v>-14.717576365048998</v>
      </c>
      <c r="AA1142" s="161">
        <f t="shared" ca="1" si="125"/>
        <v>-1471.7576365048999</v>
      </c>
    </row>
    <row r="1143" spans="20:27" x14ac:dyDescent="0.25">
      <c r="T1143" s="165">
        <v>1131</v>
      </c>
      <c r="U1143" s="159">
        <f t="shared" si="120"/>
        <v>360.89149999999995</v>
      </c>
      <c r="V1143" s="159">
        <f t="shared" si="121"/>
        <v>42.541499999999999</v>
      </c>
      <c r="W1143" s="159">
        <f t="shared" si="122"/>
        <v>-408.89</v>
      </c>
      <c r="X1143" s="159">
        <f t="shared" si="123"/>
        <v>-5.4570000000000505</v>
      </c>
      <c r="Y1143" s="159">
        <f t="shared" ca="1" si="119"/>
        <v>-9.327053436771962</v>
      </c>
      <c r="Z1143" s="159">
        <f t="shared" ca="1" si="124"/>
        <v>-14.717576365048998</v>
      </c>
      <c r="AA1143" s="161">
        <f t="shared" ca="1" si="125"/>
        <v>-1471.7576365048999</v>
      </c>
    </row>
    <row r="1144" spans="20:27" x14ac:dyDescent="0.25">
      <c r="T1144" s="165">
        <v>1132</v>
      </c>
      <c r="U1144" s="159">
        <f t="shared" si="120"/>
        <v>361.89149999999995</v>
      </c>
      <c r="V1144" s="159">
        <f t="shared" si="121"/>
        <v>42.541499999999999</v>
      </c>
      <c r="W1144" s="159">
        <f t="shared" si="122"/>
        <v>-409.89</v>
      </c>
      <c r="X1144" s="159">
        <f t="shared" si="123"/>
        <v>-5.4570000000000505</v>
      </c>
      <c r="Y1144" s="159">
        <f t="shared" ca="1" si="119"/>
        <v>-9.327053436771962</v>
      </c>
      <c r="Z1144" s="159">
        <f t="shared" ca="1" si="124"/>
        <v>-14.717576365048998</v>
      </c>
      <c r="AA1144" s="161">
        <f t="shared" ca="1" si="125"/>
        <v>-1471.7576365048999</v>
      </c>
    </row>
    <row r="1145" spans="20:27" x14ac:dyDescent="0.25">
      <c r="T1145" s="165">
        <v>1133</v>
      </c>
      <c r="U1145" s="159">
        <f t="shared" si="120"/>
        <v>362.89149999999995</v>
      </c>
      <c r="V1145" s="159">
        <f t="shared" si="121"/>
        <v>42.541499999999999</v>
      </c>
      <c r="W1145" s="159">
        <f t="shared" si="122"/>
        <v>-410.89</v>
      </c>
      <c r="X1145" s="159">
        <f t="shared" si="123"/>
        <v>-5.4570000000000505</v>
      </c>
      <c r="Y1145" s="159">
        <f t="shared" ca="1" si="119"/>
        <v>-9.327053436771962</v>
      </c>
      <c r="Z1145" s="159">
        <f t="shared" ca="1" si="124"/>
        <v>-14.717576365048998</v>
      </c>
      <c r="AA1145" s="161">
        <f t="shared" ca="1" si="125"/>
        <v>-1471.7576365048999</v>
      </c>
    </row>
    <row r="1146" spans="20:27" x14ac:dyDescent="0.25">
      <c r="T1146" s="165">
        <v>1134</v>
      </c>
      <c r="U1146" s="159">
        <f t="shared" si="120"/>
        <v>363.89149999999995</v>
      </c>
      <c r="V1146" s="159">
        <f t="shared" si="121"/>
        <v>42.541499999999999</v>
      </c>
      <c r="W1146" s="159">
        <f t="shared" si="122"/>
        <v>-411.89</v>
      </c>
      <c r="X1146" s="159">
        <f t="shared" si="123"/>
        <v>-5.4570000000000505</v>
      </c>
      <c r="Y1146" s="159">
        <f t="shared" ca="1" si="119"/>
        <v>-9.327053436771962</v>
      </c>
      <c r="Z1146" s="159">
        <f t="shared" ca="1" si="124"/>
        <v>-14.717576365048998</v>
      </c>
      <c r="AA1146" s="161">
        <f t="shared" ca="1" si="125"/>
        <v>-1471.7576365048999</v>
      </c>
    </row>
    <row r="1147" spans="20:27" x14ac:dyDescent="0.25">
      <c r="T1147" s="165">
        <v>1135</v>
      </c>
      <c r="U1147" s="159">
        <f t="shared" si="120"/>
        <v>364.89149999999995</v>
      </c>
      <c r="V1147" s="159">
        <f t="shared" si="121"/>
        <v>42.541499999999999</v>
      </c>
      <c r="W1147" s="159">
        <f t="shared" si="122"/>
        <v>-412.89</v>
      </c>
      <c r="X1147" s="159">
        <f t="shared" si="123"/>
        <v>-5.4570000000000505</v>
      </c>
      <c r="Y1147" s="159">
        <f t="shared" ca="1" si="119"/>
        <v>-9.327053436771962</v>
      </c>
      <c r="Z1147" s="159">
        <f t="shared" ca="1" si="124"/>
        <v>-14.717576365048998</v>
      </c>
      <c r="AA1147" s="161">
        <f t="shared" ca="1" si="125"/>
        <v>-1471.7576365048999</v>
      </c>
    </row>
    <row r="1148" spans="20:27" x14ac:dyDescent="0.25">
      <c r="T1148" s="165">
        <v>1136</v>
      </c>
      <c r="U1148" s="159">
        <f t="shared" si="120"/>
        <v>365.89149999999995</v>
      </c>
      <c r="V1148" s="159">
        <f t="shared" si="121"/>
        <v>42.541499999999999</v>
      </c>
      <c r="W1148" s="159">
        <f t="shared" si="122"/>
        <v>-413.89</v>
      </c>
      <c r="X1148" s="159">
        <f t="shared" si="123"/>
        <v>-5.4570000000000505</v>
      </c>
      <c r="Y1148" s="159">
        <f t="shared" ca="1" si="119"/>
        <v>-9.327053436771962</v>
      </c>
      <c r="Z1148" s="159">
        <f t="shared" ca="1" si="124"/>
        <v>-14.717576365048998</v>
      </c>
      <c r="AA1148" s="161">
        <f t="shared" ca="1" si="125"/>
        <v>-1471.7576365048999</v>
      </c>
    </row>
    <row r="1149" spans="20:27" x14ac:dyDescent="0.25">
      <c r="T1149" s="165">
        <v>1137</v>
      </c>
      <c r="U1149" s="159">
        <f t="shared" si="120"/>
        <v>366.89149999999995</v>
      </c>
      <c r="V1149" s="159">
        <f t="shared" si="121"/>
        <v>42.541499999999999</v>
      </c>
      <c r="W1149" s="159">
        <f t="shared" si="122"/>
        <v>-414.89</v>
      </c>
      <c r="X1149" s="159">
        <f t="shared" si="123"/>
        <v>-5.4570000000000505</v>
      </c>
      <c r="Y1149" s="159">
        <f t="shared" ca="1" si="119"/>
        <v>-9.327053436771962</v>
      </c>
      <c r="Z1149" s="159">
        <f t="shared" ca="1" si="124"/>
        <v>-14.717576365048998</v>
      </c>
      <c r="AA1149" s="161">
        <f t="shared" ca="1" si="125"/>
        <v>-1471.7576365048999</v>
      </c>
    </row>
    <row r="1150" spans="20:27" x14ac:dyDescent="0.25">
      <c r="T1150" s="165">
        <v>1138</v>
      </c>
      <c r="U1150" s="159">
        <f t="shared" si="120"/>
        <v>367.89149999999995</v>
      </c>
      <c r="V1150" s="159">
        <f t="shared" si="121"/>
        <v>42.541499999999999</v>
      </c>
      <c r="W1150" s="159">
        <f t="shared" si="122"/>
        <v>-415.89</v>
      </c>
      <c r="X1150" s="159">
        <f t="shared" si="123"/>
        <v>-5.4570000000000505</v>
      </c>
      <c r="Y1150" s="159">
        <f t="shared" ca="1" si="119"/>
        <v>-9.327053436771962</v>
      </c>
      <c r="Z1150" s="159">
        <f t="shared" ca="1" si="124"/>
        <v>-14.717576365048998</v>
      </c>
      <c r="AA1150" s="161">
        <f t="shared" ca="1" si="125"/>
        <v>-1471.7576365048999</v>
      </c>
    </row>
    <row r="1151" spans="20:27" x14ac:dyDescent="0.25">
      <c r="T1151" s="165">
        <v>1139</v>
      </c>
      <c r="U1151" s="159">
        <f t="shared" si="120"/>
        <v>368.89149999999995</v>
      </c>
      <c r="V1151" s="159">
        <f t="shared" si="121"/>
        <v>42.541499999999999</v>
      </c>
      <c r="W1151" s="159">
        <f t="shared" si="122"/>
        <v>-416.89</v>
      </c>
      <c r="X1151" s="159">
        <f t="shared" si="123"/>
        <v>-5.4570000000000505</v>
      </c>
      <c r="Y1151" s="159">
        <f t="shared" ca="1" si="119"/>
        <v>-9.327053436771962</v>
      </c>
      <c r="Z1151" s="159">
        <f t="shared" ca="1" si="124"/>
        <v>-14.717576365048998</v>
      </c>
      <c r="AA1151" s="161">
        <f t="shared" ca="1" si="125"/>
        <v>-1471.7576365048999</v>
      </c>
    </row>
    <row r="1152" spans="20:27" x14ac:dyDescent="0.25">
      <c r="T1152" s="165">
        <v>1140</v>
      </c>
      <c r="U1152" s="159">
        <f t="shared" si="120"/>
        <v>369.89149999999995</v>
      </c>
      <c r="V1152" s="159">
        <f t="shared" si="121"/>
        <v>42.541499999999999</v>
      </c>
      <c r="W1152" s="159">
        <f t="shared" si="122"/>
        <v>-417.89</v>
      </c>
      <c r="X1152" s="159">
        <f t="shared" si="123"/>
        <v>-5.4570000000000505</v>
      </c>
      <c r="Y1152" s="159">
        <f t="shared" ca="1" si="119"/>
        <v>-9.327053436771962</v>
      </c>
      <c r="Z1152" s="159">
        <f t="shared" ca="1" si="124"/>
        <v>-14.717576365048998</v>
      </c>
      <c r="AA1152" s="161">
        <f t="shared" ca="1" si="125"/>
        <v>-1471.7576365048999</v>
      </c>
    </row>
    <row r="1153" spans="20:27" x14ac:dyDescent="0.25">
      <c r="T1153" s="165">
        <v>1141</v>
      </c>
      <c r="U1153" s="159">
        <f t="shared" si="120"/>
        <v>370.89149999999995</v>
      </c>
      <c r="V1153" s="159">
        <f t="shared" si="121"/>
        <v>42.541499999999999</v>
      </c>
      <c r="W1153" s="159">
        <f t="shared" si="122"/>
        <v>-418.89</v>
      </c>
      <c r="X1153" s="159">
        <f t="shared" si="123"/>
        <v>-5.4570000000000505</v>
      </c>
      <c r="Y1153" s="159">
        <f t="shared" ca="1" si="119"/>
        <v>-9.327053436771962</v>
      </c>
      <c r="Z1153" s="159">
        <f t="shared" ca="1" si="124"/>
        <v>-14.717576365048998</v>
      </c>
      <c r="AA1153" s="161">
        <f t="shared" ca="1" si="125"/>
        <v>-1471.7576365048999</v>
      </c>
    </row>
    <row r="1154" spans="20:27" x14ac:dyDescent="0.25">
      <c r="T1154" s="165">
        <v>1142</v>
      </c>
      <c r="U1154" s="159">
        <f t="shared" si="120"/>
        <v>371.89149999999995</v>
      </c>
      <c r="V1154" s="159">
        <f t="shared" si="121"/>
        <v>42.541499999999999</v>
      </c>
      <c r="W1154" s="159">
        <f t="shared" si="122"/>
        <v>-419.89</v>
      </c>
      <c r="X1154" s="159">
        <f t="shared" si="123"/>
        <v>-5.4570000000000505</v>
      </c>
      <c r="Y1154" s="159">
        <f t="shared" ca="1" si="119"/>
        <v>-9.327053436771962</v>
      </c>
      <c r="Z1154" s="159">
        <f t="shared" ca="1" si="124"/>
        <v>-14.717576365048998</v>
      </c>
      <c r="AA1154" s="161">
        <f t="shared" ca="1" si="125"/>
        <v>-1471.7576365048999</v>
      </c>
    </row>
    <row r="1155" spans="20:27" x14ac:dyDescent="0.25">
      <c r="T1155" s="165">
        <v>1143</v>
      </c>
      <c r="U1155" s="159">
        <f t="shared" si="120"/>
        <v>372.89149999999995</v>
      </c>
      <c r="V1155" s="159">
        <f t="shared" si="121"/>
        <v>42.541499999999999</v>
      </c>
      <c r="W1155" s="159">
        <f t="shared" si="122"/>
        <v>-420.89</v>
      </c>
      <c r="X1155" s="159">
        <f t="shared" si="123"/>
        <v>-5.4570000000000505</v>
      </c>
      <c r="Y1155" s="159">
        <f t="shared" ca="1" si="119"/>
        <v>-9.327053436771962</v>
      </c>
      <c r="Z1155" s="159">
        <f t="shared" ca="1" si="124"/>
        <v>-14.717576365048998</v>
      </c>
      <c r="AA1155" s="161">
        <f t="shared" ca="1" si="125"/>
        <v>-1471.7576365048999</v>
      </c>
    </row>
    <row r="1156" spans="20:27" x14ac:dyDescent="0.25">
      <c r="T1156" s="165">
        <v>1144</v>
      </c>
      <c r="U1156" s="159">
        <f t="shared" si="120"/>
        <v>373.89149999999995</v>
      </c>
      <c r="V1156" s="159">
        <f t="shared" si="121"/>
        <v>42.541499999999999</v>
      </c>
      <c r="W1156" s="159">
        <f t="shared" si="122"/>
        <v>-421.89</v>
      </c>
      <c r="X1156" s="159">
        <f t="shared" si="123"/>
        <v>-5.4570000000000505</v>
      </c>
      <c r="Y1156" s="159">
        <f t="shared" ca="1" si="119"/>
        <v>-9.327053436771962</v>
      </c>
      <c r="Z1156" s="159">
        <f t="shared" ca="1" si="124"/>
        <v>-14.717576365048998</v>
      </c>
      <c r="AA1156" s="161">
        <f t="shared" ca="1" si="125"/>
        <v>-1471.7576365048999</v>
      </c>
    </row>
    <row r="1157" spans="20:27" x14ac:dyDescent="0.25">
      <c r="T1157" s="165">
        <v>1145</v>
      </c>
      <c r="U1157" s="159">
        <f t="shared" si="120"/>
        <v>374.89149999999995</v>
      </c>
      <c r="V1157" s="159">
        <f t="shared" si="121"/>
        <v>42.541499999999999</v>
      </c>
      <c r="W1157" s="159">
        <f t="shared" si="122"/>
        <v>-422.89</v>
      </c>
      <c r="X1157" s="159">
        <f t="shared" si="123"/>
        <v>-5.4570000000000505</v>
      </c>
      <c r="Y1157" s="159">
        <f t="shared" ca="1" si="119"/>
        <v>-9.327053436771962</v>
      </c>
      <c r="Z1157" s="159">
        <f t="shared" ca="1" si="124"/>
        <v>-14.717576365048998</v>
      </c>
      <c r="AA1157" s="161">
        <f t="shared" ca="1" si="125"/>
        <v>-1471.7576365048999</v>
      </c>
    </row>
    <row r="1158" spans="20:27" x14ac:dyDescent="0.25">
      <c r="T1158" s="165">
        <v>1146</v>
      </c>
      <c r="U1158" s="159">
        <f t="shared" si="120"/>
        <v>375.89149999999995</v>
      </c>
      <c r="V1158" s="159">
        <f t="shared" si="121"/>
        <v>42.541499999999999</v>
      </c>
      <c r="W1158" s="159">
        <f t="shared" si="122"/>
        <v>-423.89</v>
      </c>
      <c r="X1158" s="159">
        <f t="shared" si="123"/>
        <v>-5.4570000000000505</v>
      </c>
      <c r="Y1158" s="159">
        <f t="shared" ca="1" si="119"/>
        <v>-9.327053436771962</v>
      </c>
      <c r="Z1158" s="159">
        <f t="shared" ca="1" si="124"/>
        <v>-14.717576365048998</v>
      </c>
      <c r="AA1158" s="161">
        <f t="shared" ca="1" si="125"/>
        <v>-1471.7576365048999</v>
      </c>
    </row>
    <row r="1159" spans="20:27" x14ac:dyDescent="0.25">
      <c r="T1159" s="165">
        <v>1147</v>
      </c>
      <c r="U1159" s="159">
        <f t="shared" si="120"/>
        <v>376.89149999999995</v>
      </c>
      <c r="V1159" s="159">
        <f t="shared" si="121"/>
        <v>42.541499999999999</v>
      </c>
      <c r="W1159" s="159">
        <f t="shared" si="122"/>
        <v>-424.89</v>
      </c>
      <c r="X1159" s="159">
        <f t="shared" si="123"/>
        <v>-5.4570000000000505</v>
      </c>
      <c r="Y1159" s="159">
        <f t="shared" ca="1" si="119"/>
        <v>-9.327053436771962</v>
      </c>
      <c r="Z1159" s="159">
        <f t="shared" ca="1" si="124"/>
        <v>-14.717576365048998</v>
      </c>
      <c r="AA1159" s="161">
        <f t="shared" ca="1" si="125"/>
        <v>-1471.7576365048999</v>
      </c>
    </row>
    <row r="1160" spans="20:27" x14ac:dyDescent="0.25">
      <c r="T1160" s="165">
        <v>1148</v>
      </c>
      <c r="U1160" s="159">
        <f t="shared" si="120"/>
        <v>377.89149999999995</v>
      </c>
      <c r="V1160" s="159">
        <f t="shared" si="121"/>
        <v>42.541499999999999</v>
      </c>
      <c r="W1160" s="159">
        <f t="shared" si="122"/>
        <v>-425.89</v>
      </c>
      <c r="X1160" s="159">
        <f t="shared" si="123"/>
        <v>-5.4570000000000505</v>
      </c>
      <c r="Y1160" s="159">
        <f t="shared" ca="1" si="119"/>
        <v>-9.327053436771962</v>
      </c>
      <c r="Z1160" s="159">
        <f t="shared" ca="1" si="124"/>
        <v>-14.717576365048998</v>
      </c>
      <c r="AA1160" s="161">
        <f t="shared" ca="1" si="125"/>
        <v>-1471.7576365048999</v>
      </c>
    </row>
    <row r="1161" spans="20:27" x14ac:dyDescent="0.25">
      <c r="T1161" s="165">
        <v>1149</v>
      </c>
      <c r="U1161" s="159">
        <f t="shared" si="120"/>
        <v>378.89149999999995</v>
      </c>
      <c r="V1161" s="159">
        <f t="shared" si="121"/>
        <v>42.541499999999999</v>
      </c>
      <c r="W1161" s="159">
        <f t="shared" si="122"/>
        <v>-426.89</v>
      </c>
      <c r="X1161" s="159">
        <f t="shared" si="123"/>
        <v>-5.4570000000000505</v>
      </c>
      <c r="Y1161" s="159">
        <f t="shared" ca="1" si="119"/>
        <v>-9.327053436771962</v>
      </c>
      <c r="Z1161" s="159">
        <f t="shared" ca="1" si="124"/>
        <v>-14.717576365048998</v>
      </c>
      <c r="AA1161" s="161">
        <f t="shared" ca="1" si="125"/>
        <v>-1471.7576365048999</v>
      </c>
    </row>
    <row r="1162" spans="20:27" x14ac:dyDescent="0.25">
      <c r="T1162" s="165">
        <v>1150</v>
      </c>
      <c r="U1162" s="159">
        <f t="shared" si="120"/>
        <v>379.89149999999995</v>
      </c>
      <c r="V1162" s="159">
        <f t="shared" si="121"/>
        <v>42.541499999999999</v>
      </c>
      <c r="W1162" s="159">
        <f t="shared" si="122"/>
        <v>-427.89</v>
      </c>
      <c r="X1162" s="159">
        <f t="shared" si="123"/>
        <v>-5.4570000000000505</v>
      </c>
      <c r="Y1162" s="159">
        <f t="shared" ca="1" si="119"/>
        <v>-9.327053436771962</v>
      </c>
      <c r="Z1162" s="159">
        <f t="shared" ca="1" si="124"/>
        <v>-14.717576365048998</v>
      </c>
      <c r="AA1162" s="161">
        <f t="shared" ca="1" si="125"/>
        <v>-1471.7576365048999</v>
      </c>
    </row>
    <row r="1163" spans="20:27" x14ac:dyDescent="0.25">
      <c r="T1163" s="165">
        <v>1151</v>
      </c>
      <c r="U1163" s="159">
        <f t="shared" si="120"/>
        <v>380.89149999999995</v>
      </c>
      <c r="V1163" s="159">
        <f t="shared" si="121"/>
        <v>42.541499999999999</v>
      </c>
      <c r="W1163" s="159">
        <f t="shared" si="122"/>
        <v>-428.89</v>
      </c>
      <c r="X1163" s="159">
        <f t="shared" si="123"/>
        <v>-5.4570000000000505</v>
      </c>
      <c r="Y1163" s="159">
        <f t="shared" ca="1" si="119"/>
        <v>-9.327053436771962</v>
      </c>
      <c r="Z1163" s="159">
        <f t="shared" ca="1" si="124"/>
        <v>-14.717576365048998</v>
      </c>
      <c r="AA1163" s="161">
        <f t="shared" ca="1" si="125"/>
        <v>-1471.7576365048999</v>
      </c>
    </row>
    <row r="1164" spans="20:27" x14ac:dyDescent="0.25">
      <c r="T1164" s="165">
        <v>1152</v>
      </c>
      <c r="U1164" s="159">
        <f t="shared" si="120"/>
        <v>381.89149999999995</v>
      </c>
      <c r="V1164" s="159">
        <f t="shared" si="121"/>
        <v>42.541499999999999</v>
      </c>
      <c r="W1164" s="159">
        <f t="shared" si="122"/>
        <v>-429.89</v>
      </c>
      <c r="X1164" s="159">
        <f t="shared" si="123"/>
        <v>-5.4570000000000505</v>
      </c>
      <c r="Y1164" s="159">
        <f t="shared" ref="Y1164:Y1227" ca="1" si="126">$Y$10*EXP($Y$7*$C$6)-$Y$10</f>
        <v>-9.327053436771962</v>
      </c>
      <c r="Z1164" s="159">
        <f t="shared" ca="1" si="124"/>
        <v>-14.717576365048998</v>
      </c>
      <c r="AA1164" s="161">
        <f t="shared" ca="1" si="125"/>
        <v>-1471.7576365048999</v>
      </c>
    </row>
    <row r="1165" spans="20:27" x14ac:dyDescent="0.25">
      <c r="T1165" s="165">
        <v>1153</v>
      </c>
      <c r="U1165" s="159">
        <f t="shared" ref="U1165:U1228" si="127">MAX(0,T1165-$U$9)-$U$10-$U$11/100</f>
        <v>382.89149999999995</v>
      </c>
      <c r="V1165" s="159">
        <f t="shared" ref="V1165:V1228" si="128">$V$10-MAX(0,$V$9-T1165)-$V$11/100</f>
        <v>42.541499999999999</v>
      </c>
      <c r="W1165" s="159">
        <f t="shared" ref="W1165:W1228" si="129">$W$10-T1165</f>
        <v>-430.89</v>
      </c>
      <c r="X1165" s="159">
        <f t="shared" ref="X1165:X1228" si="130">SUM(U1165:W1165)</f>
        <v>-5.4570000000000505</v>
      </c>
      <c r="Y1165" s="159">
        <f t="shared" ca="1" si="126"/>
        <v>-9.327053436771962</v>
      </c>
      <c r="Z1165" s="159">
        <f t="shared" ref="Z1165:Z1228" ca="1" si="131">EXP(-$E$3*$C$6)*SUM(X1165:Y1165)</f>
        <v>-14.717576365048998</v>
      </c>
      <c r="AA1165" s="161">
        <f t="shared" ref="AA1165:AA1228" ca="1" si="132">Z1165*100</f>
        <v>-1471.7576365048999</v>
      </c>
    </row>
    <row r="1166" spans="20:27" x14ac:dyDescent="0.25">
      <c r="T1166" s="165">
        <v>1154</v>
      </c>
      <c r="U1166" s="159">
        <f t="shared" si="127"/>
        <v>383.89149999999995</v>
      </c>
      <c r="V1166" s="159">
        <f t="shared" si="128"/>
        <v>42.541499999999999</v>
      </c>
      <c r="W1166" s="159">
        <f t="shared" si="129"/>
        <v>-431.89</v>
      </c>
      <c r="X1166" s="159">
        <f t="shared" si="130"/>
        <v>-5.4570000000000505</v>
      </c>
      <c r="Y1166" s="159">
        <f t="shared" ca="1" si="126"/>
        <v>-9.327053436771962</v>
      </c>
      <c r="Z1166" s="159">
        <f t="shared" ca="1" si="131"/>
        <v>-14.717576365048998</v>
      </c>
      <c r="AA1166" s="161">
        <f t="shared" ca="1" si="132"/>
        <v>-1471.7576365048999</v>
      </c>
    </row>
    <row r="1167" spans="20:27" x14ac:dyDescent="0.25">
      <c r="T1167" s="165">
        <v>1155</v>
      </c>
      <c r="U1167" s="159">
        <f t="shared" si="127"/>
        <v>384.89149999999995</v>
      </c>
      <c r="V1167" s="159">
        <f t="shared" si="128"/>
        <v>42.541499999999999</v>
      </c>
      <c r="W1167" s="159">
        <f t="shared" si="129"/>
        <v>-432.89</v>
      </c>
      <c r="X1167" s="159">
        <f t="shared" si="130"/>
        <v>-5.4570000000000505</v>
      </c>
      <c r="Y1167" s="159">
        <f t="shared" ca="1" si="126"/>
        <v>-9.327053436771962</v>
      </c>
      <c r="Z1167" s="159">
        <f t="shared" ca="1" si="131"/>
        <v>-14.717576365048998</v>
      </c>
      <c r="AA1167" s="161">
        <f t="shared" ca="1" si="132"/>
        <v>-1471.7576365048999</v>
      </c>
    </row>
    <row r="1168" spans="20:27" x14ac:dyDescent="0.25">
      <c r="T1168" s="165">
        <v>1156</v>
      </c>
      <c r="U1168" s="159">
        <f t="shared" si="127"/>
        <v>385.89149999999995</v>
      </c>
      <c r="V1168" s="159">
        <f t="shared" si="128"/>
        <v>42.541499999999999</v>
      </c>
      <c r="W1168" s="159">
        <f t="shared" si="129"/>
        <v>-433.89</v>
      </c>
      <c r="X1168" s="159">
        <f t="shared" si="130"/>
        <v>-5.4570000000000505</v>
      </c>
      <c r="Y1168" s="159">
        <f t="shared" ca="1" si="126"/>
        <v>-9.327053436771962</v>
      </c>
      <c r="Z1168" s="159">
        <f t="shared" ca="1" si="131"/>
        <v>-14.717576365048998</v>
      </c>
      <c r="AA1168" s="161">
        <f t="shared" ca="1" si="132"/>
        <v>-1471.7576365048999</v>
      </c>
    </row>
    <row r="1169" spans="20:27" x14ac:dyDescent="0.25">
      <c r="T1169" s="165">
        <v>1157</v>
      </c>
      <c r="U1169" s="159">
        <f t="shared" si="127"/>
        <v>386.89149999999995</v>
      </c>
      <c r="V1169" s="159">
        <f t="shared" si="128"/>
        <v>42.541499999999999</v>
      </c>
      <c r="W1169" s="159">
        <f t="shared" si="129"/>
        <v>-434.89</v>
      </c>
      <c r="X1169" s="159">
        <f t="shared" si="130"/>
        <v>-5.4570000000000505</v>
      </c>
      <c r="Y1169" s="159">
        <f t="shared" ca="1" si="126"/>
        <v>-9.327053436771962</v>
      </c>
      <c r="Z1169" s="159">
        <f t="shared" ca="1" si="131"/>
        <v>-14.717576365048998</v>
      </c>
      <c r="AA1169" s="161">
        <f t="shared" ca="1" si="132"/>
        <v>-1471.7576365048999</v>
      </c>
    </row>
    <row r="1170" spans="20:27" x14ac:dyDescent="0.25">
      <c r="T1170" s="165">
        <v>1158</v>
      </c>
      <c r="U1170" s="159">
        <f t="shared" si="127"/>
        <v>387.89149999999995</v>
      </c>
      <c r="V1170" s="159">
        <f t="shared" si="128"/>
        <v>42.541499999999999</v>
      </c>
      <c r="W1170" s="159">
        <f t="shared" si="129"/>
        <v>-435.89</v>
      </c>
      <c r="X1170" s="159">
        <f t="shared" si="130"/>
        <v>-5.4570000000000505</v>
      </c>
      <c r="Y1170" s="159">
        <f t="shared" ca="1" si="126"/>
        <v>-9.327053436771962</v>
      </c>
      <c r="Z1170" s="159">
        <f t="shared" ca="1" si="131"/>
        <v>-14.717576365048998</v>
      </c>
      <c r="AA1170" s="161">
        <f t="shared" ca="1" si="132"/>
        <v>-1471.7576365048999</v>
      </c>
    </row>
    <row r="1171" spans="20:27" x14ac:dyDescent="0.25">
      <c r="T1171" s="165">
        <v>1159</v>
      </c>
      <c r="U1171" s="159">
        <f t="shared" si="127"/>
        <v>388.89149999999995</v>
      </c>
      <c r="V1171" s="159">
        <f t="shared" si="128"/>
        <v>42.541499999999999</v>
      </c>
      <c r="W1171" s="159">
        <f t="shared" si="129"/>
        <v>-436.89</v>
      </c>
      <c r="X1171" s="159">
        <f t="shared" si="130"/>
        <v>-5.4570000000000505</v>
      </c>
      <c r="Y1171" s="159">
        <f t="shared" ca="1" si="126"/>
        <v>-9.327053436771962</v>
      </c>
      <c r="Z1171" s="159">
        <f t="shared" ca="1" si="131"/>
        <v>-14.717576365048998</v>
      </c>
      <c r="AA1171" s="161">
        <f t="shared" ca="1" si="132"/>
        <v>-1471.7576365048999</v>
      </c>
    </row>
    <row r="1172" spans="20:27" x14ac:dyDescent="0.25">
      <c r="T1172" s="165">
        <v>1160</v>
      </c>
      <c r="U1172" s="159">
        <f t="shared" si="127"/>
        <v>389.89149999999995</v>
      </c>
      <c r="V1172" s="159">
        <f t="shared" si="128"/>
        <v>42.541499999999999</v>
      </c>
      <c r="W1172" s="159">
        <f t="shared" si="129"/>
        <v>-437.89</v>
      </c>
      <c r="X1172" s="159">
        <f t="shared" si="130"/>
        <v>-5.4570000000000505</v>
      </c>
      <c r="Y1172" s="159">
        <f t="shared" ca="1" si="126"/>
        <v>-9.327053436771962</v>
      </c>
      <c r="Z1172" s="159">
        <f t="shared" ca="1" si="131"/>
        <v>-14.717576365048998</v>
      </c>
      <c r="AA1172" s="161">
        <f t="shared" ca="1" si="132"/>
        <v>-1471.7576365048999</v>
      </c>
    </row>
    <row r="1173" spans="20:27" x14ac:dyDescent="0.25">
      <c r="T1173" s="165">
        <v>1161</v>
      </c>
      <c r="U1173" s="159">
        <f t="shared" si="127"/>
        <v>390.89149999999995</v>
      </c>
      <c r="V1173" s="159">
        <f t="shared" si="128"/>
        <v>42.541499999999999</v>
      </c>
      <c r="W1173" s="159">
        <f t="shared" si="129"/>
        <v>-438.89</v>
      </c>
      <c r="X1173" s="159">
        <f t="shared" si="130"/>
        <v>-5.4570000000000505</v>
      </c>
      <c r="Y1173" s="159">
        <f t="shared" ca="1" si="126"/>
        <v>-9.327053436771962</v>
      </c>
      <c r="Z1173" s="159">
        <f t="shared" ca="1" si="131"/>
        <v>-14.717576365048998</v>
      </c>
      <c r="AA1173" s="161">
        <f t="shared" ca="1" si="132"/>
        <v>-1471.7576365048999</v>
      </c>
    </row>
    <row r="1174" spans="20:27" x14ac:dyDescent="0.25">
      <c r="T1174" s="165">
        <v>1162</v>
      </c>
      <c r="U1174" s="159">
        <f t="shared" si="127"/>
        <v>391.89149999999995</v>
      </c>
      <c r="V1174" s="159">
        <f t="shared" si="128"/>
        <v>42.541499999999999</v>
      </c>
      <c r="W1174" s="159">
        <f t="shared" si="129"/>
        <v>-439.89</v>
      </c>
      <c r="X1174" s="159">
        <f t="shared" si="130"/>
        <v>-5.4570000000000505</v>
      </c>
      <c r="Y1174" s="159">
        <f t="shared" ca="1" si="126"/>
        <v>-9.327053436771962</v>
      </c>
      <c r="Z1174" s="159">
        <f t="shared" ca="1" si="131"/>
        <v>-14.717576365048998</v>
      </c>
      <c r="AA1174" s="161">
        <f t="shared" ca="1" si="132"/>
        <v>-1471.7576365048999</v>
      </c>
    </row>
    <row r="1175" spans="20:27" x14ac:dyDescent="0.25">
      <c r="T1175" s="165">
        <v>1163</v>
      </c>
      <c r="U1175" s="159">
        <f t="shared" si="127"/>
        <v>392.89149999999995</v>
      </c>
      <c r="V1175" s="159">
        <f t="shared" si="128"/>
        <v>42.541499999999999</v>
      </c>
      <c r="W1175" s="159">
        <f t="shared" si="129"/>
        <v>-440.89</v>
      </c>
      <c r="X1175" s="159">
        <f t="shared" si="130"/>
        <v>-5.4570000000000505</v>
      </c>
      <c r="Y1175" s="159">
        <f t="shared" ca="1" si="126"/>
        <v>-9.327053436771962</v>
      </c>
      <c r="Z1175" s="159">
        <f t="shared" ca="1" si="131"/>
        <v>-14.717576365048998</v>
      </c>
      <c r="AA1175" s="161">
        <f t="shared" ca="1" si="132"/>
        <v>-1471.7576365048999</v>
      </c>
    </row>
    <row r="1176" spans="20:27" x14ac:dyDescent="0.25">
      <c r="T1176" s="165">
        <v>1164</v>
      </c>
      <c r="U1176" s="159">
        <f t="shared" si="127"/>
        <v>393.89149999999995</v>
      </c>
      <c r="V1176" s="159">
        <f t="shared" si="128"/>
        <v>42.541499999999999</v>
      </c>
      <c r="W1176" s="159">
        <f t="shared" si="129"/>
        <v>-441.89</v>
      </c>
      <c r="X1176" s="159">
        <f t="shared" si="130"/>
        <v>-5.4570000000000505</v>
      </c>
      <c r="Y1176" s="159">
        <f t="shared" ca="1" si="126"/>
        <v>-9.327053436771962</v>
      </c>
      <c r="Z1176" s="159">
        <f t="shared" ca="1" si="131"/>
        <v>-14.717576365048998</v>
      </c>
      <c r="AA1176" s="161">
        <f t="shared" ca="1" si="132"/>
        <v>-1471.7576365048999</v>
      </c>
    </row>
    <row r="1177" spans="20:27" x14ac:dyDescent="0.25">
      <c r="T1177" s="165">
        <v>1165</v>
      </c>
      <c r="U1177" s="159">
        <f t="shared" si="127"/>
        <v>394.89149999999995</v>
      </c>
      <c r="V1177" s="159">
        <f t="shared" si="128"/>
        <v>42.541499999999999</v>
      </c>
      <c r="W1177" s="159">
        <f t="shared" si="129"/>
        <v>-442.89</v>
      </c>
      <c r="X1177" s="159">
        <f t="shared" si="130"/>
        <v>-5.4570000000000505</v>
      </c>
      <c r="Y1177" s="159">
        <f t="shared" ca="1" si="126"/>
        <v>-9.327053436771962</v>
      </c>
      <c r="Z1177" s="159">
        <f t="shared" ca="1" si="131"/>
        <v>-14.717576365048998</v>
      </c>
      <c r="AA1177" s="161">
        <f t="shared" ca="1" si="132"/>
        <v>-1471.7576365048999</v>
      </c>
    </row>
    <row r="1178" spans="20:27" x14ac:dyDescent="0.25">
      <c r="T1178" s="165">
        <v>1166</v>
      </c>
      <c r="U1178" s="159">
        <f t="shared" si="127"/>
        <v>395.89149999999995</v>
      </c>
      <c r="V1178" s="159">
        <f t="shared" si="128"/>
        <v>42.541499999999999</v>
      </c>
      <c r="W1178" s="159">
        <f t="shared" si="129"/>
        <v>-443.89</v>
      </c>
      <c r="X1178" s="159">
        <f t="shared" si="130"/>
        <v>-5.4570000000000505</v>
      </c>
      <c r="Y1178" s="159">
        <f t="shared" ca="1" si="126"/>
        <v>-9.327053436771962</v>
      </c>
      <c r="Z1178" s="159">
        <f t="shared" ca="1" si="131"/>
        <v>-14.717576365048998</v>
      </c>
      <c r="AA1178" s="161">
        <f t="shared" ca="1" si="132"/>
        <v>-1471.7576365048999</v>
      </c>
    </row>
    <row r="1179" spans="20:27" x14ac:dyDescent="0.25">
      <c r="T1179" s="165">
        <v>1167</v>
      </c>
      <c r="U1179" s="159">
        <f t="shared" si="127"/>
        <v>396.89149999999995</v>
      </c>
      <c r="V1179" s="159">
        <f t="shared" si="128"/>
        <v>42.541499999999999</v>
      </c>
      <c r="W1179" s="159">
        <f t="shared" si="129"/>
        <v>-444.89</v>
      </c>
      <c r="X1179" s="159">
        <f t="shared" si="130"/>
        <v>-5.4570000000000505</v>
      </c>
      <c r="Y1179" s="159">
        <f t="shared" ca="1" si="126"/>
        <v>-9.327053436771962</v>
      </c>
      <c r="Z1179" s="159">
        <f t="shared" ca="1" si="131"/>
        <v>-14.717576365048998</v>
      </c>
      <c r="AA1179" s="161">
        <f t="shared" ca="1" si="132"/>
        <v>-1471.7576365048999</v>
      </c>
    </row>
    <row r="1180" spans="20:27" x14ac:dyDescent="0.25">
      <c r="T1180" s="165">
        <v>1168</v>
      </c>
      <c r="U1180" s="159">
        <f t="shared" si="127"/>
        <v>397.89149999999995</v>
      </c>
      <c r="V1180" s="159">
        <f t="shared" si="128"/>
        <v>42.541499999999999</v>
      </c>
      <c r="W1180" s="159">
        <f t="shared" si="129"/>
        <v>-445.89</v>
      </c>
      <c r="X1180" s="159">
        <f t="shared" si="130"/>
        <v>-5.4570000000000505</v>
      </c>
      <c r="Y1180" s="159">
        <f t="shared" ca="1" si="126"/>
        <v>-9.327053436771962</v>
      </c>
      <c r="Z1180" s="159">
        <f t="shared" ca="1" si="131"/>
        <v>-14.717576365048998</v>
      </c>
      <c r="AA1180" s="161">
        <f t="shared" ca="1" si="132"/>
        <v>-1471.7576365048999</v>
      </c>
    </row>
    <row r="1181" spans="20:27" x14ac:dyDescent="0.25">
      <c r="T1181" s="165">
        <v>1169</v>
      </c>
      <c r="U1181" s="159">
        <f t="shared" si="127"/>
        <v>398.89149999999995</v>
      </c>
      <c r="V1181" s="159">
        <f t="shared" si="128"/>
        <v>42.541499999999999</v>
      </c>
      <c r="W1181" s="159">
        <f t="shared" si="129"/>
        <v>-446.89</v>
      </c>
      <c r="X1181" s="159">
        <f t="shared" si="130"/>
        <v>-5.4570000000000505</v>
      </c>
      <c r="Y1181" s="159">
        <f t="shared" ca="1" si="126"/>
        <v>-9.327053436771962</v>
      </c>
      <c r="Z1181" s="159">
        <f t="shared" ca="1" si="131"/>
        <v>-14.717576365048998</v>
      </c>
      <c r="AA1181" s="161">
        <f t="shared" ca="1" si="132"/>
        <v>-1471.7576365048999</v>
      </c>
    </row>
    <row r="1182" spans="20:27" x14ac:dyDescent="0.25">
      <c r="T1182" s="165">
        <v>1170</v>
      </c>
      <c r="U1182" s="159">
        <f t="shared" si="127"/>
        <v>399.89149999999995</v>
      </c>
      <c r="V1182" s="159">
        <f t="shared" si="128"/>
        <v>42.541499999999999</v>
      </c>
      <c r="W1182" s="159">
        <f t="shared" si="129"/>
        <v>-447.89</v>
      </c>
      <c r="X1182" s="159">
        <f t="shared" si="130"/>
        <v>-5.4570000000000505</v>
      </c>
      <c r="Y1182" s="159">
        <f t="shared" ca="1" si="126"/>
        <v>-9.327053436771962</v>
      </c>
      <c r="Z1182" s="159">
        <f t="shared" ca="1" si="131"/>
        <v>-14.717576365048998</v>
      </c>
      <c r="AA1182" s="161">
        <f t="shared" ca="1" si="132"/>
        <v>-1471.7576365048999</v>
      </c>
    </row>
    <row r="1183" spans="20:27" x14ac:dyDescent="0.25">
      <c r="T1183" s="165">
        <v>1171</v>
      </c>
      <c r="U1183" s="159">
        <f t="shared" si="127"/>
        <v>400.89149999999995</v>
      </c>
      <c r="V1183" s="159">
        <f t="shared" si="128"/>
        <v>42.541499999999999</v>
      </c>
      <c r="W1183" s="159">
        <f t="shared" si="129"/>
        <v>-448.89</v>
      </c>
      <c r="X1183" s="159">
        <f t="shared" si="130"/>
        <v>-5.4570000000000505</v>
      </c>
      <c r="Y1183" s="159">
        <f t="shared" ca="1" si="126"/>
        <v>-9.327053436771962</v>
      </c>
      <c r="Z1183" s="159">
        <f t="shared" ca="1" si="131"/>
        <v>-14.717576365048998</v>
      </c>
      <c r="AA1183" s="161">
        <f t="shared" ca="1" si="132"/>
        <v>-1471.7576365048999</v>
      </c>
    </row>
    <row r="1184" spans="20:27" x14ac:dyDescent="0.25">
      <c r="T1184" s="165">
        <v>1172</v>
      </c>
      <c r="U1184" s="159">
        <f t="shared" si="127"/>
        <v>401.89149999999995</v>
      </c>
      <c r="V1184" s="159">
        <f t="shared" si="128"/>
        <v>42.541499999999999</v>
      </c>
      <c r="W1184" s="159">
        <f t="shared" si="129"/>
        <v>-449.89</v>
      </c>
      <c r="X1184" s="159">
        <f t="shared" si="130"/>
        <v>-5.4570000000000505</v>
      </c>
      <c r="Y1184" s="159">
        <f t="shared" ca="1" si="126"/>
        <v>-9.327053436771962</v>
      </c>
      <c r="Z1184" s="159">
        <f t="shared" ca="1" si="131"/>
        <v>-14.717576365048998</v>
      </c>
      <c r="AA1184" s="161">
        <f t="shared" ca="1" si="132"/>
        <v>-1471.7576365048999</v>
      </c>
    </row>
    <row r="1185" spans="20:27" x14ac:dyDescent="0.25">
      <c r="T1185" s="165">
        <v>1173</v>
      </c>
      <c r="U1185" s="159">
        <f t="shared" si="127"/>
        <v>402.89149999999995</v>
      </c>
      <c r="V1185" s="159">
        <f t="shared" si="128"/>
        <v>42.541499999999999</v>
      </c>
      <c r="W1185" s="159">
        <f t="shared" si="129"/>
        <v>-450.89</v>
      </c>
      <c r="X1185" s="159">
        <f t="shared" si="130"/>
        <v>-5.4570000000000505</v>
      </c>
      <c r="Y1185" s="159">
        <f t="shared" ca="1" si="126"/>
        <v>-9.327053436771962</v>
      </c>
      <c r="Z1185" s="159">
        <f t="shared" ca="1" si="131"/>
        <v>-14.717576365048998</v>
      </c>
      <c r="AA1185" s="161">
        <f t="shared" ca="1" si="132"/>
        <v>-1471.7576365048999</v>
      </c>
    </row>
    <row r="1186" spans="20:27" x14ac:dyDescent="0.25">
      <c r="T1186" s="165">
        <v>1174</v>
      </c>
      <c r="U1186" s="159">
        <f t="shared" si="127"/>
        <v>403.89149999999995</v>
      </c>
      <c r="V1186" s="159">
        <f t="shared" si="128"/>
        <v>42.541499999999999</v>
      </c>
      <c r="W1186" s="159">
        <f t="shared" si="129"/>
        <v>-451.89</v>
      </c>
      <c r="X1186" s="159">
        <f t="shared" si="130"/>
        <v>-5.4570000000000505</v>
      </c>
      <c r="Y1186" s="159">
        <f t="shared" ca="1" si="126"/>
        <v>-9.327053436771962</v>
      </c>
      <c r="Z1186" s="159">
        <f t="shared" ca="1" si="131"/>
        <v>-14.717576365048998</v>
      </c>
      <c r="AA1186" s="161">
        <f t="shared" ca="1" si="132"/>
        <v>-1471.7576365048999</v>
      </c>
    </row>
    <row r="1187" spans="20:27" x14ac:dyDescent="0.25">
      <c r="T1187" s="165">
        <v>1175</v>
      </c>
      <c r="U1187" s="159">
        <f t="shared" si="127"/>
        <v>404.89149999999995</v>
      </c>
      <c r="V1187" s="159">
        <f t="shared" si="128"/>
        <v>42.541499999999999</v>
      </c>
      <c r="W1187" s="159">
        <f t="shared" si="129"/>
        <v>-452.89</v>
      </c>
      <c r="X1187" s="159">
        <f t="shared" si="130"/>
        <v>-5.4570000000000505</v>
      </c>
      <c r="Y1187" s="159">
        <f t="shared" ca="1" si="126"/>
        <v>-9.327053436771962</v>
      </c>
      <c r="Z1187" s="159">
        <f t="shared" ca="1" si="131"/>
        <v>-14.717576365048998</v>
      </c>
      <c r="AA1187" s="161">
        <f t="shared" ca="1" si="132"/>
        <v>-1471.7576365048999</v>
      </c>
    </row>
    <row r="1188" spans="20:27" x14ac:dyDescent="0.25">
      <c r="T1188" s="165">
        <v>1176</v>
      </c>
      <c r="U1188" s="159">
        <f t="shared" si="127"/>
        <v>405.89149999999995</v>
      </c>
      <c r="V1188" s="159">
        <f t="shared" si="128"/>
        <v>42.541499999999999</v>
      </c>
      <c r="W1188" s="159">
        <f t="shared" si="129"/>
        <v>-453.89</v>
      </c>
      <c r="X1188" s="159">
        <f t="shared" si="130"/>
        <v>-5.4570000000000505</v>
      </c>
      <c r="Y1188" s="159">
        <f t="shared" ca="1" si="126"/>
        <v>-9.327053436771962</v>
      </c>
      <c r="Z1188" s="159">
        <f t="shared" ca="1" si="131"/>
        <v>-14.717576365048998</v>
      </c>
      <c r="AA1188" s="161">
        <f t="shared" ca="1" si="132"/>
        <v>-1471.7576365048999</v>
      </c>
    </row>
    <row r="1189" spans="20:27" x14ac:dyDescent="0.25">
      <c r="T1189" s="165">
        <v>1177</v>
      </c>
      <c r="U1189" s="159">
        <f t="shared" si="127"/>
        <v>406.89149999999995</v>
      </c>
      <c r="V1189" s="159">
        <f t="shared" si="128"/>
        <v>42.541499999999999</v>
      </c>
      <c r="W1189" s="159">
        <f t="shared" si="129"/>
        <v>-454.89</v>
      </c>
      <c r="X1189" s="159">
        <f t="shared" si="130"/>
        <v>-5.4570000000000505</v>
      </c>
      <c r="Y1189" s="159">
        <f t="shared" ca="1" si="126"/>
        <v>-9.327053436771962</v>
      </c>
      <c r="Z1189" s="159">
        <f t="shared" ca="1" si="131"/>
        <v>-14.717576365048998</v>
      </c>
      <c r="AA1189" s="161">
        <f t="shared" ca="1" si="132"/>
        <v>-1471.7576365048999</v>
      </c>
    </row>
    <row r="1190" spans="20:27" x14ac:dyDescent="0.25">
      <c r="T1190" s="165">
        <v>1178</v>
      </c>
      <c r="U1190" s="159">
        <f t="shared" si="127"/>
        <v>407.89149999999995</v>
      </c>
      <c r="V1190" s="159">
        <f t="shared" si="128"/>
        <v>42.541499999999999</v>
      </c>
      <c r="W1190" s="159">
        <f t="shared" si="129"/>
        <v>-455.89</v>
      </c>
      <c r="X1190" s="159">
        <f t="shared" si="130"/>
        <v>-5.4570000000000505</v>
      </c>
      <c r="Y1190" s="159">
        <f t="shared" ca="1" si="126"/>
        <v>-9.327053436771962</v>
      </c>
      <c r="Z1190" s="159">
        <f t="shared" ca="1" si="131"/>
        <v>-14.717576365048998</v>
      </c>
      <c r="AA1190" s="161">
        <f t="shared" ca="1" si="132"/>
        <v>-1471.7576365048999</v>
      </c>
    </row>
    <row r="1191" spans="20:27" x14ac:dyDescent="0.25">
      <c r="T1191" s="165">
        <v>1179</v>
      </c>
      <c r="U1191" s="159">
        <f t="shared" si="127"/>
        <v>408.89149999999995</v>
      </c>
      <c r="V1191" s="159">
        <f t="shared" si="128"/>
        <v>42.541499999999999</v>
      </c>
      <c r="W1191" s="159">
        <f t="shared" si="129"/>
        <v>-456.89</v>
      </c>
      <c r="X1191" s="159">
        <f t="shared" si="130"/>
        <v>-5.4570000000000505</v>
      </c>
      <c r="Y1191" s="159">
        <f t="shared" ca="1" si="126"/>
        <v>-9.327053436771962</v>
      </c>
      <c r="Z1191" s="159">
        <f t="shared" ca="1" si="131"/>
        <v>-14.717576365048998</v>
      </c>
      <c r="AA1191" s="161">
        <f t="shared" ca="1" si="132"/>
        <v>-1471.7576365048999</v>
      </c>
    </row>
    <row r="1192" spans="20:27" x14ac:dyDescent="0.25">
      <c r="T1192" s="165">
        <v>1180</v>
      </c>
      <c r="U1192" s="159">
        <f t="shared" si="127"/>
        <v>409.89149999999995</v>
      </c>
      <c r="V1192" s="159">
        <f t="shared" si="128"/>
        <v>42.541499999999999</v>
      </c>
      <c r="W1192" s="159">
        <f t="shared" si="129"/>
        <v>-457.89</v>
      </c>
      <c r="X1192" s="159">
        <f t="shared" si="130"/>
        <v>-5.4570000000000505</v>
      </c>
      <c r="Y1192" s="159">
        <f t="shared" ca="1" si="126"/>
        <v>-9.327053436771962</v>
      </c>
      <c r="Z1192" s="159">
        <f t="shared" ca="1" si="131"/>
        <v>-14.717576365048998</v>
      </c>
      <c r="AA1192" s="161">
        <f t="shared" ca="1" si="132"/>
        <v>-1471.7576365048999</v>
      </c>
    </row>
    <row r="1193" spans="20:27" x14ac:dyDescent="0.25">
      <c r="T1193" s="165">
        <v>1181</v>
      </c>
      <c r="U1193" s="159">
        <f t="shared" si="127"/>
        <v>410.89149999999995</v>
      </c>
      <c r="V1193" s="159">
        <f t="shared" si="128"/>
        <v>42.541499999999999</v>
      </c>
      <c r="W1193" s="159">
        <f t="shared" si="129"/>
        <v>-458.89</v>
      </c>
      <c r="X1193" s="159">
        <f t="shared" si="130"/>
        <v>-5.4570000000000505</v>
      </c>
      <c r="Y1193" s="159">
        <f t="shared" ca="1" si="126"/>
        <v>-9.327053436771962</v>
      </c>
      <c r="Z1193" s="159">
        <f t="shared" ca="1" si="131"/>
        <v>-14.717576365048998</v>
      </c>
      <c r="AA1193" s="161">
        <f t="shared" ca="1" si="132"/>
        <v>-1471.7576365048999</v>
      </c>
    </row>
    <row r="1194" spans="20:27" x14ac:dyDescent="0.25">
      <c r="T1194" s="165">
        <v>1182</v>
      </c>
      <c r="U1194" s="159">
        <f t="shared" si="127"/>
        <v>411.89149999999995</v>
      </c>
      <c r="V1194" s="159">
        <f t="shared" si="128"/>
        <v>42.541499999999999</v>
      </c>
      <c r="W1194" s="159">
        <f t="shared" si="129"/>
        <v>-459.89</v>
      </c>
      <c r="X1194" s="159">
        <f t="shared" si="130"/>
        <v>-5.4570000000000505</v>
      </c>
      <c r="Y1194" s="159">
        <f t="shared" ca="1" si="126"/>
        <v>-9.327053436771962</v>
      </c>
      <c r="Z1194" s="159">
        <f t="shared" ca="1" si="131"/>
        <v>-14.717576365048998</v>
      </c>
      <c r="AA1194" s="161">
        <f t="shared" ca="1" si="132"/>
        <v>-1471.7576365048999</v>
      </c>
    </row>
    <row r="1195" spans="20:27" x14ac:dyDescent="0.25">
      <c r="T1195" s="165">
        <v>1183</v>
      </c>
      <c r="U1195" s="159">
        <f t="shared" si="127"/>
        <v>412.89149999999995</v>
      </c>
      <c r="V1195" s="159">
        <f t="shared" si="128"/>
        <v>42.541499999999999</v>
      </c>
      <c r="W1195" s="159">
        <f t="shared" si="129"/>
        <v>-460.89</v>
      </c>
      <c r="X1195" s="159">
        <f t="shared" si="130"/>
        <v>-5.4570000000000505</v>
      </c>
      <c r="Y1195" s="159">
        <f t="shared" ca="1" si="126"/>
        <v>-9.327053436771962</v>
      </c>
      <c r="Z1195" s="159">
        <f t="shared" ca="1" si="131"/>
        <v>-14.717576365048998</v>
      </c>
      <c r="AA1195" s="161">
        <f t="shared" ca="1" si="132"/>
        <v>-1471.7576365048999</v>
      </c>
    </row>
    <row r="1196" spans="20:27" x14ac:dyDescent="0.25">
      <c r="T1196" s="165">
        <v>1184</v>
      </c>
      <c r="U1196" s="159">
        <f t="shared" si="127"/>
        <v>413.89149999999995</v>
      </c>
      <c r="V1196" s="159">
        <f t="shared" si="128"/>
        <v>42.541499999999999</v>
      </c>
      <c r="W1196" s="159">
        <f t="shared" si="129"/>
        <v>-461.89</v>
      </c>
      <c r="X1196" s="159">
        <f t="shared" si="130"/>
        <v>-5.4570000000000505</v>
      </c>
      <c r="Y1196" s="159">
        <f t="shared" ca="1" si="126"/>
        <v>-9.327053436771962</v>
      </c>
      <c r="Z1196" s="159">
        <f t="shared" ca="1" si="131"/>
        <v>-14.717576365048998</v>
      </c>
      <c r="AA1196" s="161">
        <f t="shared" ca="1" si="132"/>
        <v>-1471.7576365048999</v>
      </c>
    </row>
    <row r="1197" spans="20:27" x14ac:dyDescent="0.25">
      <c r="T1197" s="165">
        <v>1185</v>
      </c>
      <c r="U1197" s="159">
        <f t="shared" si="127"/>
        <v>414.89149999999995</v>
      </c>
      <c r="V1197" s="159">
        <f t="shared" si="128"/>
        <v>42.541499999999999</v>
      </c>
      <c r="W1197" s="159">
        <f t="shared" si="129"/>
        <v>-462.89</v>
      </c>
      <c r="X1197" s="159">
        <f t="shared" si="130"/>
        <v>-5.4570000000000505</v>
      </c>
      <c r="Y1197" s="159">
        <f t="shared" ca="1" si="126"/>
        <v>-9.327053436771962</v>
      </c>
      <c r="Z1197" s="159">
        <f t="shared" ca="1" si="131"/>
        <v>-14.717576365048998</v>
      </c>
      <c r="AA1197" s="161">
        <f t="shared" ca="1" si="132"/>
        <v>-1471.7576365048999</v>
      </c>
    </row>
    <row r="1198" spans="20:27" x14ac:dyDescent="0.25">
      <c r="T1198" s="165">
        <v>1186</v>
      </c>
      <c r="U1198" s="159">
        <f t="shared" si="127"/>
        <v>415.89149999999995</v>
      </c>
      <c r="V1198" s="159">
        <f t="shared" si="128"/>
        <v>42.541499999999999</v>
      </c>
      <c r="W1198" s="159">
        <f t="shared" si="129"/>
        <v>-463.89</v>
      </c>
      <c r="X1198" s="159">
        <f t="shared" si="130"/>
        <v>-5.4570000000000505</v>
      </c>
      <c r="Y1198" s="159">
        <f t="shared" ca="1" si="126"/>
        <v>-9.327053436771962</v>
      </c>
      <c r="Z1198" s="159">
        <f t="shared" ca="1" si="131"/>
        <v>-14.717576365048998</v>
      </c>
      <c r="AA1198" s="161">
        <f t="shared" ca="1" si="132"/>
        <v>-1471.7576365048999</v>
      </c>
    </row>
    <row r="1199" spans="20:27" x14ac:dyDescent="0.25">
      <c r="T1199" s="165">
        <v>1187</v>
      </c>
      <c r="U1199" s="159">
        <f t="shared" si="127"/>
        <v>416.89149999999995</v>
      </c>
      <c r="V1199" s="159">
        <f t="shared" si="128"/>
        <v>42.541499999999999</v>
      </c>
      <c r="W1199" s="159">
        <f t="shared" si="129"/>
        <v>-464.89</v>
      </c>
      <c r="X1199" s="159">
        <f t="shared" si="130"/>
        <v>-5.4570000000000505</v>
      </c>
      <c r="Y1199" s="159">
        <f t="shared" ca="1" si="126"/>
        <v>-9.327053436771962</v>
      </c>
      <c r="Z1199" s="159">
        <f t="shared" ca="1" si="131"/>
        <v>-14.717576365048998</v>
      </c>
      <c r="AA1199" s="161">
        <f t="shared" ca="1" si="132"/>
        <v>-1471.7576365048999</v>
      </c>
    </row>
    <row r="1200" spans="20:27" x14ac:dyDescent="0.25">
      <c r="T1200" s="165">
        <v>1188</v>
      </c>
      <c r="U1200" s="159">
        <f t="shared" si="127"/>
        <v>417.89149999999995</v>
      </c>
      <c r="V1200" s="159">
        <f t="shared" si="128"/>
        <v>42.541499999999999</v>
      </c>
      <c r="W1200" s="159">
        <f t="shared" si="129"/>
        <v>-465.89</v>
      </c>
      <c r="X1200" s="159">
        <f t="shared" si="130"/>
        <v>-5.4570000000000505</v>
      </c>
      <c r="Y1200" s="159">
        <f t="shared" ca="1" si="126"/>
        <v>-9.327053436771962</v>
      </c>
      <c r="Z1200" s="159">
        <f t="shared" ca="1" si="131"/>
        <v>-14.717576365048998</v>
      </c>
      <c r="AA1200" s="161">
        <f t="shared" ca="1" si="132"/>
        <v>-1471.7576365048999</v>
      </c>
    </row>
    <row r="1201" spans="20:27" x14ac:dyDescent="0.25">
      <c r="T1201" s="165">
        <v>1189</v>
      </c>
      <c r="U1201" s="159">
        <f t="shared" si="127"/>
        <v>418.89149999999995</v>
      </c>
      <c r="V1201" s="159">
        <f t="shared" si="128"/>
        <v>42.541499999999999</v>
      </c>
      <c r="W1201" s="159">
        <f t="shared" si="129"/>
        <v>-466.89</v>
      </c>
      <c r="X1201" s="159">
        <f t="shared" si="130"/>
        <v>-5.4570000000000505</v>
      </c>
      <c r="Y1201" s="159">
        <f t="shared" ca="1" si="126"/>
        <v>-9.327053436771962</v>
      </c>
      <c r="Z1201" s="159">
        <f t="shared" ca="1" si="131"/>
        <v>-14.717576365048998</v>
      </c>
      <c r="AA1201" s="161">
        <f t="shared" ca="1" si="132"/>
        <v>-1471.7576365048999</v>
      </c>
    </row>
    <row r="1202" spans="20:27" x14ac:dyDescent="0.25">
      <c r="T1202" s="165">
        <v>1190</v>
      </c>
      <c r="U1202" s="159">
        <f t="shared" si="127"/>
        <v>419.89149999999995</v>
      </c>
      <c r="V1202" s="159">
        <f t="shared" si="128"/>
        <v>42.541499999999999</v>
      </c>
      <c r="W1202" s="159">
        <f t="shared" si="129"/>
        <v>-467.89</v>
      </c>
      <c r="X1202" s="159">
        <f t="shared" si="130"/>
        <v>-5.4570000000000505</v>
      </c>
      <c r="Y1202" s="159">
        <f t="shared" ca="1" si="126"/>
        <v>-9.327053436771962</v>
      </c>
      <c r="Z1202" s="159">
        <f t="shared" ca="1" si="131"/>
        <v>-14.717576365048998</v>
      </c>
      <c r="AA1202" s="161">
        <f t="shared" ca="1" si="132"/>
        <v>-1471.7576365048999</v>
      </c>
    </row>
    <row r="1203" spans="20:27" x14ac:dyDescent="0.25">
      <c r="T1203" s="165">
        <v>1191</v>
      </c>
      <c r="U1203" s="159">
        <f t="shared" si="127"/>
        <v>420.89149999999995</v>
      </c>
      <c r="V1203" s="159">
        <f t="shared" si="128"/>
        <v>42.541499999999999</v>
      </c>
      <c r="W1203" s="159">
        <f t="shared" si="129"/>
        <v>-468.89</v>
      </c>
      <c r="X1203" s="159">
        <f t="shared" si="130"/>
        <v>-5.4570000000000505</v>
      </c>
      <c r="Y1203" s="159">
        <f t="shared" ca="1" si="126"/>
        <v>-9.327053436771962</v>
      </c>
      <c r="Z1203" s="159">
        <f t="shared" ca="1" si="131"/>
        <v>-14.717576365048998</v>
      </c>
      <c r="AA1203" s="161">
        <f t="shared" ca="1" si="132"/>
        <v>-1471.7576365048999</v>
      </c>
    </row>
    <row r="1204" spans="20:27" x14ac:dyDescent="0.25">
      <c r="T1204" s="165">
        <v>1192</v>
      </c>
      <c r="U1204" s="159">
        <f t="shared" si="127"/>
        <v>421.89149999999995</v>
      </c>
      <c r="V1204" s="159">
        <f t="shared" si="128"/>
        <v>42.541499999999999</v>
      </c>
      <c r="W1204" s="159">
        <f t="shared" si="129"/>
        <v>-469.89</v>
      </c>
      <c r="X1204" s="159">
        <f t="shared" si="130"/>
        <v>-5.4570000000000505</v>
      </c>
      <c r="Y1204" s="159">
        <f t="shared" ca="1" si="126"/>
        <v>-9.327053436771962</v>
      </c>
      <c r="Z1204" s="159">
        <f t="shared" ca="1" si="131"/>
        <v>-14.717576365048998</v>
      </c>
      <c r="AA1204" s="161">
        <f t="shared" ca="1" si="132"/>
        <v>-1471.7576365048999</v>
      </c>
    </row>
    <row r="1205" spans="20:27" x14ac:dyDescent="0.25">
      <c r="T1205" s="165">
        <v>1193</v>
      </c>
      <c r="U1205" s="159">
        <f t="shared" si="127"/>
        <v>422.89149999999995</v>
      </c>
      <c r="V1205" s="159">
        <f t="shared" si="128"/>
        <v>42.541499999999999</v>
      </c>
      <c r="W1205" s="159">
        <f t="shared" si="129"/>
        <v>-470.89</v>
      </c>
      <c r="X1205" s="159">
        <f t="shared" si="130"/>
        <v>-5.4570000000000505</v>
      </c>
      <c r="Y1205" s="159">
        <f t="shared" ca="1" si="126"/>
        <v>-9.327053436771962</v>
      </c>
      <c r="Z1205" s="159">
        <f t="shared" ca="1" si="131"/>
        <v>-14.717576365048998</v>
      </c>
      <c r="AA1205" s="161">
        <f t="shared" ca="1" si="132"/>
        <v>-1471.7576365048999</v>
      </c>
    </row>
    <row r="1206" spans="20:27" x14ac:dyDescent="0.25">
      <c r="T1206" s="165">
        <v>1194</v>
      </c>
      <c r="U1206" s="159">
        <f t="shared" si="127"/>
        <v>423.89149999999995</v>
      </c>
      <c r="V1206" s="159">
        <f t="shared" si="128"/>
        <v>42.541499999999999</v>
      </c>
      <c r="W1206" s="159">
        <f t="shared" si="129"/>
        <v>-471.89</v>
      </c>
      <c r="X1206" s="159">
        <f t="shared" si="130"/>
        <v>-5.4570000000000505</v>
      </c>
      <c r="Y1206" s="159">
        <f t="shared" ca="1" si="126"/>
        <v>-9.327053436771962</v>
      </c>
      <c r="Z1206" s="159">
        <f t="shared" ca="1" si="131"/>
        <v>-14.717576365048998</v>
      </c>
      <c r="AA1206" s="161">
        <f t="shared" ca="1" si="132"/>
        <v>-1471.7576365048999</v>
      </c>
    </row>
    <row r="1207" spans="20:27" x14ac:dyDescent="0.25">
      <c r="T1207" s="165">
        <v>1195</v>
      </c>
      <c r="U1207" s="159">
        <f t="shared" si="127"/>
        <v>424.89149999999995</v>
      </c>
      <c r="V1207" s="159">
        <f t="shared" si="128"/>
        <v>42.541499999999999</v>
      </c>
      <c r="W1207" s="159">
        <f t="shared" si="129"/>
        <v>-472.89</v>
      </c>
      <c r="X1207" s="159">
        <f t="shared" si="130"/>
        <v>-5.4570000000000505</v>
      </c>
      <c r="Y1207" s="159">
        <f t="shared" ca="1" si="126"/>
        <v>-9.327053436771962</v>
      </c>
      <c r="Z1207" s="159">
        <f t="shared" ca="1" si="131"/>
        <v>-14.717576365048998</v>
      </c>
      <c r="AA1207" s="161">
        <f t="shared" ca="1" si="132"/>
        <v>-1471.7576365048999</v>
      </c>
    </row>
    <row r="1208" spans="20:27" x14ac:dyDescent="0.25">
      <c r="T1208" s="165">
        <v>1196</v>
      </c>
      <c r="U1208" s="159">
        <f t="shared" si="127"/>
        <v>425.89149999999995</v>
      </c>
      <c r="V1208" s="159">
        <f t="shared" si="128"/>
        <v>42.541499999999999</v>
      </c>
      <c r="W1208" s="159">
        <f t="shared" si="129"/>
        <v>-473.89</v>
      </c>
      <c r="X1208" s="159">
        <f t="shared" si="130"/>
        <v>-5.4570000000000505</v>
      </c>
      <c r="Y1208" s="159">
        <f t="shared" ca="1" si="126"/>
        <v>-9.327053436771962</v>
      </c>
      <c r="Z1208" s="159">
        <f t="shared" ca="1" si="131"/>
        <v>-14.717576365048998</v>
      </c>
      <c r="AA1208" s="161">
        <f t="shared" ca="1" si="132"/>
        <v>-1471.7576365048999</v>
      </c>
    </row>
    <row r="1209" spans="20:27" x14ac:dyDescent="0.25">
      <c r="T1209" s="165">
        <v>1197</v>
      </c>
      <c r="U1209" s="159">
        <f t="shared" si="127"/>
        <v>426.89149999999995</v>
      </c>
      <c r="V1209" s="159">
        <f t="shared" si="128"/>
        <v>42.541499999999999</v>
      </c>
      <c r="W1209" s="159">
        <f t="shared" si="129"/>
        <v>-474.89</v>
      </c>
      <c r="X1209" s="159">
        <f t="shared" si="130"/>
        <v>-5.4570000000000505</v>
      </c>
      <c r="Y1209" s="159">
        <f t="shared" ca="1" si="126"/>
        <v>-9.327053436771962</v>
      </c>
      <c r="Z1209" s="159">
        <f t="shared" ca="1" si="131"/>
        <v>-14.717576365048998</v>
      </c>
      <c r="AA1209" s="161">
        <f t="shared" ca="1" si="132"/>
        <v>-1471.7576365048999</v>
      </c>
    </row>
    <row r="1210" spans="20:27" x14ac:dyDescent="0.25">
      <c r="T1210" s="165">
        <v>1198</v>
      </c>
      <c r="U1210" s="159">
        <f t="shared" si="127"/>
        <v>427.89149999999995</v>
      </c>
      <c r="V1210" s="159">
        <f t="shared" si="128"/>
        <v>42.541499999999999</v>
      </c>
      <c r="W1210" s="159">
        <f t="shared" si="129"/>
        <v>-475.89</v>
      </c>
      <c r="X1210" s="159">
        <f t="shared" si="130"/>
        <v>-5.4570000000000505</v>
      </c>
      <c r="Y1210" s="159">
        <f t="shared" ca="1" si="126"/>
        <v>-9.327053436771962</v>
      </c>
      <c r="Z1210" s="159">
        <f t="shared" ca="1" si="131"/>
        <v>-14.717576365048998</v>
      </c>
      <c r="AA1210" s="161">
        <f t="shared" ca="1" si="132"/>
        <v>-1471.7576365048999</v>
      </c>
    </row>
    <row r="1211" spans="20:27" x14ac:dyDescent="0.25">
      <c r="T1211" s="165">
        <v>1199</v>
      </c>
      <c r="U1211" s="159">
        <f t="shared" si="127"/>
        <v>428.89149999999995</v>
      </c>
      <c r="V1211" s="159">
        <f t="shared" si="128"/>
        <v>42.541499999999999</v>
      </c>
      <c r="W1211" s="159">
        <f t="shared" si="129"/>
        <v>-476.89</v>
      </c>
      <c r="X1211" s="159">
        <f t="shared" si="130"/>
        <v>-5.4570000000000505</v>
      </c>
      <c r="Y1211" s="159">
        <f t="shared" ca="1" si="126"/>
        <v>-9.327053436771962</v>
      </c>
      <c r="Z1211" s="159">
        <f t="shared" ca="1" si="131"/>
        <v>-14.717576365048998</v>
      </c>
      <c r="AA1211" s="161">
        <f t="shared" ca="1" si="132"/>
        <v>-1471.7576365048999</v>
      </c>
    </row>
    <row r="1212" spans="20:27" x14ac:dyDescent="0.25">
      <c r="T1212" s="165">
        <v>1200</v>
      </c>
      <c r="U1212" s="159">
        <f t="shared" si="127"/>
        <v>429.89149999999995</v>
      </c>
      <c r="V1212" s="159">
        <f t="shared" si="128"/>
        <v>42.541499999999999</v>
      </c>
      <c r="W1212" s="159">
        <f t="shared" si="129"/>
        <v>-477.89</v>
      </c>
      <c r="X1212" s="159">
        <f t="shared" si="130"/>
        <v>-5.4570000000000505</v>
      </c>
      <c r="Y1212" s="159">
        <f t="shared" ca="1" si="126"/>
        <v>-9.327053436771962</v>
      </c>
      <c r="Z1212" s="159">
        <f t="shared" ca="1" si="131"/>
        <v>-14.717576365048998</v>
      </c>
      <c r="AA1212" s="161">
        <f t="shared" ca="1" si="132"/>
        <v>-1471.7576365048999</v>
      </c>
    </row>
    <row r="1213" spans="20:27" x14ac:dyDescent="0.25">
      <c r="T1213" s="165">
        <v>1201</v>
      </c>
      <c r="U1213" s="159">
        <f t="shared" si="127"/>
        <v>430.89149999999995</v>
      </c>
      <c r="V1213" s="159">
        <f t="shared" si="128"/>
        <v>42.541499999999999</v>
      </c>
      <c r="W1213" s="159">
        <f t="shared" si="129"/>
        <v>-478.89</v>
      </c>
      <c r="X1213" s="159">
        <f t="shared" si="130"/>
        <v>-5.4570000000000505</v>
      </c>
      <c r="Y1213" s="159">
        <f t="shared" ca="1" si="126"/>
        <v>-9.327053436771962</v>
      </c>
      <c r="Z1213" s="159">
        <f t="shared" ca="1" si="131"/>
        <v>-14.717576365048998</v>
      </c>
      <c r="AA1213" s="161">
        <f t="shared" ca="1" si="132"/>
        <v>-1471.7576365048999</v>
      </c>
    </row>
    <row r="1214" spans="20:27" x14ac:dyDescent="0.25">
      <c r="T1214" s="165">
        <v>1202</v>
      </c>
      <c r="U1214" s="159">
        <f t="shared" si="127"/>
        <v>431.89149999999995</v>
      </c>
      <c r="V1214" s="159">
        <f t="shared" si="128"/>
        <v>42.541499999999999</v>
      </c>
      <c r="W1214" s="159">
        <f t="shared" si="129"/>
        <v>-479.89</v>
      </c>
      <c r="X1214" s="159">
        <f t="shared" si="130"/>
        <v>-5.4570000000000505</v>
      </c>
      <c r="Y1214" s="159">
        <f t="shared" ca="1" si="126"/>
        <v>-9.327053436771962</v>
      </c>
      <c r="Z1214" s="159">
        <f t="shared" ca="1" si="131"/>
        <v>-14.717576365048998</v>
      </c>
      <c r="AA1214" s="161">
        <f t="shared" ca="1" si="132"/>
        <v>-1471.7576365048999</v>
      </c>
    </row>
    <row r="1215" spans="20:27" x14ac:dyDescent="0.25">
      <c r="T1215" s="165">
        <v>1203</v>
      </c>
      <c r="U1215" s="159">
        <f t="shared" si="127"/>
        <v>432.89149999999995</v>
      </c>
      <c r="V1215" s="159">
        <f t="shared" si="128"/>
        <v>42.541499999999999</v>
      </c>
      <c r="W1215" s="159">
        <f t="shared" si="129"/>
        <v>-480.89</v>
      </c>
      <c r="X1215" s="159">
        <f t="shared" si="130"/>
        <v>-5.4570000000000505</v>
      </c>
      <c r="Y1215" s="159">
        <f t="shared" ca="1" si="126"/>
        <v>-9.327053436771962</v>
      </c>
      <c r="Z1215" s="159">
        <f t="shared" ca="1" si="131"/>
        <v>-14.717576365048998</v>
      </c>
      <c r="AA1215" s="161">
        <f t="shared" ca="1" si="132"/>
        <v>-1471.7576365048999</v>
      </c>
    </row>
    <row r="1216" spans="20:27" x14ac:dyDescent="0.25">
      <c r="T1216" s="165">
        <v>1204</v>
      </c>
      <c r="U1216" s="159">
        <f t="shared" si="127"/>
        <v>433.89149999999995</v>
      </c>
      <c r="V1216" s="159">
        <f t="shared" si="128"/>
        <v>42.541499999999999</v>
      </c>
      <c r="W1216" s="159">
        <f t="shared" si="129"/>
        <v>-481.89</v>
      </c>
      <c r="X1216" s="159">
        <f t="shared" si="130"/>
        <v>-5.4570000000000505</v>
      </c>
      <c r="Y1216" s="159">
        <f t="shared" ca="1" si="126"/>
        <v>-9.327053436771962</v>
      </c>
      <c r="Z1216" s="159">
        <f t="shared" ca="1" si="131"/>
        <v>-14.717576365048998</v>
      </c>
      <c r="AA1216" s="161">
        <f t="shared" ca="1" si="132"/>
        <v>-1471.7576365048999</v>
      </c>
    </row>
    <row r="1217" spans="20:27" x14ac:dyDescent="0.25">
      <c r="T1217" s="165">
        <v>1205</v>
      </c>
      <c r="U1217" s="159">
        <f t="shared" si="127"/>
        <v>434.89149999999995</v>
      </c>
      <c r="V1217" s="159">
        <f t="shared" si="128"/>
        <v>42.541499999999999</v>
      </c>
      <c r="W1217" s="159">
        <f t="shared" si="129"/>
        <v>-482.89</v>
      </c>
      <c r="X1217" s="159">
        <f t="shared" si="130"/>
        <v>-5.4570000000000505</v>
      </c>
      <c r="Y1217" s="159">
        <f t="shared" ca="1" si="126"/>
        <v>-9.327053436771962</v>
      </c>
      <c r="Z1217" s="159">
        <f t="shared" ca="1" si="131"/>
        <v>-14.717576365048998</v>
      </c>
      <c r="AA1217" s="161">
        <f t="shared" ca="1" si="132"/>
        <v>-1471.7576365048999</v>
      </c>
    </row>
    <row r="1218" spans="20:27" x14ac:dyDescent="0.25">
      <c r="T1218" s="165">
        <v>1206</v>
      </c>
      <c r="U1218" s="159">
        <f t="shared" si="127"/>
        <v>435.89149999999995</v>
      </c>
      <c r="V1218" s="159">
        <f t="shared" si="128"/>
        <v>42.541499999999999</v>
      </c>
      <c r="W1218" s="159">
        <f t="shared" si="129"/>
        <v>-483.89</v>
      </c>
      <c r="X1218" s="159">
        <f t="shared" si="130"/>
        <v>-5.4570000000000505</v>
      </c>
      <c r="Y1218" s="159">
        <f t="shared" ca="1" si="126"/>
        <v>-9.327053436771962</v>
      </c>
      <c r="Z1218" s="159">
        <f t="shared" ca="1" si="131"/>
        <v>-14.717576365048998</v>
      </c>
      <c r="AA1218" s="161">
        <f t="shared" ca="1" si="132"/>
        <v>-1471.7576365048999</v>
      </c>
    </row>
    <row r="1219" spans="20:27" x14ac:dyDescent="0.25">
      <c r="T1219" s="165">
        <v>1207</v>
      </c>
      <c r="U1219" s="159">
        <f t="shared" si="127"/>
        <v>436.89149999999995</v>
      </c>
      <c r="V1219" s="159">
        <f t="shared" si="128"/>
        <v>42.541499999999999</v>
      </c>
      <c r="W1219" s="159">
        <f t="shared" si="129"/>
        <v>-484.89</v>
      </c>
      <c r="X1219" s="159">
        <f t="shared" si="130"/>
        <v>-5.4570000000000505</v>
      </c>
      <c r="Y1219" s="159">
        <f t="shared" ca="1" si="126"/>
        <v>-9.327053436771962</v>
      </c>
      <c r="Z1219" s="159">
        <f t="shared" ca="1" si="131"/>
        <v>-14.717576365048998</v>
      </c>
      <c r="AA1219" s="161">
        <f t="shared" ca="1" si="132"/>
        <v>-1471.7576365048999</v>
      </c>
    </row>
    <row r="1220" spans="20:27" x14ac:dyDescent="0.25">
      <c r="T1220" s="165">
        <v>1208</v>
      </c>
      <c r="U1220" s="159">
        <f t="shared" si="127"/>
        <v>437.89149999999995</v>
      </c>
      <c r="V1220" s="159">
        <f t="shared" si="128"/>
        <v>42.541499999999999</v>
      </c>
      <c r="W1220" s="159">
        <f t="shared" si="129"/>
        <v>-485.89</v>
      </c>
      <c r="X1220" s="159">
        <f t="shared" si="130"/>
        <v>-5.4570000000000505</v>
      </c>
      <c r="Y1220" s="159">
        <f t="shared" ca="1" si="126"/>
        <v>-9.327053436771962</v>
      </c>
      <c r="Z1220" s="159">
        <f t="shared" ca="1" si="131"/>
        <v>-14.717576365048998</v>
      </c>
      <c r="AA1220" s="161">
        <f t="shared" ca="1" si="132"/>
        <v>-1471.7576365048999</v>
      </c>
    </row>
    <row r="1221" spans="20:27" x14ac:dyDescent="0.25">
      <c r="T1221" s="165">
        <v>1209</v>
      </c>
      <c r="U1221" s="159">
        <f t="shared" si="127"/>
        <v>438.89149999999995</v>
      </c>
      <c r="V1221" s="159">
        <f t="shared" si="128"/>
        <v>42.541499999999999</v>
      </c>
      <c r="W1221" s="159">
        <f t="shared" si="129"/>
        <v>-486.89</v>
      </c>
      <c r="X1221" s="159">
        <f t="shared" si="130"/>
        <v>-5.4570000000000505</v>
      </c>
      <c r="Y1221" s="159">
        <f t="shared" ca="1" si="126"/>
        <v>-9.327053436771962</v>
      </c>
      <c r="Z1221" s="159">
        <f t="shared" ca="1" si="131"/>
        <v>-14.717576365048998</v>
      </c>
      <c r="AA1221" s="161">
        <f t="shared" ca="1" si="132"/>
        <v>-1471.7576365048999</v>
      </c>
    </row>
    <row r="1222" spans="20:27" x14ac:dyDescent="0.25">
      <c r="T1222" s="165">
        <v>1210</v>
      </c>
      <c r="U1222" s="159">
        <f t="shared" si="127"/>
        <v>439.89149999999995</v>
      </c>
      <c r="V1222" s="159">
        <f t="shared" si="128"/>
        <v>42.541499999999999</v>
      </c>
      <c r="W1222" s="159">
        <f t="shared" si="129"/>
        <v>-487.89</v>
      </c>
      <c r="X1222" s="159">
        <f t="shared" si="130"/>
        <v>-5.4570000000000505</v>
      </c>
      <c r="Y1222" s="159">
        <f t="shared" ca="1" si="126"/>
        <v>-9.327053436771962</v>
      </c>
      <c r="Z1222" s="159">
        <f t="shared" ca="1" si="131"/>
        <v>-14.717576365048998</v>
      </c>
      <c r="AA1222" s="161">
        <f t="shared" ca="1" si="132"/>
        <v>-1471.7576365048999</v>
      </c>
    </row>
    <row r="1223" spans="20:27" x14ac:dyDescent="0.25">
      <c r="T1223" s="165">
        <v>1211</v>
      </c>
      <c r="U1223" s="159">
        <f t="shared" si="127"/>
        <v>440.89149999999995</v>
      </c>
      <c r="V1223" s="159">
        <f t="shared" si="128"/>
        <v>42.541499999999999</v>
      </c>
      <c r="W1223" s="159">
        <f t="shared" si="129"/>
        <v>-488.89</v>
      </c>
      <c r="X1223" s="159">
        <f t="shared" si="130"/>
        <v>-5.4570000000000505</v>
      </c>
      <c r="Y1223" s="159">
        <f t="shared" ca="1" si="126"/>
        <v>-9.327053436771962</v>
      </c>
      <c r="Z1223" s="159">
        <f t="shared" ca="1" si="131"/>
        <v>-14.717576365048998</v>
      </c>
      <c r="AA1223" s="161">
        <f t="shared" ca="1" si="132"/>
        <v>-1471.7576365048999</v>
      </c>
    </row>
    <row r="1224" spans="20:27" x14ac:dyDescent="0.25">
      <c r="T1224" s="165">
        <v>1212</v>
      </c>
      <c r="U1224" s="159">
        <f t="shared" si="127"/>
        <v>441.89149999999995</v>
      </c>
      <c r="V1224" s="159">
        <f t="shared" si="128"/>
        <v>42.541499999999999</v>
      </c>
      <c r="W1224" s="159">
        <f t="shared" si="129"/>
        <v>-489.89</v>
      </c>
      <c r="X1224" s="159">
        <f t="shared" si="130"/>
        <v>-5.4570000000000505</v>
      </c>
      <c r="Y1224" s="159">
        <f t="shared" ca="1" si="126"/>
        <v>-9.327053436771962</v>
      </c>
      <c r="Z1224" s="159">
        <f t="shared" ca="1" si="131"/>
        <v>-14.717576365048998</v>
      </c>
      <c r="AA1224" s="161">
        <f t="shared" ca="1" si="132"/>
        <v>-1471.7576365048999</v>
      </c>
    </row>
    <row r="1225" spans="20:27" x14ac:dyDescent="0.25">
      <c r="T1225" s="165">
        <v>1213</v>
      </c>
      <c r="U1225" s="159">
        <f t="shared" si="127"/>
        <v>442.89149999999995</v>
      </c>
      <c r="V1225" s="159">
        <f t="shared" si="128"/>
        <v>42.541499999999999</v>
      </c>
      <c r="W1225" s="159">
        <f t="shared" si="129"/>
        <v>-490.89</v>
      </c>
      <c r="X1225" s="159">
        <f t="shared" si="130"/>
        <v>-5.4570000000000505</v>
      </c>
      <c r="Y1225" s="159">
        <f t="shared" ca="1" si="126"/>
        <v>-9.327053436771962</v>
      </c>
      <c r="Z1225" s="159">
        <f t="shared" ca="1" si="131"/>
        <v>-14.717576365048998</v>
      </c>
      <c r="AA1225" s="161">
        <f t="shared" ca="1" si="132"/>
        <v>-1471.7576365048999</v>
      </c>
    </row>
    <row r="1226" spans="20:27" x14ac:dyDescent="0.25">
      <c r="T1226" s="165">
        <v>1214</v>
      </c>
      <c r="U1226" s="159">
        <f t="shared" si="127"/>
        <v>443.89149999999995</v>
      </c>
      <c r="V1226" s="159">
        <f t="shared" si="128"/>
        <v>42.541499999999999</v>
      </c>
      <c r="W1226" s="159">
        <f t="shared" si="129"/>
        <v>-491.89</v>
      </c>
      <c r="X1226" s="159">
        <f t="shared" si="130"/>
        <v>-5.4570000000000505</v>
      </c>
      <c r="Y1226" s="159">
        <f t="shared" ca="1" si="126"/>
        <v>-9.327053436771962</v>
      </c>
      <c r="Z1226" s="159">
        <f t="shared" ca="1" si="131"/>
        <v>-14.717576365048998</v>
      </c>
      <c r="AA1226" s="161">
        <f t="shared" ca="1" si="132"/>
        <v>-1471.7576365048999</v>
      </c>
    </row>
    <row r="1227" spans="20:27" x14ac:dyDescent="0.25">
      <c r="T1227" s="165">
        <v>1215</v>
      </c>
      <c r="U1227" s="159">
        <f t="shared" si="127"/>
        <v>444.89149999999995</v>
      </c>
      <c r="V1227" s="159">
        <f t="shared" si="128"/>
        <v>42.541499999999999</v>
      </c>
      <c r="W1227" s="159">
        <f t="shared" si="129"/>
        <v>-492.89</v>
      </c>
      <c r="X1227" s="159">
        <f t="shared" si="130"/>
        <v>-5.4570000000000505</v>
      </c>
      <c r="Y1227" s="159">
        <f t="shared" ca="1" si="126"/>
        <v>-9.327053436771962</v>
      </c>
      <c r="Z1227" s="159">
        <f t="shared" ca="1" si="131"/>
        <v>-14.717576365048998</v>
      </c>
      <c r="AA1227" s="161">
        <f t="shared" ca="1" si="132"/>
        <v>-1471.7576365048999</v>
      </c>
    </row>
    <row r="1228" spans="20:27" x14ac:dyDescent="0.25">
      <c r="T1228" s="165">
        <v>1216</v>
      </c>
      <c r="U1228" s="159">
        <f t="shared" si="127"/>
        <v>445.89149999999995</v>
      </c>
      <c r="V1228" s="159">
        <f t="shared" si="128"/>
        <v>42.541499999999999</v>
      </c>
      <c r="W1228" s="159">
        <f t="shared" si="129"/>
        <v>-493.89</v>
      </c>
      <c r="X1228" s="159">
        <f t="shared" si="130"/>
        <v>-5.4570000000000505</v>
      </c>
      <c r="Y1228" s="159">
        <f t="shared" ref="Y1228:Y1291" ca="1" si="133">$Y$10*EXP($Y$7*$C$6)-$Y$10</f>
        <v>-9.327053436771962</v>
      </c>
      <c r="Z1228" s="159">
        <f t="shared" ca="1" si="131"/>
        <v>-14.717576365048998</v>
      </c>
      <c r="AA1228" s="161">
        <f t="shared" ca="1" si="132"/>
        <v>-1471.7576365048999</v>
      </c>
    </row>
    <row r="1229" spans="20:27" x14ac:dyDescent="0.25">
      <c r="T1229" s="165">
        <v>1217</v>
      </c>
      <c r="U1229" s="159">
        <f t="shared" ref="U1229:U1292" si="134">MAX(0,T1229-$U$9)-$U$10-$U$11/100</f>
        <v>446.89149999999995</v>
      </c>
      <c r="V1229" s="159">
        <f t="shared" ref="V1229:V1292" si="135">$V$10-MAX(0,$V$9-T1229)-$V$11/100</f>
        <v>42.541499999999999</v>
      </c>
      <c r="W1229" s="159">
        <f t="shared" ref="W1229:W1292" si="136">$W$10-T1229</f>
        <v>-494.89</v>
      </c>
      <c r="X1229" s="159">
        <f t="shared" ref="X1229:X1292" si="137">SUM(U1229:W1229)</f>
        <v>-5.4570000000000505</v>
      </c>
      <c r="Y1229" s="159">
        <f t="shared" ca="1" si="133"/>
        <v>-9.327053436771962</v>
      </c>
      <c r="Z1229" s="159">
        <f t="shared" ref="Z1229:Z1292" ca="1" si="138">EXP(-$E$3*$C$6)*SUM(X1229:Y1229)</f>
        <v>-14.717576365048998</v>
      </c>
      <c r="AA1229" s="161">
        <f t="shared" ref="AA1229:AA1292" ca="1" si="139">Z1229*100</f>
        <v>-1471.7576365048999</v>
      </c>
    </row>
    <row r="1230" spans="20:27" x14ac:dyDescent="0.25">
      <c r="T1230" s="165">
        <v>1218</v>
      </c>
      <c r="U1230" s="159">
        <f t="shared" si="134"/>
        <v>447.89149999999995</v>
      </c>
      <c r="V1230" s="159">
        <f t="shared" si="135"/>
        <v>42.541499999999999</v>
      </c>
      <c r="W1230" s="159">
        <f t="shared" si="136"/>
        <v>-495.89</v>
      </c>
      <c r="X1230" s="159">
        <f t="shared" si="137"/>
        <v>-5.4570000000000505</v>
      </c>
      <c r="Y1230" s="159">
        <f t="shared" ca="1" si="133"/>
        <v>-9.327053436771962</v>
      </c>
      <c r="Z1230" s="159">
        <f t="shared" ca="1" si="138"/>
        <v>-14.717576365048998</v>
      </c>
      <c r="AA1230" s="161">
        <f t="shared" ca="1" si="139"/>
        <v>-1471.7576365048999</v>
      </c>
    </row>
    <row r="1231" spans="20:27" x14ac:dyDescent="0.25">
      <c r="T1231" s="165">
        <v>1219</v>
      </c>
      <c r="U1231" s="159">
        <f t="shared" si="134"/>
        <v>448.89149999999995</v>
      </c>
      <c r="V1231" s="159">
        <f t="shared" si="135"/>
        <v>42.541499999999999</v>
      </c>
      <c r="W1231" s="159">
        <f t="shared" si="136"/>
        <v>-496.89</v>
      </c>
      <c r="X1231" s="159">
        <f t="shared" si="137"/>
        <v>-5.4570000000000505</v>
      </c>
      <c r="Y1231" s="159">
        <f t="shared" ca="1" si="133"/>
        <v>-9.327053436771962</v>
      </c>
      <c r="Z1231" s="159">
        <f t="shared" ca="1" si="138"/>
        <v>-14.717576365048998</v>
      </c>
      <c r="AA1231" s="161">
        <f t="shared" ca="1" si="139"/>
        <v>-1471.7576365048999</v>
      </c>
    </row>
    <row r="1232" spans="20:27" x14ac:dyDescent="0.25">
      <c r="T1232" s="165">
        <v>1220</v>
      </c>
      <c r="U1232" s="159">
        <f t="shared" si="134"/>
        <v>449.89149999999995</v>
      </c>
      <c r="V1232" s="159">
        <f t="shared" si="135"/>
        <v>42.541499999999999</v>
      </c>
      <c r="W1232" s="159">
        <f t="shared" si="136"/>
        <v>-497.89</v>
      </c>
      <c r="X1232" s="159">
        <f t="shared" si="137"/>
        <v>-5.4570000000000505</v>
      </c>
      <c r="Y1232" s="159">
        <f t="shared" ca="1" si="133"/>
        <v>-9.327053436771962</v>
      </c>
      <c r="Z1232" s="159">
        <f t="shared" ca="1" si="138"/>
        <v>-14.717576365048998</v>
      </c>
      <c r="AA1232" s="161">
        <f t="shared" ca="1" si="139"/>
        <v>-1471.7576365048999</v>
      </c>
    </row>
    <row r="1233" spans="20:27" x14ac:dyDescent="0.25">
      <c r="T1233" s="165">
        <v>1221</v>
      </c>
      <c r="U1233" s="159">
        <f t="shared" si="134"/>
        <v>450.89149999999995</v>
      </c>
      <c r="V1233" s="159">
        <f t="shared" si="135"/>
        <v>42.541499999999999</v>
      </c>
      <c r="W1233" s="159">
        <f t="shared" si="136"/>
        <v>-498.89</v>
      </c>
      <c r="X1233" s="159">
        <f t="shared" si="137"/>
        <v>-5.4570000000000505</v>
      </c>
      <c r="Y1233" s="159">
        <f t="shared" ca="1" si="133"/>
        <v>-9.327053436771962</v>
      </c>
      <c r="Z1233" s="159">
        <f t="shared" ca="1" si="138"/>
        <v>-14.717576365048998</v>
      </c>
      <c r="AA1233" s="161">
        <f t="shared" ca="1" si="139"/>
        <v>-1471.7576365048999</v>
      </c>
    </row>
    <row r="1234" spans="20:27" x14ac:dyDescent="0.25">
      <c r="T1234" s="165">
        <v>1222</v>
      </c>
      <c r="U1234" s="159">
        <f t="shared" si="134"/>
        <v>451.89149999999995</v>
      </c>
      <c r="V1234" s="159">
        <f t="shared" si="135"/>
        <v>42.541499999999999</v>
      </c>
      <c r="W1234" s="159">
        <f t="shared" si="136"/>
        <v>-499.89</v>
      </c>
      <c r="X1234" s="159">
        <f t="shared" si="137"/>
        <v>-5.4570000000000505</v>
      </c>
      <c r="Y1234" s="159">
        <f t="shared" ca="1" si="133"/>
        <v>-9.327053436771962</v>
      </c>
      <c r="Z1234" s="159">
        <f t="shared" ca="1" si="138"/>
        <v>-14.717576365048998</v>
      </c>
      <c r="AA1234" s="161">
        <f t="shared" ca="1" si="139"/>
        <v>-1471.7576365048999</v>
      </c>
    </row>
    <row r="1235" spans="20:27" x14ac:dyDescent="0.25">
      <c r="T1235" s="165">
        <v>1223</v>
      </c>
      <c r="U1235" s="159">
        <f t="shared" si="134"/>
        <v>452.89149999999995</v>
      </c>
      <c r="V1235" s="159">
        <f t="shared" si="135"/>
        <v>42.541499999999999</v>
      </c>
      <c r="W1235" s="159">
        <f t="shared" si="136"/>
        <v>-500.89</v>
      </c>
      <c r="X1235" s="159">
        <f t="shared" si="137"/>
        <v>-5.4570000000000505</v>
      </c>
      <c r="Y1235" s="159">
        <f t="shared" ca="1" si="133"/>
        <v>-9.327053436771962</v>
      </c>
      <c r="Z1235" s="159">
        <f t="shared" ca="1" si="138"/>
        <v>-14.717576365048998</v>
      </c>
      <c r="AA1235" s="161">
        <f t="shared" ca="1" si="139"/>
        <v>-1471.7576365048999</v>
      </c>
    </row>
    <row r="1236" spans="20:27" x14ac:dyDescent="0.25">
      <c r="T1236" s="165">
        <v>1224</v>
      </c>
      <c r="U1236" s="159">
        <f t="shared" si="134"/>
        <v>453.89149999999995</v>
      </c>
      <c r="V1236" s="159">
        <f t="shared" si="135"/>
        <v>42.541499999999999</v>
      </c>
      <c r="W1236" s="159">
        <f t="shared" si="136"/>
        <v>-501.89</v>
      </c>
      <c r="X1236" s="159">
        <f t="shared" si="137"/>
        <v>-5.4570000000000505</v>
      </c>
      <c r="Y1236" s="159">
        <f t="shared" ca="1" si="133"/>
        <v>-9.327053436771962</v>
      </c>
      <c r="Z1236" s="159">
        <f t="shared" ca="1" si="138"/>
        <v>-14.717576365048998</v>
      </c>
      <c r="AA1236" s="161">
        <f t="shared" ca="1" si="139"/>
        <v>-1471.7576365048999</v>
      </c>
    </row>
    <row r="1237" spans="20:27" x14ac:dyDescent="0.25">
      <c r="T1237" s="165">
        <v>1225</v>
      </c>
      <c r="U1237" s="159">
        <f t="shared" si="134"/>
        <v>454.89149999999995</v>
      </c>
      <c r="V1237" s="159">
        <f t="shared" si="135"/>
        <v>42.541499999999999</v>
      </c>
      <c r="W1237" s="159">
        <f t="shared" si="136"/>
        <v>-502.89</v>
      </c>
      <c r="X1237" s="159">
        <f t="shared" si="137"/>
        <v>-5.4570000000000505</v>
      </c>
      <c r="Y1237" s="159">
        <f t="shared" ca="1" si="133"/>
        <v>-9.327053436771962</v>
      </c>
      <c r="Z1237" s="159">
        <f t="shared" ca="1" si="138"/>
        <v>-14.717576365048998</v>
      </c>
      <c r="AA1237" s="161">
        <f t="shared" ca="1" si="139"/>
        <v>-1471.7576365048999</v>
      </c>
    </row>
    <row r="1238" spans="20:27" x14ac:dyDescent="0.25">
      <c r="T1238" s="165">
        <v>1226</v>
      </c>
      <c r="U1238" s="159">
        <f t="shared" si="134"/>
        <v>455.89149999999995</v>
      </c>
      <c r="V1238" s="159">
        <f t="shared" si="135"/>
        <v>42.541499999999999</v>
      </c>
      <c r="W1238" s="159">
        <f t="shared" si="136"/>
        <v>-503.89</v>
      </c>
      <c r="X1238" s="159">
        <f t="shared" si="137"/>
        <v>-5.4570000000000505</v>
      </c>
      <c r="Y1238" s="159">
        <f t="shared" ca="1" si="133"/>
        <v>-9.327053436771962</v>
      </c>
      <c r="Z1238" s="159">
        <f t="shared" ca="1" si="138"/>
        <v>-14.717576365048998</v>
      </c>
      <c r="AA1238" s="161">
        <f t="shared" ca="1" si="139"/>
        <v>-1471.7576365048999</v>
      </c>
    </row>
    <row r="1239" spans="20:27" x14ac:dyDescent="0.25">
      <c r="T1239" s="165">
        <v>1227</v>
      </c>
      <c r="U1239" s="159">
        <f t="shared" si="134"/>
        <v>456.89149999999995</v>
      </c>
      <c r="V1239" s="159">
        <f t="shared" si="135"/>
        <v>42.541499999999999</v>
      </c>
      <c r="W1239" s="159">
        <f t="shared" si="136"/>
        <v>-504.89</v>
      </c>
      <c r="X1239" s="159">
        <f t="shared" si="137"/>
        <v>-5.4570000000000505</v>
      </c>
      <c r="Y1239" s="159">
        <f t="shared" ca="1" si="133"/>
        <v>-9.327053436771962</v>
      </c>
      <c r="Z1239" s="159">
        <f t="shared" ca="1" si="138"/>
        <v>-14.717576365048998</v>
      </c>
      <c r="AA1239" s="161">
        <f t="shared" ca="1" si="139"/>
        <v>-1471.7576365048999</v>
      </c>
    </row>
    <row r="1240" spans="20:27" x14ac:dyDescent="0.25">
      <c r="T1240" s="165">
        <v>1228</v>
      </c>
      <c r="U1240" s="159">
        <f t="shared" si="134"/>
        <v>457.89149999999995</v>
      </c>
      <c r="V1240" s="159">
        <f t="shared" si="135"/>
        <v>42.541499999999999</v>
      </c>
      <c r="W1240" s="159">
        <f t="shared" si="136"/>
        <v>-505.89</v>
      </c>
      <c r="X1240" s="159">
        <f t="shared" si="137"/>
        <v>-5.4570000000000505</v>
      </c>
      <c r="Y1240" s="159">
        <f t="shared" ca="1" si="133"/>
        <v>-9.327053436771962</v>
      </c>
      <c r="Z1240" s="159">
        <f t="shared" ca="1" si="138"/>
        <v>-14.717576365048998</v>
      </c>
      <c r="AA1240" s="161">
        <f t="shared" ca="1" si="139"/>
        <v>-1471.7576365048999</v>
      </c>
    </row>
    <row r="1241" spans="20:27" x14ac:dyDescent="0.25">
      <c r="T1241" s="165">
        <v>1229</v>
      </c>
      <c r="U1241" s="159">
        <f t="shared" si="134"/>
        <v>458.89149999999995</v>
      </c>
      <c r="V1241" s="159">
        <f t="shared" si="135"/>
        <v>42.541499999999999</v>
      </c>
      <c r="W1241" s="159">
        <f t="shared" si="136"/>
        <v>-506.89</v>
      </c>
      <c r="X1241" s="159">
        <f t="shared" si="137"/>
        <v>-5.4570000000000505</v>
      </c>
      <c r="Y1241" s="159">
        <f t="shared" ca="1" si="133"/>
        <v>-9.327053436771962</v>
      </c>
      <c r="Z1241" s="159">
        <f t="shared" ca="1" si="138"/>
        <v>-14.717576365048998</v>
      </c>
      <c r="AA1241" s="161">
        <f t="shared" ca="1" si="139"/>
        <v>-1471.7576365048999</v>
      </c>
    </row>
    <row r="1242" spans="20:27" x14ac:dyDescent="0.25">
      <c r="T1242" s="165">
        <v>1230</v>
      </c>
      <c r="U1242" s="159">
        <f t="shared" si="134"/>
        <v>459.89149999999995</v>
      </c>
      <c r="V1242" s="159">
        <f t="shared" si="135"/>
        <v>42.541499999999999</v>
      </c>
      <c r="W1242" s="159">
        <f t="shared" si="136"/>
        <v>-507.89</v>
      </c>
      <c r="X1242" s="159">
        <f t="shared" si="137"/>
        <v>-5.4570000000000505</v>
      </c>
      <c r="Y1242" s="159">
        <f t="shared" ca="1" si="133"/>
        <v>-9.327053436771962</v>
      </c>
      <c r="Z1242" s="159">
        <f t="shared" ca="1" si="138"/>
        <v>-14.717576365048998</v>
      </c>
      <c r="AA1242" s="161">
        <f t="shared" ca="1" si="139"/>
        <v>-1471.7576365048999</v>
      </c>
    </row>
    <row r="1243" spans="20:27" x14ac:dyDescent="0.25">
      <c r="T1243" s="165">
        <v>1231</v>
      </c>
      <c r="U1243" s="159">
        <f t="shared" si="134"/>
        <v>460.89149999999995</v>
      </c>
      <c r="V1243" s="159">
        <f t="shared" si="135"/>
        <v>42.541499999999999</v>
      </c>
      <c r="W1243" s="159">
        <f t="shared" si="136"/>
        <v>-508.89</v>
      </c>
      <c r="X1243" s="159">
        <f t="shared" si="137"/>
        <v>-5.4570000000000505</v>
      </c>
      <c r="Y1243" s="159">
        <f t="shared" ca="1" si="133"/>
        <v>-9.327053436771962</v>
      </c>
      <c r="Z1243" s="159">
        <f t="shared" ca="1" si="138"/>
        <v>-14.717576365048998</v>
      </c>
      <c r="AA1243" s="161">
        <f t="shared" ca="1" si="139"/>
        <v>-1471.7576365048999</v>
      </c>
    </row>
    <row r="1244" spans="20:27" x14ac:dyDescent="0.25">
      <c r="T1244" s="165">
        <v>1232</v>
      </c>
      <c r="U1244" s="159">
        <f t="shared" si="134"/>
        <v>461.89149999999995</v>
      </c>
      <c r="V1244" s="159">
        <f t="shared" si="135"/>
        <v>42.541499999999999</v>
      </c>
      <c r="W1244" s="159">
        <f t="shared" si="136"/>
        <v>-509.89</v>
      </c>
      <c r="X1244" s="159">
        <f t="shared" si="137"/>
        <v>-5.4570000000000505</v>
      </c>
      <c r="Y1244" s="159">
        <f t="shared" ca="1" si="133"/>
        <v>-9.327053436771962</v>
      </c>
      <c r="Z1244" s="159">
        <f t="shared" ca="1" si="138"/>
        <v>-14.717576365048998</v>
      </c>
      <c r="AA1244" s="161">
        <f t="shared" ca="1" si="139"/>
        <v>-1471.7576365048999</v>
      </c>
    </row>
    <row r="1245" spans="20:27" x14ac:dyDescent="0.25">
      <c r="T1245" s="165">
        <v>1233</v>
      </c>
      <c r="U1245" s="159">
        <f t="shared" si="134"/>
        <v>462.89149999999995</v>
      </c>
      <c r="V1245" s="159">
        <f t="shared" si="135"/>
        <v>42.541499999999999</v>
      </c>
      <c r="W1245" s="159">
        <f t="shared" si="136"/>
        <v>-510.89</v>
      </c>
      <c r="X1245" s="159">
        <f t="shared" si="137"/>
        <v>-5.4570000000000505</v>
      </c>
      <c r="Y1245" s="159">
        <f t="shared" ca="1" si="133"/>
        <v>-9.327053436771962</v>
      </c>
      <c r="Z1245" s="159">
        <f t="shared" ca="1" si="138"/>
        <v>-14.717576365048998</v>
      </c>
      <c r="AA1245" s="161">
        <f t="shared" ca="1" si="139"/>
        <v>-1471.7576365048999</v>
      </c>
    </row>
    <row r="1246" spans="20:27" x14ac:dyDescent="0.25">
      <c r="T1246" s="165">
        <v>1234</v>
      </c>
      <c r="U1246" s="159">
        <f t="shared" si="134"/>
        <v>463.89149999999995</v>
      </c>
      <c r="V1246" s="159">
        <f t="shared" si="135"/>
        <v>42.541499999999999</v>
      </c>
      <c r="W1246" s="159">
        <f t="shared" si="136"/>
        <v>-511.89</v>
      </c>
      <c r="X1246" s="159">
        <f t="shared" si="137"/>
        <v>-5.4570000000000505</v>
      </c>
      <c r="Y1246" s="159">
        <f t="shared" ca="1" si="133"/>
        <v>-9.327053436771962</v>
      </c>
      <c r="Z1246" s="159">
        <f t="shared" ca="1" si="138"/>
        <v>-14.717576365048998</v>
      </c>
      <c r="AA1246" s="161">
        <f t="shared" ca="1" si="139"/>
        <v>-1471.7576365048999</v>
      </c>
    </row>
    <row r="1247" spans="20:27" x14ac:dyDescent="0.25">
      <c r="T1247" s="165">
        <v>1235</v>
      </c>
      <c r="U1247" s="159">
        <f t="shared" si="134"/>
        <v>464.89149999999995</v>
      </c>
      <c r="V1247" s="159">
        <f t="shared" si="135"/>
        <v>42.541499999999999</v>
      </c>
      <c r="W1247" s="159">
        <f t="shared" si="136"/>
        <v>-512.89</v>
      </c>
      <c r="X1247" s="159">
        <f t="shared" si="137"/>
        <v>-5.4570000000000505</v>
      </c>
      <c r="Y1247" s="159">
        <f t="shared" ca="1" si="133"/>
        <v>-9.327053436771962</v>
      </c>
      <c r="Z1247" s="159">
        <f t="shared" ca="1" si="138"/>
        <v>-14.717576365048998</v>
      </c>
      <c r="AA1247" s="161">
        <f t="shared" ca="1" si="139"/>
        <v>-1471.7576365048999</v>
      </c>
    </row>
    <row r="1248" spans="20:27" x14ac:dyDescent="0.25">
      <c r="T1248" s="165">
        <v>1236</v>
      </c>
      <c r="U1248" s="159">
        <f t="shared" si="134"/>
        <v>465.89149999999995</v>
      </c>
      <c r="V1248" s="159">
        <f t="shared" si="135"/>
        <v>42.541499999999999</v>
      </c>
      <c r="W1248" s="159">
        <f t="shared" si="136"/>
        <v>-513.89</v>
      </c>
      <c r="X1248" s="159">
        <f t="shared" si="137"/>
        <v>-5.4570000000000505</v>
      </c>
      <c r="Y1248" s="159">
        <f t="shared" ca="1" si="133"/>
        <v>-9.327053436771962</v>
      </c>
      <c r="Z1248" s="159">
        <f t="shared" ca="1" si="138"/>
        <v>-14.717576365048998</v>
      </c>
      <c r="AA1248" s="161">
        <f t="shared" ca="1" si="139"/>
        <v>-1471.7576365048999</v>
      </c>
    </row>
    <row r="1249" spans="20:27" x14ac:dyDescent="0.25">
      <c r="T1249" s="165">
        <v>1237</v>
      </c>
      <c r="U1249" s="159">
        <f t="shared" si="134"/>
        <v>466.89149999999995</v>
      </c>
      <c r="V1249" s="159">
        <f t="shared" si="135"/>
        <v>42.541499999999999</v>
      </c>
      <c r="W1249" s="159">
        <f t="shared" si="136"/>
        <v>-514.89</v>
      </c>
      <c r="X1249" s="159">
        <f t="shared" si="137"/>
        <v>-5.4570000000000505</v>
      </c>
      <c r="Y1249" s="159">
        <f t="shared" ca="1" si="133"/>
        <v>-9.327053436771962</v>
      </c>
      <c r="Z1249" s="159">
        <f t="shared" ca="1" si="138"/>
        <v>-14.717576365048998</v>
      </c>
      <c r="AA1249" s="161">
        <f t="shared" ca="1" si="139"/>
        <v>-1471.7576365048999</v>
      </c>
    </row>
    <row r="1250" spans="20:27" x14ac:dyDescent="0.25">
      <c r="T1250" s="165">
        <v>1238</v>
      </c>
      <c r="U1250" s="159">
        <f t="shared" si="134"/>
        <v>467.89149999999995</v>
      </c>
      <c r="V1250" s="159">
        <f t="shared" si="135"/>
        <v>42.541499999999999</v>
      </c>
      <c r="W1250" s="159">
        <f t="shared" si="136"/>
        <v>-515.89</v>
      </c>
      <c r="X1250" s="159">
        <f t="shared" si="137"/>
        <v>-5.4570000000000505</v>
      </c>
      <c r="Y1250" s="159">
        <f t="shared" ca="1" si="133"/>
        <v>-9.327053436771962</v>
      </c>
      <c r="Z1250" s="159">
        <f t="shared" ca="1" si="138"/>
        <v>-14.717576365048998</v>
      </c>
      <c r="AA1250" s="161">
        <f t="shared" ca="1" si="139"/>
        <v>-1471.7576365048999</v>
      </c>
    </row>
    <row r="1251" spans="20:27" x14ac:dyDescent="0.25">
      <c r="T1251" s="165">
        <v>1239</v>
      </c>
      <c r="U1251" s="159">
        <f t="shared" si="134"/>
        <v>468.89149999999995</v>
      </c>
      <c r="V1251" s="159">
        <f t="shared" si="135"/>
        <v>42.541499999999999</v>
      </c>
      <c r="W1251" s="159">
        <f t="shared" si="136"/>
        <v>-516.89</v>
      </c>
      <c r="X1251" s="159">
        <f t="shared" si="137"/>
        <v>-5.4570000000000505</v>
      </c>
      <c r="Y1251" s="159">
        <f t="shared" ca="1" si="133"/>
        <v>-9.327053436771962</v>
      </c>
      <c r="Z1251" s="159">
        <f t="shared" ca="1" si="138"/>
        <v>-14.717576365048998</v>
      </c>
      <c r="AA1251" s="161">
        <f t="shared" ca="1" si="139"/>
        <v>-1471.7576365048999</v>
      </c>
    </row>
    <row r="1252" spans="20:27" x14ac:dyDescent="0.25">
      <c r="T1252" s="165">
        <v>1240</v>
      </c>
      <c r="U1252" s="159">
        <f t="shared" si="134"/>
        <v>469.89149999999995</v>
      </c>
      <c r="V1252" s="159">
        <f t="shared" si="135"/>
        <v>42.541499999999999</v>
      </c>
      <c r="W1252" s="159">
        <f t="shared" si="136"/>
        <v>-517.89</v>
      </c>
      <c r="X1252" s="159">
        <f t="shared" si="137"/>
        <v>-5.4569999999999936</v>
      </c>
      <c r="Y1252" s="159">
        <f t="shared" ca="1" si="133"/>
        <v>-9.327053436771962</v>
      </c>
      <c r="Z1252" s="159">
        <f t="shared" ca="1" si="138"/>
        <v>-14.717576365048943</v>
      </c>
      <c r="AA1252" s="161">
        <f t="shared" ca="1" si="139"/>
        <v>-1471.7576365048944</v>
      </c>
    </row>
    <row r="1253" spans="20:27" x14ac:dyDescent="0.25">
      <c r="T1253" s="165">
        <v>1241</v>
      </c>
      <c r="U1253" s="159">
        <f t="shared" si="134"/>
        <v>470.89149999999995</v>
      </c>
      <c r="V1253" s="159">
        <f t="shared" si="135"/>
        <v>42.541499999999999</v>
      </c>
      <c r="W1253" s="159">
        <f t="shared" si="136"/>
        <v>-518.89</v>
      </c>
      <c r="X1253" s="159">
        <f t="shared" si="137"/>
        <v>-5.4569999999999936</v>
      </c>
      <c r="Y1253" s="159">
        <f t="shared" ca="1" si="133"/>
        <v>-9.327053436771962</v>
      </c>
      <c r="Z1253" s="159">
        <f t="shared" ca="1" si="138"/>
        <v>-14.717576365048943</v>
      </c>
      <c r="AA1253" s="161">
        <f t="shared" ca="1" si="139"/>
        <v>-1471.7576365048944</v>
      </c>
    </row>
    <row r="1254" spans="20:27" x14ac:dyDescent="0.25">
      <c r="T1254" s="165">
        <v>1242</v>
      </c>
      <c r="U1254" s="159">
        <f t="shared" si="134"/>
        <v>471.89149999999995</v>
      </c>
      <c r="V1254" s="159">
        <f t="shared" si="135"/>
        <v>42.541499999999999</v>
      </c>
      <c r="W1254" s="159">
        <f t="shared" si="136"/>
        <v>-519.89</v>
      </c>
      <c r="X1254" s="159">
        <f t="shared" si="137"/>
        <v>-5.4569999999999936</v>
      </c>
      <c r="Y1254" s="159">
        <f t="shared" ca="1" si="133"/>
        <v>-9.327053436771962</v>
      </c>
      <c r="Z1254" s="159">
        <f t="shared" ca="1" si="138"/>
        <v>-14.717576365048943</v>
      </c>
      <c r="AA1254" s="161">
        <f t="shared" ca="1" si="139"/>
        <v>-1471.7576365048944</v>
      </c>
    </row>
    <row r="1255" spans="20:27" x14ac:dyDescent="0.25">
      <c r="T1255" s="165">
        <v>1243</v>
      </c>
      <c r="U1255" s="159">
        <f t="shared" si="134"/>
        <v>472.89149999999995</v>
      </c>
      <c r="V1255" s="159">
        <f t="shared" si="135"/>
        <v>42.541499999999999</v>
      </c>
      <c r="W1255" s="159">
        <f t="shared" si="136"/>
        <v>-520.89</v>
      </c>
      <c r="X1255" s="159">
        <f t="shared" si="137"/>
        <v>-5.4569999999999936</v>
      </c>
      <c r="Y1255" s="159">
        <f t="shared" ca="1" si="133"/>
        <v>-9.327053436771962</v>
      </c>
      <c r="Z1255" s="159">
        <f t="shared" ca="1" si="138"/>
        <v>-14.717576365048943</v>
      </c>
      <c r="AA1255" s="161">
        <f t="shared" ca="1" si="139"/>
        <v>-1471.7576365048944</v>
      </c>
    </row>
    <row r="1256" spans="20:27" x14ac:dyDescent="0.25">
      <c r="T1256" s="165">
        <v>1244</v>
      </c>
      <c r="U1256" s="159">
        <f t="shared" si="134"/>
        <v>473.89149999999995</v>
      </c>
      <c r="V1256" s="159">
        <f t="shared" si="135"/>
        <v>42.541499999999999</v>
      </c>
      <c r="W1256" s="159">
        <f t="shared" si="136"/>
        <v>-521.89</v>
      </c>
      <c r="X1256" s="159">
        <f t="shared" si="137"/>
        <v>-5.4569999999999936</v>
      </c>
      <c r="Y1256" s="159">
        <f t="shared" ca="1" si="133"/>
        <v>-9.327053436771962</v>
      </c>
      <c r="Z1256" s="159">
        <f t="shared" ca="1" si="138"/>
        <v>-14.717576365048943</v>
      </c>
      <c r="AA1256" s="161">
        <f t="shared" ca="1" si="139"/>
        <v>-1471.7576365048944</v>
      </c>
    </row>
    <row r="1257" spans="20:27" x14ac:dyDescent="0.25">
      <c r="T1257" s="165">
        <v>1245</v>
      </c>
      <c r="U1257" s="159">
        <f t="shared" si="134"/>
        <v>474.89149999999995</v>
      </c>
      <c r="V1257" s="159">
        <f t="shared" si="135"/>
        <v>42.541499999999999</v>
      </c>
      <c r="W1257" s="159">
        <f t="shared" si="136"/>
        <v>-522.89</v>
      </c>
      <c r="X1257" s="159">
        <f t="shared" si="137"/>
        <v>-5.4569999999999936</v>
      </c>
      <c r="Y1257" s="159">
        <f t="shared" ca="1" si="133"/>
        <v>-9.327053436771962</v>
      </c>
      <c r="Z1257" s="159">
        <f t="shared" ca="1" si="138"/>
        <v>-14.717576365048943</v>
      </c>
      <c r="AA1257" s="161">
        <f t="shared" ca="1" si="139"/>
        <v>-1471.7576365048944</v>
      </c>
    </row>
    <row r="1258" spans="20:27" x14ac:dyDescent="0.25">
      <c r="T1258" s="165">
        <v>1246</v>
      </c>
      <c r="U1258" s="159">
        <f t="shared" si="134"/>
        <v>475.89149999999995</v>
      </c>
      <c r="V1258" s="159">
        <f t="shared" si="135"/>
        <v>42.541499999999999</v>
      </c>
      <c r="W1258" s="159">
        <f t="shared" si="136"/>
        <v>-523.89</v>
      </c>
      <c r="X1258" s="159">
        <f t="shared" si="137"/>
        <v>-5.4569999999999936</v>
      </c>
      <c r="Y1258" s="159">
        <f t="shared" ca="1" si="133"/>
        <v>-9.327053436771962</v>
      </c>
      <c r="Z1258" s="159">
        <f t="shared" ca="1" si="138"/>
        <v>-14.717576365048943</v>
      </c>
      <c r="AA1258" s="161">
        <f t="shared" ca="1" si="139"/>
        <v>-1471.7576365048944</v>
      </c>
    </row>
    <row r="1259" spans="20:27" x14ac:dyDescent="0.25">
      <c r="T1259" s="165">
        <v>1247</v>
      </c>
      <c r="U1259" s="159">
        <f t="shared" si="134"/>
        <v>476.89149999999995</v>
      </c>
      <c r="V1259" s="159">
        <f t="shared" si="135"/>
        <v>42.541499999999999</v>
      </c>
      <c r="W1259" s="159">
        <f t="shared" si="136"/>
        <v>-524.89</v>
      </c>
      <c r="X1259" s="159">
        <f t="shared" si="137"/>
        <v>-5.4569999999999936</v>
      </c>
      <c r="Y1259" s="159">
        <f t="shared" ca="1" si="133"/>
        <v>-9.327053436771962</v>
      </c>
      <c r="Z1259" s="159">
        <f t="shared" ca="1" si="138"/>
        <v>-14.717576365048943</v>
      </c>
      <c r="AA1259" s="161">
        <f t="shared" ca="1" si="139"/>
        <v>-1471.7576365048944</v>
      </c>
    </row>
    <row r="1260" spans="20:27" x14ac:dyDescent="0.25">
      <c r="T1260" s="165">
        <v>1248</v>
      </c>
      <c r="U1260" s="159">
        <f t="shared" si="134"/>
        <v>477.89149999999995</v>
      </c>
      <c r="V1260" s="159">
        <f t="shared" si="135"/>
        <v>42.541499999999999</v>
      </c>
      <c r="W1260" s="159">
        <f t="shared" si="136"/>
        <v>-525.89</v>
      </c>
      <c r="X1260" s="159">
        <f t="shared" si="137"/>
        <v>-5.4569999999999936</v>
      </c>
      <c r="Y1260" s="159">
        <f t="shared" ca="1" si="133"/>
        <v>-9.327053436771962</v>
      </c>
      <c r="Z1260" s="159">
        <f t="shared" ca="1" si="138"/>
        <v>-14.717576365048943</v>
      </c>
      <c r="AA1260" s="161">
        <f t="shared" ca="1" si="139"/>
        <v>-1471.7576365048944</v>
      </c>
    </row>
    <row r="1261" spans="20:27" x14ac:dyDescent="0.25">
      <c r="T1261" s="165">
        <v>1249</v>
      </c>
      <c r="U1261" s="159">
        <f t="shared" si="134"/>
        <v>478.89149999999995</v>
      </c>
      <c r="V1261" s="159">
        <f t="shared" si="135"/>
        <v>42.541499999999999</v>
      </c>
      <c r="W1261" s="159">
        <f t="shared" si="136"/>
        <v>-526.89</v>
      </c>
      <c r="X1261" s="159">
        <f t="shared" si="137"/>
        <v>-5.4569999999999936</v>
      </c>
      <c r="Y1261" s="159">
        <f t="shared" ca="1" si="133"/>
        <v>-9.327053436771962</v>
      </c>
      <c r="Z1261" s="159">
        <f t="shared" ca="1" si="138"/>
        <v>-14.717576365048943</v>
      </c>
      <c r="AA1261" s="161">
        <f t="shared" ca="1" si="139"/>
        <v>-1471.7576365048944</v>
      </c>
    </row>
    <row r="1262" spans="20:27" x14ac:dyDescent="0.25">
      <c r="T1262" s="165">
        <v>1250</v>
      </c>
      <c r="U1262" s="159">
        <f t="shared" si="134"/>
        <v>479.89149999999995</v>
      </c>
      <c r="V1262" s="159">
        <f t="shared" si="135"/>
        <v>42.541499999999999</v>
      </c>
      <c r="W1262" s="159">
        <f t="shared" si="136"/>
        <v>-527.89</v>
      </c>
      <c r="X1262" s="159">
        <f t="shared" si="137"/>
        <v>-5.4569999999999936</v>
      </c>
      <c r="Y1262" s="159">
        <f t="shared" ca="1" si="133"/>
        <v>-9.327053436771962</v>
      </c>
      <c r="Z1262" s="159">
        <f t="shared" ca="1" si="138"/>
        <v>-14.717576365048943</v>
      </c>
      <c r="AA1262" s="161">
        <f t="shared" ca="1" si="139"/>
        <v>-1471.7576365048944</v>
      </c>
    </row>
    <row r="1263" spans="20:27" x14ac:dyDescent="0.25">
      <c r="T1263" s="165">
        <v>1251</v>
      </c>
      <c r="U1263" s="159">
        <f t="shared" si="134"/>
        <v>480.89149999999995</v>
      </c>
      <c r="V1263" s="159">
        <f t="shared" si="135"/>
        <v>42.541499999999999</v>
      </c>
      <c r="W1263" s="159">
        <f t="shared" si="136"/>
        <v>-528.89</v>
      </c>
      <c r="X1263" s="159">
        <f t="shared" si="137"/>
        <v>-5.4569999999999936</v>
      </c>
      <c r="Y1263" s="159">
        <f t="shared" ca="1" si="133"/>
        <v>-9.327053436771962</v>
      </c>
      <c r="Z1263" s="159">
        <f t="shared" ca="1" si="138"/>
        <v>-14.717576365048943</v>
      </c>
      <c r="AA1263" s="161">
        <f t="shared" ca="1" si="139"/>
        <v>-1471.7576365048944</v>
      </c>
    </row>
    <row r="1264" spans="20:27" x14ac:dyDescent="0.25">
      <c r="T1264" s="165">
        <v>1252</v>
      </c>
      <c r="U1264" s="159">
        <f t="shared" si="134"/>
        <v>481.89149999999995</v>
      </c>
      <c r="V1264" s="159">
        <f t="shared" si="135"/>
        <v>42.541499999999999</v>
      </c>
      <c r="W1264" s="159">
        <f t="shared" si="136"/>
        <v>-529.89</v>
      </c>
      <c r="X1264" s="159">
        <f t="shared" si="137"/>
        <v>-5.4569999999999936</v>
      </c>
      <c r="Y1264" s="159">
        <f t="shared" ca="1" si="133"/>
        <v>-9.327053436771962</v>
      </c>
      <c r="Z1264" s="159">
        <f t="shared" ca="1" si="138"/>
        <v>-14.717576365048943</v>
      </c>
      <c r="AA1264" s="161">
        <f t="shared" ca="1" si="139"/>
        <v>-1471.7576365048944</v>
      </c>
    </row>
    <row r="1265" spans="20:27" x14ac:dyDescent="0.25">
      <c r="T1265" s="165">
        <v>1253</v>
      </c>
      <c r="U1265" s="159">
        <f t="shared" si="134"/>
        <v>482.89149999999995</v>
      </c>
      <c r="V1265" s="159">
        <f t="shared" si="135"/>
        <v>42.541499999999999</v>
      </c>
      <c r="W1265" s="159">
        <f t="shared" si="136"/>
        <v>-530.89</v>
      </c>
      <c r="X1265" s="159">
        <f t="shared" si="137"/>
        <v>-5.4569999999999936</v>
      </c>
      <c r="Y1265" s="159">
        <f t="shared" ca="1" si="133"/>
        <v>-9.327053436771962</v>
      </c>
      <c r="Z1265" s="159">
        <f t="shared" ca="1" si="138"/>
        <v>-14.717576365048943</v>
      </c>
      <c r="AA1265" s="161">
        <f t="shared" ca="1" si="139"/>
        <v>-1471.7576365048944</v>
      </c>
    </row>
    <row r="1266" spans="20:27" x14ac:dyDescent="0.25">
      <c r="T1266" s="165">
        <v>1254</v>
      </c>
      <c r="U1266" s="159">
        <f t="shared" si="134"/>
        <v>483.89149999999995</v>
      </c>
      <c r="V1266" s="159">
        <f t="shared" si="135"/>
        <v>42.541499999999999</v>
      </c>
      <c r="W1266" s="159">
        <f t="shared" si="136"/>
        <v>-531.89</v>
      </c>
      <c r="X1266" s="159">
        <f t="shared" si="137"/>
        <v>-5.4569999999999936</v>
      </c>
      <c r="Y1266" s="159">
        <f t="shared" ca="1" si="133"/>
        <v>-9.327053436771962</v>
      </c>
      <c r="Z1266" s="159">
        <f t="shared" ca="1" si="138"/>
        <v>-14.717576365048943</v>
      </c>
      <c r="AA1266" s="161">
        <f t="shared" ca="1" si="139"/>
        <v>-1471.7576365048944</v>
      </c>
    </row>
    <row r="1267" spans="20:27" x14ac:dyDescent="0.25">
      <c r="T1267" s="165">
        <v>1255</v>
      </c>
      <c r="U1267" s="159">
        <f t="shared" si="134"/>
        <v>484.89149999999995</v>
      </c>
      <c r="V1267" s="159">
        <f t="shared" si="135"/>
        <v>42.541499999999999</v>
      </c>
      <c r="W1267" s="159">
        <f t="shared" si="136"/>
        <v>-532.89</v>
      </c>
      <c r="X1267" s="159">
        <f t="shared" si="137"/>
        <v>-5.4569999999999936</v>
      </c>
      <c r="Y1267" s="159">
        <f t="shared" ca="1" si="133"/>
        <v>-9.327053436771962</v>
      </c>
      <c r="Z1267" s="159">
        <f t="shared" ca="1" si="138"/>
        <v>-14.717576365048943</v>
      </c>
      <c r="AA1267" s="161">
        <f t="shared" ca="1" si="139"/>
        <v>-1471.7576365048944</v>
      </c>
    </row>
    <row r="1268" spans="20:27" x14ac:dyDescent="0.25">
      <c r="T1268" s="165">
        <v>1256</v>
      </c>
      <c r="U1268" s="159">
        <f t="shared" si="134"/>
        <v>485.89149999999995</v>
      </c>
      <c r="V1268" s="159">
        <f t="shared" si="135"/>
        <v>42.541499999999999</v>
      </c>
      <c r="W1268" s="159">
        <f t="shared" si="136"/>
        <v>-533.89</v>
      </c>
      <c r="X1268" s="159">
        <f t="shared" si="137"/>
        <v>-5.4569999999999936</v>
      </c>
      <c r="Y1268" s="159">
        <f t="shared" ca="1" si="133"/>
        <v>-9.327053436771962</v>
      </c>
      <c r="Z1268" s="159">
        <f t="shared" ca="1" si="138"/>
        <v>-14.717576365048943</v>
      </c>
      <c r="AA1268" s="161">
        <f t="shared" ca="1" si="139"/>
        <v>-1471.7576365048944</v>
      </c>
    </row>
    <row r="1269" spans="20:27" x14ac:dyDescent="0.25">
      <c r="T1269" s="165">
        <v>1257</v>
      </c>
      <c r="U1269" s="159">
        <f t="shared" si="134"/>
        <v>486.89149999999995</v>
      </c>
      <c r="V1269" s="159">
        <f t="shared" si="135"/>
        <v>42.541499999999999</v>
      </c>
      <c r="W1269" s="159">
        <f t="shared" si="136"/>
        <v>-534.89</v>
      </c>
      <c r="X1269" s="159">
        <f t="shared" si="137"/>
        <v>-5.4569999999999936</v>
      </c>
      <c r="Y1269" s="159">
        <f t="shared" ca="1" si="133"/>
        <v>-9.327053436771962</v>
      </c>
      <c r="Z1269" s="159">
        <f t="shared" ca="1" si="138"/>
        <v>-14.717576365048943</v>
      </c>
      <c r="AA1269" s="161">
        <f t="shared" ca="1" si="139"/>
        <v>-1471.7576365048944</v>
      </c>
    </row>
    <row r="1270" spans="20:27" x14ac:dyDescent="0.25">
      <c r="T1270" s="165">
        <v>1258</v>
      </c>
      <c r="U1270" s="159">
        <f t="shared" si="134"/>
        <v>487.89149999999995</v>
      </c>
      <c r="V1270" s="159">
        <f t="shared" si="135"/>
        <v>42.541499999999999</v>
      </c>
      <c r="W1270" s="159">
        <f t="shared" si="136"/>
        <v>-535.89</v>
      </c>
      <c r="X1270" s="159">
        <f t="shared" si="137"/>
        <v>-5.4569999999999936</v>
      </c>
      <c r="Y1270" s="159">
        <f t="shared" ca="1" si="133"/>
        <v>-9.327053436771962</v>
      </c>
      <c r="Z1270" s="159">
        <f t="shared" ca="1" si="138"/>
        <v>-14.717576365048943</v>
      </c>
      <c r="AA1270" s="161">
        <f t="shared" ca="1" si="139"/>
        <v>-1471.7576365048944</v>
      </c>
    </row>
    <row r="1271" spans="20:27" x14ac:dyDescent="0.25">
      <c r="T1271" s="165">
        <v>1259</v>
      </c>
      <c r="U1271" s="159">
        <f t="shared" si="134"/>
        <v>488.89149999999995</v>
      </c>
      <c r="V1271" s="159">
        <f t="shared" si="135"/>
        <v>42.541499999999999</v>
      </c>
      <c r="W1271" s="159">
        <f t="shared" si="136"/>
        <v>-536.89</v>
      </c>
      <c r="X1271" s="159">
        <f t="shared" si="137"/>
        <v>-5.4569999999999936</v>
      </c>
      <c r="Y1271" s="159">
        <f t="shared" ca="1" si="133"/>
        <v>-9.327053436771962</v>
      </c>
      <c r="Z1271" s="159">
        <f t="shared" ca="1" si="138"/>
        <v>-14.717576365048943</v>
      </c>
      <c r="AA1271" s="161">
        <f t="shared" ca="1" si="139"/>
        <v>-1471.7576365048944</v>
      </c>
    </row>
    <row r="1272" spans="20:27" x14ac:dyDescent="0.25">
      <c r="T1272" s="165">
        <v>1260</v>
      </c>
      <c r="U1272" s="159">
        <f t="shared" si="134"/>
        <v>489.89149999999995</v>
      </c>
      <c r="V1272" s="159">
        <f t="shared" si="135"/>
        <v>42.541499999999999</v>
      </c>
      <c r="W1272" s="159">
        <f t="shared" si="136"/>
        <v>-537.89</v>
      </c>
      <c r="X1272" s="159">
        <f t="shared" si="137"/>
        <v>-5.4569999999999936</v>
      </c>
      <c r="Y1272" s="159">
        <f t="shared" ca="1" si="133"/>
        <v>-9.327053436771962</v>
      </c>
      <c r="Z1272" s="159">
        <f t="shared" ca="1" si="138"/>
        <v>-14.717576365048943</v>
      </c>
      <c r="AA1272" s="161">
        <f t="shared" ca="1" si="139"/>
        <v>-1471.7576365048944</v>
      </c>
    </row>
    <row r="1273" spans="20:27" x14ac:dyDescent="0.25">
      <c r="T1273" s="165">
        <v>1261</v>
      </c>
      <c r="U1273" s="159">
        <f t="shared" si="134"/>
        <v>490.89149999999995</v>
      </c>
      <c r="V1273" s="159">
        <f t="shared" si="135"/>
        <v>42.541499999999999</v>
      </c>
      <c r="W1273" s="159">
        <f t="shared" si="136"/>
        <v>-538.89</v>
      </c>
      <c r="X1273" s="159">
        <f t="shared" si="137"/>
        <v>-5.4569999999999936</v>
      </c>
      <c r="Y1273" s="159">
        <f t="shared" ca="1" si="133"/>
        <v>-9.327053436771962</v>
      </c>
      <c r="Z1273" s="159">
        <f t="shared" ca="1" si="138"/>
        <v>-14.717576365048943</v>
      </c>
      <c r="AA1273" s="161">
        <f t="shared" ca="1" si="139"/>
        <v>-1471.7576365048944</v>
      </c>
    </row>
    <row r="1274" spans="20:27" x14ac:dyDescent="0.25">
      <c r="T1274" s="165">
        <v>1262</v>
      </c>
      <c r="U1274" s="159">
        <f t="shared" si="134"/>
        <v>491.89149999999995</v>
      </c>
      <c r="V1274" s="159">
        <f t="shared" si="135"/>
        <v>42.541499999999999</v>
      </c>
      <c r="W1274" s="159">
        <f t="shared" si="136"/>
        <v>-539.89</v>
      </c>
      <c r="X1274" s="159">
        <f t="shared" si="137"/>
        <v>-5.4569999999999936</v>
      </c>
      <c r="Y1274" s="159">
        <f t="shared" ca="1" si="133"/>
        <v>-9.327053436771962</v>
      </c>
      <c r="Z1274" s="159">
        <f t="shared" ca="1" si="138"/>
        <v>-14.717576365048943</v>
      </c>
      <c r="AA1274" s="161">
        <f t="shared" ca="1" si="139"/>
        <v>-1471.7576365048944</v>
      </c>
    </row>
    <row r="1275" spans="20:27" x14ac:dyDescent="0.25">
      <c r="T1275" s="165">
        <v>1263</v>
      </c>
      <c r="U1275" s="159">
        <f t="shared" si="134"/>
        <v>492.89149999999995</v>
      </c>
      <c r="V1275" s="159">
        <f t="shared" si="135"/>
        <v>42.541499999999999</v>
      </c>
      <c r="W1275" s="159">
        <f t="shared" si="136"/>
        <v>-540.89</v>
      </c>
      <c r="X1275" s="159">
        <f t="shared" si="137"/>
        <v>-5.4569999999999936</v>
      </c>
      <c r="Y1275" s="159">
        <f t="shared" ca="1" si="133"/>
        <v>-9.327053436771962</v>
      </c>
      <c r="Z1275" s="159">
        <f t="shared" ca="1" si="138"/>
        <v>-14.717576365048943</v>
      </c>
      <c r="AA1275" s="161">
        <f t="shared" ca="1" si="139"/>
        <v>-1471.7576365048944</v>
      </c>
    </row>
    <row r="1276" spans="20:27" x14ac:dyDescent="0.25">
      <c r="T1276" s="165">
        <v>1264</v>
      </c>
      <c r="U1276" s="159">
        <f t="shared" si="134"/>
        <v>493.89149999999995</v>
      </c>
      <c r="V1276" s="159">
        <f t="shared" si="135"/>
        <v>42.541499999999999</v>
      </c>
      <c r="W1276" s="159">
        <f t="shared" si="136"/>
        <v>-541.89</v>
      </c>
      <c r="X1276" s="159">
        <f t="shared" si="137"/>
        <v>-5.4569999999999936</v>
      </c>
      <c r="Y1276" s="159">
        <f t="shared" ca="1" si="133"/>
        <v>-9.327053436771962</v>
      </c>
      <c r="Z1276" s="159">
        <f t="shared" ca="1" si="138"/>
        <v>-14.717576365048943</v>
      </c>
      <c r="AA1276" s="161">
        <f t="shared" ca="1" si="139"/>
        <v>-1471.7576365048944</v>
      </c>
    </row>
    <row r="1277" spans="20:27" x14ac:dyDescent="0.25">
      <c r="T1277" s="165">
        <v>1265</v>
      </c>
      <c r="U1277" s="159">
        <f t="shared" si="134"/>
        <v>494.89149999999995</v>
      </c>
      <c r="V1277" s="159">
        <f t="shared" si="135"/>
        <v>42.541499999999999</v>
      </c>
      <c r="W1277" s="159">
        <f t="shared" si="136"/>
        <v>-542.89</v>
      </c>
      <c r="X1277" s="159">
        <f t="shared" si="137"/>
        <v>-5.4569999999999936</v>
      </c>
      <c r="Y1277" s="159">
        <f t="shared" ca="1" si="133"/>
        <v>-9.327053436771962</v>
      </c>
      <c r="Z1277" s="159">
        <f t="shared" ca="1" si="138"/>
        <v>-14.717576365048943</v>
      </c>
      <c r="AA1277" s="161">
        <f t="shared" ca="1" si="139"/>
        <v>-1471.7576365048944</v>
      </c>
    </row>
    <row r="1278" spans="20:27" x14ac:dyDescent="0.25">
      <c r="T1278" s="165">
        <v>1266</v>
      </c>
      <c r="U1278" s="159">
        <f t="shared" si="134"/>
        <v>495.89149999999995</v>
      </c>
      <c r="V1278" s="159">
        <f t="shared" si="135"/>
        <v>42.541499999999999</v>
      </c>
      <c r="W1278" s="159">
        <f t="shared" si="136"/>
        <v>-543.89</v>
      </c>
      <c r="X1278" s="159">
        <f t="shared" si="137"/>
        <v>-5.4569999999999936</v>
      </c>
      <c r="Y1278" s="159">
        <f t="shared" ca="1" si="133"/>
        <v>-9.327053436771962</v>
      </c>
      <c r="Z1278" s="159">
        <f t="shared" ca="1" si="138"/>
        <v>-14.717576365048943</v>
      </c>
      <c r="AA1278" s="161">
        <f t="shared" ca="1" si="139"/>
        <v>-1471.7576365048944</v>
      </c>
    </row>
    <row r="1279" spans="20:27" x14ac:dyDescent="0.25">
      <c r="T1279" s="165">
        <v>1267</v>
      </c>
      <c r="U1279" s="159">
        <f t="shared" si="134"/>
        <v>496.89149999999995</v>
      </c>
      <c r="V1279" s="159">
        <f t="shared" si="135"/>
        <v>42.541499999999999</v>
      </c>
      <c r="W1279" s="159">
        <f t="shared" si="136"/>
        <v>-544.89</v>
      </c>
      <c r="X1279" s="159">
        <f t="shared" si="137"/>
        <v>-5.4569999999999936</v>
      </c>
      <c r="Y1279" s="159">
        <f t="shared" ca="1" si="133"/>
        <v>-9.327053436771962</v>
      </c>
      <c r="Z1279" s="159">
        <f t="shared" ca="1" si="138"/>
        <v>-14.717576365048943</v>
      </c>
      <c r="AA1279" s="161">
        <f t="shared" ca="1" si="139"/>
        <v>-1471.7576365048944</v>
      </c>
    </row>
    <row r="1280" spans="20:27" x14ac:dyDescent="0.25">
      <c r="T1280" s="165">
        <v>1268</v>
      </c>
      <c r="U1280" s="159">
        <f t="shared" si="134"/>
        <v>497.89149999999995</v>
      </c>
      <c r="V1280" s="159">
        <f t="shared" si="135"/>
        <v>42.541499999999999</v>
      </c>
      <c r="W1280" s="159">
        <f t="shared" si="136"/>
        <v>-545.89</v>
      </c>
      <c r="X1280" s="159">
        <f t="shared" si="137"/>
        <v>-5.4569999999999936</v>
      </c>
      <c r="Y1280" s="159">
        <f t="shared" ca="1" si="133"/>
        <v>-9.327053436771962</v>
      </c>
      <c r="Z1280" s="159">
        <f t="shared" ca="1" si="138"/>
        <v>-14.717576365048943</v>
      </c>
      <c r="AA1280" s="161">
        <f t="shared" ca="1" si="139"/>
        <v>-1471.7576365048944</v>
      </c>
    </row>
    <row r="1281" spans="20:27" x14ac:dyDescent="0.25">
      <c r="T1281" s="165">
        <v>1269</v>
      </c>
      <c r="U1281" s="159">
        <f t="shared" si="134"/>
        <v>498.89149999999995</v>
      </c>
      <c r="V1281" s="159">
        <f t="shared" si="135"/>
        <v>42.541499999999999</v>
      </c>
      <c r="W1281" s="159">
        <f t="shared" si="136"/>
        <v>-546.89</v>
      </c>
      <c r="X1281" s="159">
        <f t="shared" si="137"/>
        <v>-5.4569999999999936</v>
      </c>
      <c r="Y1281" s="159">
        <f t="shared" ca="1" si="133"/>
        <v>-9.327053436771962</v>
      </c>
      <c r="Z1281" s="159">
        <f t="shared" ca="1" si="138"/>
        <v>-14.717576365048943</v>
      </c>
      <c r="AA1281" s="161">
        <f t="shared" ca="1" si="139"/>
        <v>-1471.7576365048944</v>
      </c>
    </row>
    <row r="1282" spans="20:27" x14ac:dyDescent="0.25">
      <c r="T1282" s="165">
        <v>1270</v>
      </c>
      <c r="U1282" s="159">
        <f t="shared" si="134"/>
        <v>499.89149999999995</v>
      </c>
      <c r="V1282" s="159">
        <f t="shared" si="135"/>
        <v>42.541499999999999</v>
      </c>
      <c r="W1282" s="159">
        <f t="shared" si="136"/>
        <v>-547.89</v>
      </c>
      <c r="X1282" s="159">
        <f t="shared" si="137"/>
        <v>-5.4569999999999936</v>
      </c>
      <c r="Y1282" s="159">
        <f t="shared" ca="1" si="133"/>
        <v>-9.327053436771962</v>
      </c>
      <c r="Z1282" s="159">
        <f t="shared" ca="1" si="138"/>
        <v>-14.717576365048943</v>
      </c>
      <c r="AA1282" s="161">
        <f t="shared" ca="1" si="139"/>
        <v>-1471.7576365048944</v>
      </c>
    </row>
    <row r="1283" spans="20:27" x14ac:dyDescent="0.25">
      <c r="T1283" s="165">
        <v>1271</v>
      </c>
      <c r="U1283" s="159">
        <f t="shared" si="134"/>
        <v>500.89149999999995</v>
      </c>
      <c r="V1283" s="159">
        <f t="shared" si="135"/>
        <v>42.541499999999999</v>
      </c>
      <c r="W1283" s="159">
        <f t="shared" si="136"/>
        <v>-548.89</v>
      </c>
      <c r="X1283" s="159">
        <f t="shared" si="137"/>
        <v>-5.4569999999999936</v>
      </c>
      <c r="Y1283" s="159">
        <f t="shared" ca="1" si="133"/>
        <v>-9.327053436771962</v>
      </c>
      <c r="Z1283" s="159">
        <f t="shared" ca="1" si="138"/>
        <v>-14.717576365048943</v>
      </c>
      <c r="AA1283" s="161">
        <f t="shared" ca="1" si="139"/>
        <v>-1471.7576365048944</v>
      </c>
    </row>
    <row r="1284" spans="20:27" x14ac:dyDescent="0.25">
      <c r="T1284" s="165">
        <v>1272</v>
      </c>
      <c r="U1284" s="159">
        <f t="shared" si="134"/>
        <v>501.89149999999995</v>
      </c>
      <c r="V1284" s="159">
        <f t="shared" si="135"/>
        <v>42.541499999999999</v>
      </c>
      <c r="W1284" s="159">
        <f t="shared" si="136"/>
        <v>-549.89</v>
      </c>
      <c r="X1284" s="159">
        <f t="shared" si="137"/>
        <v>-5.4569999999999936</v>
      </c>
      <c r="Y1284" s="159">
        <f t="shared" ca="1" si="133"/>
        <v>-9.327053436771962</v>
      </c>
      <c r="Z1284" s="159">
        <f t="shared" ca="1" si="138"/>
        <v>-14.717576365048943</v>
      </c>
      <c r="AA1284" s="161">
        <f t="shared" ca="1" si="139"/>
        <v>-1471.7576365048944</v>
      </c>
    </row>
    <row r="1285" spans="20:27" x14ac:dyDescent="0.25">
      <c r="T1285" s="165">
        <v>1273</v>
      </c>
      <c r="U1285" s="159">
        <f t="shared" si="134"/>
        <v>502.89149999999995</v>
      </c>
      <c r="V1285" s="159">
        <f t="shared" si="135"/>
        <v>42.541499999999999</v>
      </c>
      <c r="W1285" s="159">
        <f t="shared" si="136"/>
        <v>-550.89</v>
      </c>
      <c r="X1285" s="159">
        <f t="shared" si="137"/>
        <v>-5.4569999999999936</v>
      </c>
      <c r="Y1285" s="159">
        <f t="shared" ca="1" si="133"/>
        <v>-9.327053436771962</v>
      </c>
      <c r="Z1285" s="159">
        <f t="shared" ca="1" si="138"/>
        <v>-14.717576365048943</v>
      </c>
      <c r="AA1285" s="161">
        <f t="shared" ca="1" si="139"/>
        <v>-1471.7576365048944</v>
      </c>
    </row>
    <row r="1286" spans="20:27" x14ac:dyDescent="0.25">
      <c r="T1286" s="165">
        <v>1274</v>
      </c>
      <c r="U1286" s="159">
        <f t="shared" si="134"/>
        <v>503.89149999999995</v>
      </c>
      <c r="V1286" s="159">
        <f t="shared" si="135"/>
        <v>42.541499999999999</v>
      </c>
      <c r="W1286" s="159">
        <f t="shared" si="136"/>
        <v>-551.89</v>
      </c>
      <c r="X1286" s="159">
        <f t="shared" si="137"/>
        <v>-5.4569999999999936</v>
      </c>
      <c r="Y1286" s="159">
        <f t="shared" ca="1" si="133"/>
        <v>-9.327053436771962</v>
      </c>
      <c r="Z1286" s="159">
        <f t="shared" ca="1" si="138"/>
        <v>-14.717576365048943</v>
      </c>
      <c r="AA1286" s="161">
        <f t="shared" ca="1" si="139"/>
        <v>-1471.7576365048944</v>
      </c>
    </row>
    <row r="1287" spans="20:27" x14ac:dyDescent="0.25">
      <c r="T1287" s="165">
        <v>1275</v>
      </c>
      <c r="U1287" s="159">
        <f t="shared" si="134"/>
        <v>504.89149999999995</v>
      </c>
      <c r="V1287" s="159">
        <f t="shared" si="135"/>
        <v>42.541499999999999</v>
      </c>
      <c r="W1287" s="159">
        <f t="shared" si="136"/>
        <v>-552.89</v>
      </c>
      <c r="X1287" s="159">
        <f t="shared" si="137"/>
        <v>-5.4569999999999936</v>
      </c>
      <c r="Y1287" s="159">
        <f t="shared" ca="1" si="133"/>
        <v>-9.327053436771962</v>
      </c>
      <c r="Z1287" s="159">
        <f t="shared" ca="1" si="138"/>
        <v>-14.717576365048943</v>
      </c>
      <c r="AA1287" s="161">
        <f t="shared" ca="1" si="139"/>
        <v>-1471.7576365048944</v>
      </c>
    </row>
    <row r="1288" spans="20:27" x14ac:dyDescent="0.25">
      <c r="T1288" s="165">
        <v>1276</v>
      </c>
      <c r="U1288" s="159">
        <f t="shared" si="134"/>
        <v>505.89149999999995</v>
      </c>
      <c r="V1288" s="159">
        <f t="shared" si="135"/>
        <v>42.541499999999999</v>
      </c>
      <c r="W1288" s="159">
        <f t="shared" si="136"/>
        <v>-553.89</v>
      </c>
      <c r="X1288" s="159">
        <f t="shared" si="137"/>
        <v>-5.4569999999999936</v>
      </c>
      <c r="Y1288" s="159">
        <f t="shared" ca="1" si="133"/>
        <v>-9.327053436771962</v>
      </c>
      <c r="Z1288" s="159">
        <f t="shared" ca="1" si="138"/>
        <v>-14.717576365048943</v>
      </c>
      <c r="AA1288" s="161">
        <f t="shared" ca="1" si="139"/>
        <v>-1471.7576365048944</v>
      </c>
    </row>
    <row r="1289" spans="20:27" x14ac:dyDescent="0.25">
      <c r="T1289" s="165">
        <v>1277</v>
      </c>
      <c r="U1289" s="159">
        <f t="shared" si="134"/>
        <v>506.89149999999995</v>
      </c>
      <c r="V1289" s="159">
        <f t="shared" si="135"/>
        <v>42.541499999999999</v>
      </c>
      <c r="W1289" s="159">
        <f t="shared" si="136"/>
        <v>-554.89</v>
      </c>
      <c r="X1289" s="159">
        <f t="shared" si="137"/>
        <v>-5.4569999999999936</v>
      </c>
      <c r="Y1289" s="159">
        <f t="shared" ca="1" si="133"/>
        <v>-9.327053436771962</v>
      </c>
      <c r="Z1289" s="159">
        <f t="shared" ca="1" si="138"/>
        <v>-14.717576365048943</v>
      </c>
      <c r="AA1289" s="161">
        <f t="shared" ca="1" si="139"/>
        <v>-1471.7576365048944</v>
      </c>
    </row>
    <row r="1290" spans="20:27" x14ac:dyDescent="0.25">
      <c r="T1290" s="165">
        <v>1278</v>
      </c>
      <c r="U1290" s="159">
        <f t="shared" si="134"/>
        <v>507.89149999999995</v>
      </c>
      <c r="V1290" s="159">
        <f t="shared" si="135"/>
        <v>42.541499999999999</v>
      </c>
      <c r="W1290" s="159">
        <f t="shared" si="136"/>
        <v>-555.89</v>
      </c>
      <c r="X1290" s="159">
        <f t="shared" si="137"/>
        <v>-5.4569999999999936</v>
      </c>
      <c r="Y1290" s="159">
        <f t="shared" ca="1" si="133"/>
        <v>-9.327053436771962</v>
      </c>
      <c r="Z1290" s="159">
        <f t="shared" ca="1" si="138"/>
        <v>-14.717576365048943</v>
      </c>
      <c r="AA1290" s="161">
        <f t="shared" ca="1" si="139"/>
        <v>-1471.7576365048944</v>
      </c>
    </row>
    <row r="1291" spans="20:27" x14ac:dyDescent="0.25">
      <c r="T1291" s="165">
        <v>1279</v>
      </c>
      <c r="U1291" s="159">
        <f t="shared" si="134"/>
        <v>508.89149999999995</v>
      </c>
      <c r="V1291" s="159">
        <f t="shared" si="135"/>
        <v>42.541499999999999</v>
      </c>
      <c r="W1291" s="159">
        <f t="shared" si="136"/>
        <v>-556.89</v>
      </c>
      <c r="X1291" s="159">
        <f t="shared" si="137"/>
        <v>-5.4569999999999936</v>
      </c>
      <c r="Y1291" s="159">
        <f t="shared" ca="1" si="133"/>
        <v>-9.327053436771962</v>
      </c>
      <c r="Z1291" s="159">
        <f t="shared" ca="1" si="138"/>
        <v>-14.717576365048943</v>
      </c>
      <c r="AA1291" s="161">
        <f t="shared" ca="1" si="139"/>
        <v>-1471.7576365048944</v>
      </c>
    </row>
    <row r="1292" spans="20:27" x14ac:dyDescent="0.25">
      <c r="T1292" s="165">
        <v>1280</v>
      </c>
      <c r="U1292" s="159">
        <f t="shared" si="134"/>
        <v>509.89149999999995</v>
      </c>
      <c r="V1292" s="159">
        <f t="shared" si="135"/>
        <v>42.541499999999999</v>
      </c>
      <c r="W1292" s="159">
        <f t="shared" si="136"/>
        <v>-557.89</v>
      </c>
      <c r="X1292" s="159">
        <f t="shared" si="137"/>
        <v>-5.4569999999999936</v>
      </c>
      <c r="Y1292" s="159">
        <f t="shared" ref="Y1292:Y1312" ca="1" si="140">$Y$10*EXP($Y$7*$C$6)-$Y$10</f>
        <v>-9.327053436771962</v>
      </c>
      <c r="Z1292" s="159">
        <f t="shared" ca="1" si="138"/>
        <v>-14.717576365048943</v>
      </c>
      <c r="AA1292" s="161">
        <f t="shared" ca="1" si="139"/>
        <v>-1471.7576365048944</v>
      </c>
    </row>
    <row r="1293" spans="20:27" x14ac:dyDescent="0.25">
      <c r="T1293" s="165">
        <v>1281</v>
      </c>
      <c r="U1293" s="159">
        <f t="shared" ref="U1293:U1312" si="141">MAX(0,T1293-$U$9)-$U$10-$U$11/100</f>
        <v>510.89149999999995</v>
      </c>
      <c r="V1293" s="159">
        <f t="shared" ref="V1293:V1312" si="142">$V$10-MAX(0,$V$9-T1293)-$V$11/100</f>
        <v>42.541499999999999</v>
      </c>
      <c r="W1293" s="159">
        <f t="shared" ref="W1293:W1312" si="143">$W$10-T1293</f>
        <v>-558.89</v>
      </c>
      <c r="X1293" s="159">
        <f t="shared" ref="X1293:X1312" si="144">SUM(U1293:W1293)</f>
        <v>-5.4569999999999936</v>
      </c>
      <c r="Y1293" s="159">
        <f t="shared" ca="1" si="140"/>
        <v>-9.327053436771962</v>
      </c>
      <c r="Z1293" s="159">
        <f t="shared" ref="Z1293:Z1312" ca="1" si="145">EXP(-$E$3*$C$6)*SUM(X1293:Y1293)</f>
        <v>-14.717576365048943</v>
      </c>
      <c r="AA1293" s="161">
        <f t="shared" ref="AA1293:AA1312" ca="1" si="146">Z1293*100</f>
        <v>-1471.7576365048944</v>
      </c>
    </row>
    <row r="1294" spans="20:27" x14ac:dyDescent="0.25">
      <c r="T1294" s="165">
        <v>1282</v>
      </c>
      <c r="U1294" s="159">
        <f t="shared" si="141"/>
        <v>511.89149999999995</v>
      </c>
      <c r="V1294" s="159">
        <f t="shared" si="142"/>
        <v>42.541499999999999</v>
      </c>
      <c r="W1294" s="159">
        <f t="shared" si="143"/>
        <v>-559.89</v>
      </c>
      <c r="X1294" s="159">
        <f t="shared" si="144"/>
        <v>-5.4569999999999936</v>
      </c>
      <c r="Y1294" s="159">
        <f t="shared" ca="1" si="140"/>
        <v>-9.327053436771962</v>
      </c>
      <c r="Z1294" s="159">
        <f t="shared" ca="1" si="145"/>
        <v>-14.717576365048943</v>
      </c>
      <c r="AA1294" s="161">
        <f t="shared" ca="1" si="146"/>
        <v>-1471.7576365048944</v>
      </c>
    </row>
    <row r="1295" spans="20:27" x14ac:dyDescent="0.25">
      <c r="T1295" s="165">
        <v>1283</v>
      </c>
      <c r="U1295" s="159">
        <f t="shared" si="141"/>
        <v>512.89149999999995</v>
      </c>
      <c r="V1295" s="159">
        <f t="shared" si="142"/>
        <v>42.541499999999999</v>
      </c>
      <c r="W1295" s="159">
        <f t="shared" si="143"/>
        <v>-560.89</v>
      </c>
      <c r="X1295" s="159">
        <f t="shared" si="144"/>
        <v>-5.4569999999999936</v>
      </c>
      <c r="Y1295" s="159">
        <f t="shared" ca="1" si="140"/>
        <v>-9.327053436771962</v>
      </c>
      <c r="Z1295" s="159">
        <f t="shared" ca="1" si="145"/>
        <v>-14.717576365048943</v>
      </c>
      <c r="AA1295" s="161">
        <f t="shared" ca="1" si="146"/>
        <v>-1471.7576365048944</v>
      </c>
    </row>
    <row r="1296" spans="20:27" x14ac:dyDescent="0.25">
      <c r="T1296" s="165">
        <v>1284</v>
      </c>
      <c r="U1296" s="159">
        <f t="shared" si="141"/>
        <v>513.89149999999995</v>
      </c>
      <c r="V1296" s="159">
        <f t="shared" si="142"/>
        <v>42.541499999999999</v>
      </c>
      <c r="W1296" s="159">
        <f t="shared" si="143"/>
        <v>-561.89</v>
      </c>
      <c r="X1296" s="159">
        <f t="shared" si="144"/>
        <v>-5.4569999999999936</v>
      </c>
      <c r="Y1296" s="159">
        <f t="shared" ca="1" si="140"/>
        <v>-9.327053436771962</v>
      </c>
      <c r="Z1296" s="159">
        <f t="shared" ca="1" si="145"/>
        <v>-14.717576365048943</v>
      </c>
      <c r="AA1296" s="161">
        <f t="shared" ca="1" si="146"/>
        <v>-1471.7576365048944</v>
      </c>
    </row>
    <row r="1297" spans="20:27" x14ac:dyDescent="0.25">
      <c r="T1297" s="165">
        <v>1285</v>
      </c>
      <c r="U1297" s="159">
        <f t="shared" si="141"/>
        <v>514.89149999999995</v>
      </c>
      <c r="V1297" s="159">
        <f t="shared" si="142"/>
        <v>42.541499999999999</v>
      </c>
      <c r="W1297" s="159">
        <f t="shared" si="143"/>
        <v>-562.89</v>
      </c>
      <c r="X1297" s="159">
        <f t="shared" si="144"/>
        <v>-5.4569999999999936</v>
      </c>
      <c r="Y1297" s="159">
        <f t="shared" ca="1" si="140"/>
        <v>-9.327053436771962</v>
      </c>
      <c r="Z1297" s="159">
        <f t="shared" ca="1" si="145"/>
        <v>-14.717576365048943</v>
      </c>
      <c r="AA1297" s="161">
        <f t="shared" ca="1" si="146"/>
        <v>-1471.7576365048944</v>
      </c>
    </row>
    <row r="1298" spans="20:27" x14ac:dyDescent="0.25">
      <c r="T1298" s="165">
        <v>1286</v>
      </c>
      <c r="U1298" s="159">
        <f t="shared" si="141"/>
        <v>515.89149999999995</v>
      </c>
      <c r="V1298" s="159">
        <f t="shared" si="142"/>
        <v>42.541499999999999</v>
      </c>
      <c r="W1298" s="159">
        <f t="shared" si="143"/>
        <v>-563.89</v>
      </c>
      <c r="X1298" s="159">
        <f t="shared" si="144"/>
        <v>-5.4569999999999936</v>
      </c>
      <c r="Y1298" s="159">
        <f t="shared" ca="1" si="140"/>
        <v>-9.327053436771962</v>
      </c>
      <c r="Z1298" s="159">
        <f t="shared" ca="1" si="145"/>
        <v>-14.717576365048943</v>
      </c>
      <c r="AA1298" s="161">
        <f t="shared" ca="1" si="146"/>
        <v>-1471.7576365048944</v>
      </c>
    </row>
    <row r="1299" spans="20:27" x14ac:dyDescent="0.25">
      <c r="T1299" s="165">
        <v>1287</v>
      </c>
      <c r="U1299" s="159">
        <f t="shared" si="141"/>
        <v>516.89149999999995</v>
      </c>
      <c r="V1299" s="159">
        <f t="shared" si="142"/>
        <v>42.541499999999999</v>
      </c>
      <c r="W1299" s="159">
        <f t="shared" si="143"/>
        <v>-564.89</v>
      </c>
      <c r="X1299" s="159">
        <f t="shared" si="144"/>
        <v>-5.4569999999999936</v>
      </c>
      <c r="Y1299" s="159">
        <f t="shared" ca="1" si="140"/>
        <v>-9.327053436771962</v>
      </c>
      <c r="Z1299" s="159">
        <f t="shared" ca="1" si="145"/>
        <v>-14.717576365048943</v>
      </c>
      <c r="AA1299" s="161">
        <f t="shared" ca="1" si="146"/>
        <v>-1471.7576365048944</v>
      </c>
    </row>
    <row r="1300" spans="20:27" x14ac:dyDescent="0.25">
      <c r="T1300" s="165">
        <v>1288</v>
      </c>
      <c r="U1300" s="159">
        <f t="shared" si="141"/>
        <v>517.89149999999995</v>
      </c>
      <c r="V1300" s="159">
        <f t="shared" si="142"/>
        <v>42.541499999999999</v>
      </c>
      <c r="W1300" s="159">
        <f t="shared" si="143"/>
        <v>-565.89</v>
      </c>
      <c r="X1300" s="159">
        <f t="shared" si="144"/>
        <v>-5.4569999999999936</v>
      </c>
      <c r="Y1300" s="159">
        <f t="shared" ca="1" si="140"/>
        <v>-9.327053436771962</v>
      </c>
      <c r="Z1300" s="159">
        <f t="shared" ca="1" si="145"/>
        <v>-14.717576365048943</v>
      </c>
      <c r="AA1300" s="161">
        <f t="shared" ca="1" si="146"/>
        <v>-1471.7576365048944</v>
      </c>
    </row>
    <row r="1301" spans="20:27" x14ac:dyDescent="0.25">
      <c r="T1301" s="165">
        <v>1289</v>
      </c>
      <c r="U1301" s="159">
        <f t="shared" si="141"/>
        <v>518.89149999999995</v>
      </c>
      <c r="V1301" s="159">
        <f t="shared" si="142"/>
        <v>42.541499999999999</v>
      </c>
      <c r="W1301" s="159">
        <f t="shared" si="143"/>
        <v>-566.89</v>
      </c>
      <c r="X1301" s="159">
        <f t="shared" si="144"/>
        <v>-5.4569999999999936</v>
      </c>
      <c r="Y1301" s="159">
        <f t="shared" ca="1" si="140"/>
        <v>-9.327053436771962</v>
      </c>
      <c r="Z1301" s="159">
        <f t="shared" ca="1" si="145"/>
        <v>-14.717576365048943</v>
      </c>
      <c r="AA1301" s="161">
        <f t="shared" ca="1" si="146"/>
        <v>-1471.7576365048944</v>
      </c>
    </row>
    <row r="1302" spans="20:27" x14ac:dyDescent="0.25">
      <c r="T1302" s="165">
        <v>1290</v>
      </c>
      <c r="U1302" s="159">
        <f t="shared" si="141"/>
        <v>519.89149999999995</v>
      </c>
      <c r="V1302" s="159">
        <f t="shared" si="142"/>
        <v>42.541499999999999</v>
      </c>
      <c r="W1302" s="159">
        <f t="shared" si="143"/>
        <v>-567.89</v>
      </c>
      <c r="X1302" s="159">
        <f t="shared" si="144"/>
        <v>-5.4569999999999936</v>
      </c>
      <c r="Y1302" s="159">
        <f t="shared" ca="1" si="140"/>
        <v>-9.327053436771962</v>
      </c>
      <c r="Z1302" s="159">
        <f t="shared" ca="1" si="145"/>
        <v>-14.717576365048943</v>
      </c>
      <c r="AA1302" s="161">
        <f t="shared" ca="1" si="146"/>
        <v>-1471.7576365048944</v>
      </c>
    </row>
    <row r="1303" spans="20:27" x14ac:dyDescent="0.25">
      <c r="T1303" s="165">
        <v>1291</v>
      </c>
      <c r="U1303" s="159">
        <f t="shared" si="141"/>
        <v>520.89149999999995</v>
      </c>
      <c r="V1303" s="159">
        <f t="shared" si="142"/>
        <v>42.541499999999999</v>
      </c>
      <c r="W1303" s="159">
        <f t="shared" si="143"/>
        <v>-568.89</v>
      </c>
      <c r="X1303" s="159">
        <f t="shared" si="144"/>
        <v>-5.4569999999999936</v>
      </c>
      <c r="Y1303" s="159">
        <f t="shared" ca="1" si="140"/>
        <v>-9.327053436771962</v>
      </c>
      <c r="Z1303" s="159">
        <f t="shared" ca="1" si="145"/>
        <v>-14.717576365048943</v>
      </c>
      <c r="AA1303" s="161">
        <f t="shared" ca="1" si="146"/>
        <v>-1471.7576365048944</v>
      </c>
    </row>
    <row r="1304" spans="20:27" x14ac:dyDescent="0.25">
      <c r="T1304" s="165">
        <v>1292</v>
      </c>
      <c r="U1304" s="159">
        <f t="shared" si="141"/>
        <v>521.89149999999995</v>
      </c>
      <c r="V1304" s="159">
        <f t="shared" si="142"/>
        <v>42.541499999999999</v>
      </c>
      <c r="W1304" s="159">
        <f t="shared" si="143"/>
        <v>-569.89</v>
      </c>
      <c r="X1304" s="159">
        <f t="shared" si="144"/>
        <v>-5.4569999999999936</v>
      </c>
      <c r="Y1304" s="159">
        <f t="shared" ca="1" si="140"/>
        <v>-9.327053436771962</v>
      </c>
      <c r="Z1304" s="159">
        <f t="shared" ca="1" si="145"/>
        <v>-14.717576365048943</v>
      </c>
      <c r="AA1304" s="161">
        <f t="shared" ca="1" si="146"/>
        <v>-1471.7576365048944</v>
      </c>
    </row>
    <row r="1305" spans="20:27" x14ac:dyDescent="0.25">
      <c r="T1305" s="165">
        <v>1293</v>
      </c>
      <c r="U1305" s="159">
        <f t="shared" si="141"/>
        <v>522.89149999999995</v>
      </c>
      <c r="V1305" s="159">
        <f t="shared" si="142"/>
        <v>42.541499999999999</v>
      </c>
      <c r="W1305" s="159">
        <f t="shared" si="143"/>
        <v>-570.89</v>
      </c>
      <c r="X1305" s="159">
        <f t="shared" si="144"/>
        <v>-5.4569999999999936</v>
      </c>
      <c r="Y1305" s="159">
        <f t="shared" ca="1" si="140"/>
        <v>-9.327053436771962</v>
      </c>
      <c r="Z1305" s="159">
        <f t="shared" ca="1" si="145"/>
        <v>-14.717576365048943</v>
      </c>
      <c r="AA1305" s="161">
        <f t="shared" ca="1" si="146"/>
        <v>-1471.7576365048944</v>
      </c>
    </row>
    <row r="1306" spans="20:27" x14ac:dyDescent="0.25">
      <c r="T1306" s="165">
        <v>1294</v>
      </c>
      <c r="U1306" s="159">
        <f t="shared" si="141"/>
        <v>523.89149999999995</v>
      </c>
      <c r="V1306" s="159">
        <f t="shared" si="142"/>
        <v>42.541499999999999</v>
      </c>
      <c r="W1306" s="159">
        <f t="shared" si="143"/>
        <v>-571.89</v>
      </c>
      <c r="X1306" s="159">
        <f t="shared" si="144"/>
        <v>-5.4569999999999936</v>
      </c>
      <c r="Y1306" s="159">
        <f t="shared" ca="1" si="140"/>
        <v>-9.327053436771962</v>
      </c>
      <c r="Z1306" s="159">
        <f t="shared" ca="1" si="145"/>
        <v>-14.717576365048943</v>
      </c>
      <c r="AA1306" s="161">
        <f t="shared" ca="1" si="146"/>
        <v>-1471.7576365048944</v>
      </c>
    </row>
    <row r="1307" spans="20:27" x14ac:dyDescent="0.25">
      <c r="T1307" s="165">
        <v>1295</v>
      </c>
      <c r="U1307" s="159">
        <f t="shared" si="141"/>
        <v>524.89149999999995</v>
      </c>
      <c r="V1307" s="159">
        <f t="shared" si="142"/>
        <v>42.541499999999999</v>
      </c>
      <c r="W1307" s="159">
        <f t="shared" si="143"/>
        <v>-572.89</v>
      </c>
      <c r="X1307" s="159">
        <f t="shared" si="144"/>
        <v>-5.4569999999999936</v>
      </c>
      <c r="Y1307" s="159">
        <f t="shared" ca="1" si="140"/>
        <v>-9.327053436771962</v>
      </c>
      <c r="Z1307" s="159">
        <f t="shared" ca="1" si="145"/>
        <v>-14.717576365048943</v>
      </c>
      <c r="AA1307" s="161">
        <f t="shared" ca="1" si="146"/>
        <v>-1471.7576365048944</v>
      </c>
    </row>
    <row r="1308" spans="20:27" x14ac:dyDescent="0.25">
      <c r="T1308" s="165">
        <v>1296</v>
      </c>
      <c r="U1308" s="159">
        <f t="shared" si="141"/>
        <v>525.89149999999995</v>
      </c>
      <c r="V1308" s="159">
        <f t="shared" si="142"/>
        <v>42.541499999999999</v>
      </c>
      <c r="W1308" s="159">
        <f t="shared" si="143"/>
        <v>-573.89</v>
      </c>
      <c r="X1308" s="159">
        <f t="shared" si="144"/>
        <v>-5.4569999999999936</v>
      </c>
      <c r="Y1308" s="159">
        <f t="shared" ca="1" si="140"/>
        <v>-9.327053436771962</v>
      </c>
      <c r="Z1308" s="159">
        <f t="shared" ca="1" si="145"/>
        <v>-14.717576365048943</v>
      </c>
      <c r="AA1308" s="161">
        <f t="shared" ca="1" si="146"/>
        <v>-1471.7576365048944</v>
      </c>
    </row>
    <row r="1309" spans="20:27" x14ac:dyDescent="0.25">
      <c r="T1309" s="165">
        <v>1297</v>
      </c>
      <c r="U1309" s="159">
        <f t="shared" si="141"/>
        <v>526.89149999999995</v>
      </c>
      <c r="V1309" s="159">
        <f t="shared" si="142"/>
        <v>42.541499999999999</v>
      </c>
      <c r="W1309" s="159">
        <f t="shared" si="143"/>
        <v>-574.89</v>
      </c>
      <c r="X1309" s="159">
        <f t="shared" si="144"/>
        <v>-5.4569999999999936</v>
      </c>
      <c r="Y1309" s="159">
        <f t="shared" ca="1" si="140"/>
        <v>-9.327053436771962</v>
      </c>
      <c r="Z1309" s="159">
        <f t="shared" ca="1" si="145"/>
        <v>-14.717576365048943</v>
      </c>
      <c r="AA1309" s="161">
        <f t="shared" ca="1" si="146"/>
        <v>-1471.7576365048944</v>
      </c>
    </row>
    <row r="1310" spans="20:27" x14ac:dyDescent="0.25">
      <c r="T1310" s="165">
        <v>1298</v>
      </c>
      <c r="U1310" s="159">
        <f t="shared" si="141"/>
        <v>527.89149999999995</v>
      </c>
      <c r="V1310" s="159">
        <f t="shared" si="142"/>
        <v>42.541499999999999</v>
      </c>
      <c r="W1310" s="159">
        <f t="shared" si="143"/>
        <v>-575.89</v>
      </c>
      <c r="X1310" s="159">
        <f t="shared" si="144"/>
        <v>-5.4569999999999936</v>
      </c>
      <c r="Y1310" s="159">
        <f t="shared" ca="1" si="140"/>
        <v>-9.327053436771962</v>
      </c>
      <c r="Z1310" s="159">
        <f t="shared" ca="1" si="145"/>
        <v>-14.717576365048943</v>
      </c>
      <c r="AA1310" s="161">
        <f t="shared" ca="1" si="146"/>
        <v>-1471.7576365048944</v>
      </c>
    </row>
    <row r="1311" spans="20:27" x14ac:dyDescent="0.25">
      <c r="T1311" s="165">
        <v>1299</v>
      </c>
      <c r="U1311" s="159">
        <f t="shared" si="141"/>
        <v>528.89149999999995</v>
      </c>
      <c r="V1311" s="159">
        <f t="shared" si="142"/>
        <v>42.541499999999999</v>
      </c>
      <c r="W1311" s="159">
        <f t="shared" si="143"/>
        <v>-576.89</v>
      </c>
      <c r="X1311" s="159">
        <f t="shared" si="144"/>
        <v>-5.4569999999999936</v>
      </c>
      <c r="Y1311" s="159">
        <f t="shared" ca="1" si="140"/>
        <v>-9.327053436771962</v>
      </c>
      <c r="Z1311" s="159">
        <f t="shared" ca="1" si="145"/>
        <v>-14.717576365048943</v>
      </c>
      <c r="AA1311" s="161">
        <f t="shared" ca="1" si="146"/>
        <v>-1471.7576365048944</v>
      </c>
    </row>
    <row r="1312" spans="20:27" ht="15.75" thickBot="1" x14ac:dyDescent="0.3">
      <c r="T1312" s="166">
        <v>1300</v>
      </c>
      <c r="U1312" s="167">
        <f t="shared" si="141"/>
        <v>529.89149999999995</v>
      </c>
      <c r="V1312" s="167">
        <f t="shared" si="142"/>
        <v>42.541499999999999</v>
      </c>
      <c r="W1312" s="167">
        <f t="shared" si="143"/>
        <v>-577.89</v>
      </c>
      <c r="X1312" s="167">
        <f t="shared" si="144"/>
        <v>-5.4569999999999936</v>
      </c>
      <c r="Y1312" s="167">
        <f t="shared" ca="1" si="140"/>
        <v>-9.327053436771962</v>
      </c>
      <c r="Z1312" s="159">
        <f t="shared" ca="1" si="145"/>
        <v>-14.717576365048943</v>
      </c>
      <c r="AA1312" s="168">
        <f t="shared" ca="1" si="146"/>
        <v>-1471.7576365048944</v>
      </c>
    </row>
  </sheetData>
  <mergeCells count="3">
    <mergeCell ref="B8:I8"/>
    <mergeCell ref="K8:R8"/>
    <mergeCell ref="J8:J9"/>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GatherData">
                <anchor moveWithCells="1" sizeWithCells="1">
                  <from>
                    <xdr:col>5</xdr:col>
                    <xdr:colOff>133350</xdr:colOff>
                    <xdr:row>2</xdr:row>
                    <xdr:rowOff>95250</xdr:rowOff>
                  </from>
                  <to>
                    <xdr:col>6</xdr:col>
                    <xdr:colOff>304800</xdr:colOff>
                    <xdr:row>3</xdr:row>
                    <xdr:rowOff>133350</xdr:rowOff>
                  </to>
                </anchor>
              </controlPr>
            </control>
          </mc:Choice>
        </mc:AlternateContent>
        <mc:AlternateContent xmlns:mc="http://schemas.openxmlformats.org/markup-compatibility/2006">
          <mc:Choice Requires="x14">
            <control shapeId="4107" r:id="rId5" name="Button 11">
              <controlPr defaultSize="0" print="0" autoFill="0" autoPict="0" macro="[0]!ClearPrices">
                <anchor moveWithCells="1" sizeWithCells="1">
                  <from>
                    <xdr:col>5</xdr:col>
                    <xdr:colOff>133350</xdr:colOff>
                    <xdr:row>4</xdr:row>
                    <xdr:rowOff>47625</xdr:rowOff>
                  </from>
                  <to>
                    <xdr:col>6</xdr:col>
                    <xdr:colOff>304800</xdr:colOff>
                    <xdr:row>5</xdr:row>
                    <xdr:rowOff>85725</xdr:rowOff>
                  </to>
                </anchor>
              </controlPr>
            </control>
          </mc:Choice>
        </mc:AlternateContent>
        <mc:AlternateContent xmlns:mc="http://schemas.openxmlformats.org/markup-compatibility/2006">
          <mc:Choice Requires="x14">
            <control shapeId="4108" r:id="rId6" name="Button 12">
              <controlPr defaultSize="0" print="0" autoFill="0" autoPict="0" macro="[0]!CalculateGreeks">
                <anchor moveWithCells="1" sizeWithCells="1">
                  <from>
                    <xdr:col>6</xdr:col>
                    <xdr:colOff>504825</xdr:colOff>
                    <xdr:row>2</xdr:row>
                    <xdr:rowOff>142875</xdr:rowOff>
                  </from>
                  <to>
                    <xdr:col>7</xdr:col>
                    <xdr:colOff>590550</xdr:colOff>
                    <xdr:row>5</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C7B7805-C951-4A42-8051-8EE649FD1B1B}">
          <x14:formula1>
            <xm:f>'Assumptions &amp; Lists'!$D$4:$E$4</xm:f>
          </x14:formula1>
          <xm:sqref>E5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18F28-F784-4DDA-A877-B08E8D85C1E2}">
  <sheetPr codeName="Sheet6">
    <tabColor theme="9" tint="-0.249977111117893"/>
  </sheetPr>
  <dimension ref="A1:W999"/>
  <sheetViews>
    <sheetView zoomScale="115" zoomScaleNormal="115" workbookViewId="0">
      <selection activeCell="C3" sqref="C3"/>
    </sheetView>
  </sheetViews>
  <sheetFormatPr defaultColWidth="8.140625" defaultRowHeight="15" x14ac:dyDescent="0.25"/>
  <cols>
    <col min="1" max="1" width="8.140625" style="182"/>
    <col min="2" max="2" width="8.140625" style="181"/>
    <col min="3" max="3" width="14.85546875" style="250" customWidth="1"/>
    <col min="4" max="8" width="8.140625" style="251"/>
    <col min="9" max="9" width="8.140625" style="252"/>
    <col min="10" max="11" width="8.140625" style="181"/>
    <col min="12" max="12" width="8.5703125" style="181" bestFit="1" customWidth="1"/>
    <col min="13" max="16384" width="8.140625" style="181"/>
  </cols>
  <sheetData>
    <row r="1" spans="2:21" x14ac:dyDescent="0.25">
      <c r="B1"/>
      <c r="C1"/>
      <c r="D1"/>
      <c r="E1"/>
      <c r="F1"/>
      <c r="G1"/>
      <c r="H1"/>
      <c r="I1"/>
      <c r="J1"/>
      <c r="K1"/>
      <c r="L1"/>
      <c r="M1"/>
      <c r="N1"/>
      <c r="O1"/>
      <c r="P1"/>
      <c r="Q1"/>
    </row>
    <row r="2" spans="2:21" x14ac:dyDescent="0.25">
      <c r="B2"/>
      <c r="C2" t="s">
        <v>90</v>
      </c>
      <c r="D2"/>
      <c r="E2"/>
      <c r="F2"/>
      <c r="G2"/>
      <c r="H2"/>
      <c r="I2"/>
      <c r="J2"/>
      <c r="K2"/>
      <c r="L2"/>
      <c r="M2"/>
      <c r="N2"/>
      <c r="O2"/>
      <c r="P2"/>
      <c r="Q2"/>
    </row>
    <row r="3" spans="2:21" ht="15.75" x14ac:dyDescent="0.25">
      <c r="B3"/>
      <c r="C3"/>
      <c r="D3"/>
      <c r="E3"/>
      <c r="F3"/>
      <c r="G3"/>
      <c r="H3"/>
      <c r="I3"/>
      <c r="J3"/>
      <c r="K3"/>
      <c r="L3"/>
      <c r="M3"/>
      <c r="N3"/>
      <c r="O3"/>
      <c r="P3"/>
      <c r="Q3"/>
      <c r="S3" s="273" t="s">
        <v>85</v>
      </c>
    </row>
    <row r="4" spans="2:21" ht="15.75" x14ac:dyDescent="0.25">
      <c r="B4"/>
      <c r="C4"/>
      <c r="D4"/>
      <c r="E4"/>
      <c r="F4"/>
      <c r="G4"/>
      <c r="H4"/>
      <c r="I4"/>
      <c r="J4"/>
      <c r="K4"/>
      <c r="L4"/>
      <c r="M4"/>
      <c r="N4"/>
      <c r="O4"/>
      <c r="P4"/>
      <c r="Q4"/>
      <c r="S4" s="273"/>
    </row>
    <row r="5" spans="2:21" x14ac:dyDescent="0.25">
      <c r="B5"/>
      <c r="C5"/>
      <c r="D5"/>
      <c r="E5"/>
      <c r="F5"/>
      <c r="G5"/>
      <c r="H5"/>
      <c r="I5"/>
      <c r="J5"/>
      <c r="K5"/>
      <c r="L5"/>
      <c r="M5"/>
      <c r="N5"/>
      <c r="O5"/>
      <c r="P5"/>
      <c r="Q5"/>
    </row>
    <row r="6" spans="2:21" x14ac:dyDescent="0.25">
      <c r="B6"/>
      <c r="C6"/>
      <c r="D6"/>
      <c r="E6"/>
      <c r="F6"/>
      <c r="G6"/>
      <c r="H6"/>
      <c r="I6"/>
      <c r="J6"/>
      <c r="K6"/>
      <c r="L6"/>
      <c r="M6"/>
      <c r="N6"/>
      <c r="O6"/>
      <c r="P6"/>
      <c r="Q6"/>
    </row>
    <row r="7" spans="2:21" x14ac:dyDescent="0.25">
      <c r="B7"/>
      <c r="C7"/>
      <c r="D7"/>
      <c r="E7"/>
      <c r="F7"/>
      <c r="G7"/>
      <c r="H7"/>
      <c r="I7"/>
      <c r="J7"/>
      <c r="K7"/>
      <c r="L7"/>
      <c r="M7"/>
      <c r="N7"/>
      <c r="O7"/>
      <c r="P7"/>
      <c r="Q7"/>
      <c r="U7" s="274" t="str" cm="1">
        <f t="array" ref="U7">author()</f>
        <v>Wessel van den Brink</v>
      </c>
    </row>
    <row r="8" spans="2:21" x14ac:dyDescent="0.25">
      <c r="B8"/>
      <c r="C8"/>
      <c r="D8"/>
      <c r="E8"/>
      <c r="F8"/>
      <c r="G8"/>
      <c r="H8"/>
      <c r="I8"/>
      <c r="J8"/>
      <c r="K8"/>
      <c r="L8"/>
      <c r="M8"/>
      <c r="N8"/>
      <c r="O8"/>
      <c r="P8"/>
      <c r="Q8"/>
      <c r="U8" s="182">
        <v>11</v>
      </c>
    </row>
    <row r="9" spans="2:21" x14ac:dyDescent="0.25">
      <c r="B9"/>
      <c r="C9"/>
      <c r="D9"/>
      <c r="E9"/>
      <c r="F9"/>
      <c r="G9"/>
      <c r="H9"/>
      <c r="I9"/>
      <c r="J9"/>
      <c r="K9"/>
      <c r="L9"/>
      <c r="M9"/>
      <c r="N9"/>
      <c r="O9"/>
      <c r="P9"/>
      <c r="Q9"/>
      <c r="U9" s="183" t="str" cm="1">
        <f t="array" ref="U9">_xlfn.IFS(print=",",",",AND(print&lt;&gt;",",ISERR(VALUE(print))=TRUE),"",ISERR(VALUE(print))=FALSE,print)</f>
        <v>,</v>
      </c>
    </row>
    <row r="10" spans="2:21" x14ac:dyDescent="0.25">
      <c r="B10"/>
      <c r="C10"/>
      <c r="D10"/>
      <c r="E10"/>
      <c r="F10"/>
      <c r="G10"/>
      <c r="H10"/>
      <c r="I10"/>
      <c r="J10"/>
      <c r="K10"/>
      <c r="L10"/>
      <c r="M10"/>
      <c r="N10"/>
      <c r="O10"/>
      <c r="P10"/>
      <c r="Q10"/>
      <c r="U10" s="182" t="s">
        <v>125</v>
      </c>
    </row>
    <row r="11" spans="2:21" x14ac:dyDescent="0.25">
      <c r="B11"/>
      <c r="C11"/>
      <c r="D11"/>
      <c r="E11"/>
      <c r="F11"/>
      <c r="G11"/>
      <c r="H11"/>
      <c r="I11"/>
      <c r="J11"/>
      <c r="K11"/>
      <c r="L11"/>
      <c r="M11"/>
      <c r="N11"/>
      <c r="O11"/>
      <c r="P11"/>
      <c r="Q11"/>
      <c r="U11" s="181" t="b">
        <f>TimeSpreadBool</f>
        <v>0</v>
      </c>
    </row>
    <row r="12" spans="2:21" x14ac:dyDescent="0.25">
      <c r="B12"/>
      <c r="C12"/>
      <c r="D12"/>
      <c r="E12"/>
      <c r="F12"/>
      <c r="G12"/>
      <c r="H12"/>
      <c r="I12"/>
      <c r="J12"/>
      <c r="K12"/>
      <c r="L12"/>
      <c r="M12"/>
      <c r="N12"/>
      <c r="O12"/>
      <c r="P12"/>
      <c r="Q12"/>
    </row>
    <row r="13" spans="2:21" x14ac:dyDescent="0.25">
      <c r="B13"/>
      <c r="C13"/>
      <c r="D13"/>
      <c r="E13"/>
      <c r="F13"/>
      <c r="G13"/>
      <c r="H13"/>
      <c r="I13"/>
      <c r="J13"/>
      <c r="K13"/>
      <c r="L13"/>
      <c r="M13"/>
      <c r="N13"/>
      <c r="O13"/>
      <c r="P13"/>
      <c r="Q13"/>
    </row>
    <row r="14" spans="2:21" x14ac:dyDescent="0.25">
      <c r="B14"/>
      <c r="C14"/>
      <c r="D14"/>
      <c r="E14"/>
      <c r="F14"/>
      <c r="G14"/>
      <c r="H14"/>
      <c r="I14"/>
      <c r="J14"/>
      <c r="K14"/>
      <c r="L14"/>
      <c r="M14"/>
      <c r="N14"/>
      <c r="O14"/>
      <c r="P14"/>
      <c r="Q14"/>
    </row>
    <row r="15" spans="2:21" x14ac:dyDescent="0.25">
      <c r="B15"/>
      <c r="C15"/>
      <c r="D15"/>
      <c r="E15"/>
      <c r="F15"/>
      <c r="G15"/>
      <c r="H15"/>
      <c r="I15"/>
      <c r="J15"/>
      <c r="K15"/>
      <c r="L15"/>
      <c r="M15"/>
      <c r="N15"/>
      <c r="O15"/>
      <c r="P15"/>
      <c r="Q15"/>
    </row>
    <row r="16" spans="2:21" x14ac:dyDescent="0.25">
      <c r="B16"/>
      <c r="C16"/>
      <c r="D16"/>
      <c r="E16"/>
      <c r="F16"/>
      <c r="G16"/>
      <c r="H16"/>
      <c r="I16"/>
      <c r="J16"/>
      <c r="K16"/>
      <c r="L16"/>
      <c r="M16"/>
      <c r="N16"/>
      <c r="O16"/>
      <c r="P16"/>
      <c r="Q16"/>
    </row>
    <row r="17" spans="2:19" x14ac:dyDescent="0.25">
      <c r="B17"/>
      <c r="C17"/>
      <c r="D17"/>
      <c r="E17"/>
      <c r="F17"/>
      <c r="G17"/>
      <c r="H17"/>
      <c r="I17"/>
      <c r="J17"/>
      <c r="K17"/>
      <c r="L17"/>
      <c r="M17"/>
      <c r="N17"/>
      <c r="O17"/>
      <c r="P17"/>
      <c r="Q17"/>
    </row>
    <row r="18" spans="2:19" x14ac:dyDescent="0.25">
      <c r="B18"/>
      <c r="C18"/>
      <c r="D18"/>
      <c r="E18"/>
      <c r="F18"/>
      <c r="G18"/>
      <c r="H18"/>
      <c r="I18"/>
      <c r="J18"/>
      <c r="K18"/>
      <c r="L18"/>
      <c r="M18"/>
      <c r="N18"/>
      <c r="O18"/>
      <c r="P18"/>
      <c r="Q18"/>
    </row>
    <row r="19" spans="2:19" x14ac:dyDescent="0.25">
      <c r="B19"/>
      <c r="C19"/>
      <c r="D19"/>
      <c r="E19"/>
      <c r="F19"/>
      <c r="G19"/>
      <c r="H19"/>
      <c r="I19"/>
      <c r="J19"/>
      <c r="K19"/>
      <c r="L19"/>
      <c r="M19"/>
      <c r="N19"/>
      <c r="O19"/>
      <c r="P19"/>
      <c r="Q19"/>
    </row>
    <row r="20" spans="2:19" x14ac:dyDescent="0.25">
      <c r="B20"/>
      <c r="C20"/>
      <c r="D20"/>
      <c r="E20"/>
      <c r="F20"/>
      <c r="G20"/>
      <c r="H20"/>
      <c r="I20"/>
      <c r="J20"/>
      <c r="K20"/>
      <c r="L20"/>
      <c r="M20"/>
      <c r="N20"/>
      <c r="O20"/>
      <c r="P20"/>
      <c r="Q20"/>
    </row>
    <row r="21" spans="2:19" x14ac:dyDescent="0.25">
      <c r="B21"/>
      <c r="C21"/>
      <c r="D21"/>
      <c r="E21"/>
      <c r="F21"/>
      <c r="G21"/>
      <c r="H21"/>
      <c r="I21"/>
      <c r="J21"/>
      <c r="K21"/>
      <c r="L21"/>
      <c r="M21"/>
      <c r="N21"/>
      <c r="O21"/>
      <c r="P21"/>
      <c r="Q21"/>
    </row>
    <row r="22" spans="2:19" x14ac:dyDescent="0.25">
      <c r="B22"/>
      <c r="C22"/>
      <c r="D22"/>
      <c r="E22"/>
      <c r="F22"/>
      <c r="G22"/>
      <c r="H22"/>
      <c r="I22"/>
      <c r="J22"/>
      <c r="K22"/>
      <c r="L22"/>
      <c r="M22"/>
      <c r="N22"/>
      <c r="O22"/>
      <c r="P22"/>
      <c r="Q22"/>
    </row>
    <row r="23" spans="2:19" x14ac:dyDescent="0.25">
      <c r="B23"/>
      <c r="C23"/>
      <c r="D23"/>
      <c r="E23"/>
      <c r="F23"/>
      <c r="G23"/>
      <c r="H23"/>
      <c r="I23"/>
      <c r="J23"/>
      <c r="K23"/>
      <c r="L23"/>
      <c r="M23"/>
      <c r="N23"/>
      <c r="O23"/>
      <c r="P23"/>
      <c r="Q23"/>
    </row>
    <row r="24" spans="2:19" x14ac:dyDescent="0.25">
      <c r="B24"/>
      <c r="C24"/>
      <c r="D24"/>
      <c r="E24"/>
      <c r="F24"/>
      <c r="G24"/>
      <c r="H24"/>
      <c r="I24"/>
      <c r="J24"/>
      <c r="K24"/>
      <c r="L24"/>
      <c r="M24"/>
      <c r="N24"/>
      <c r="O24"/>
      <c r="P24"/>
      <c r="Q24"/>
    </row>
    <row r="25" spans="2:19" x14ac:dyDescent="0.25">
      <c r="B25"/>
      <c r="C25"/>
      <c r="D25"/>
      <c r="E25"/>
      <c r="F25"/>
      <c r="G25"/>
      <c r="H25"/>
      <c r="I25"/>
      <c r="J25"/>
      <c r="K25"/>
      <c r="L25"/>
      <c r="M25"/>
      <c r="N25"/>
      <c r="O25"/>
      <c r="P25"/>
      <c r="Q25"/>
    </row>
    <row r="26" spans="2:19" x14ac:dyDescent="0.25">
      <c r="B26"/>
      <c r="C26"/>
      <c r="D26"/>
      <c r="E26"/>
      <c r="F26"/>
      <c r="G26"/>
      <c r="H26"/>
      <c r="I26"/>
      <c r="J26"/>
      <c r="K26"/>
      <c r="L26"/>
      <c r="M26"/>
      <c r="N26"/>
      <c r="O26"/>
      <c r="P26"/>
      <c r="Q26"/>
    </row>
    <row r="27" spans="2:19" x14ac:dyDescent="0.25">
      <c r="B27"/>
      <c r="C27"/>
      <c r="D27"/>
      <c r="E27"/>
      <c r="F27"/>
      <c r="G27"/>
      <c r="H27"/>
      <c r="I27"/>
      <c r="J27"/>
      <c r="K27"/>
      <c r="L27"/>
      <c r="M27"/>
      <c r="N27"/>
      <c r="O27"/>
      <c r="P27"/>
      <c r="Q27"/>
    </row>
    <row r="28" spans="2:19" x14ac:dyDescent="0.25">
      <c r="B28"/>
      <c r="C28"/>
      <c r="D28"/>
      <c r="E28"/>
      <c r="F28"/>
      <c r="G28"/>
      <c r="H28"/>
      <c r="I28"/>
      <c r="J28"/>
      <c r="K28"/>
      <c r="L28"/>
      <c r="M28"/>
      <c r="N28"/>
      <c r="O28"/>
      <c r="P28"/>
      <c r="Q28"/>
    </row>
    <row r="29" spans="2:19" x14ac:dyDescent="0.25">
      <c r="B29"/>
      <c r="C29"/>
      <c r="D29"/>
      <c r="E29"/>
      <c r="F29"/>
      <c r="G29"/>
      <c r="H29"/>
      <c r="I29"/>
      <c r="J29"/>
      <c r="K29"/>
      <c r="L29"/>
      <c r="M29"/>
      <c r="N29"/>
      <c r="O29"/>
      <c r="P29"/>
      <c r="Q29"/>
      <c r="S29" s="275"/>
    </row>
    <row r="30" spans="2:19" x14ac:dyDescent="0.25">
      <c r="B30"/>
      <c r="C30"/>
      <c r="D30"/>
      <c r="E30"/>
      <c r="F30"/>
      <c r="G30"/>
      <c r="H30"/>
      <c r="I30"/>
      <c r="J30"/>
      <c r="K30"/>
      <c r="L30"/>
      <c r="M30"/>
      <c r="N30"/>
      <c r="O30"/>
      <c r="P30"/>
      <c r="Q30"/>
    </row>
    <row r="31" spans="2:19" x14ac:dyDescent="0.25">
      <c r="B31"/>
      <c r="C31"/>
      <c r="D31"/>
      <c r="E31"/>
      <c r="F31"/>
      <c r="G31"/>
      <c r="H31"/>
      <c r="I31"/>
      <c r="J31"/>
      <c r="K31"/>
      <c r="L31"/>
      <c r="M31"/>
      <c r="N31"/>
      <c r="O31"/>
      <c r="P31"/>
      <c r="Q31"/>
    </row>
    <row r="32" spans="2:19" x14ac:dyDescent="0.25">
      <c r="B32"/>
      <c r="C32"/>
      <c r="D32"/>
      <c r="E32"/>
      <c r="F32"/>
      <c r="G32"/>
      <c r="H32"/>
      <c r="I32"/>
      <c r="J32"/>
      <c r="K32"/>
      <c r="L32"/>
      <c r="M32"/>
      <c r="N32"/>
      <c r="O32"/>
      <c r="P32"/>
      <c r="Q32"/>
    </row>
    <row r="33" spans="2:19" x14ac:dyDescent="0.25">
      <c r="B33"/>
      <c r="C33"/>
      <c r="D33"/>
      <c r="E33"/>
      <c r="F33"/>
      <c r="G33"/>
      <c r="H33"/>
      <c r="I33"/>
      <c r="J33"/>
      <c r="K33"/>
      <c r="L33"/>
      <c r="M33"/>
      <c r="N33"/>
      <c r="O33"/>
      <c r="P33"/>
      <c r="Q33"/>
    </row>
    <row r="34" spans="2:19" x14ac:dyDescent="0.25">
      <c r="B34"/>
      <c r="C34"/>
      <c r="D34"/>
      <c r="E34"/>
      <c r="F34"/>
      <c r="G34"/>
      <c r="H34"/>
      <c r="I34"/>
      <c r="J34"/>
      <c r="K34"/>
      <c r="L34"/>
      <c r="M34"/>
      <c r="N34"/>
      <c r="O34"/>
      <c r="P34"/>
      <c r="Q34"/>
    </row>
    <row r="35" spans="2:19" x14ac:dyDescent="0.25">
      <c r="B35"/>
      <c r="C35"/>
      <c r="D35"/>
      <c r="E35"/>
      <c r="F35"/>
      <c r="G35"/>
      <c r="H35"/>
      <c r="I35"/>
      <c r="J35"/>
      <c r="K35"/>
      <c r="L35"/>
      <c r="M35"/>
      <c r="N35"/>
      <c r="O35"/>
      <c r="P35"/>
      <c r="Q35"/>
      <c r="S35" s="275"/>
    </row>
    <row r="36" spans="2:19" x14ac:dyDescent="0.25">
      <c r="B36"/>
      <c r="C36"/>
      <c r="D36"/>
      <c r="E36"/>
      <c r="F36"/>
      <c r="G36"/>
      <c r="H36"/>
      <c r="I36"/>
      <c r="J36"/>
      <c r="K36"/>
      <c r="L36"/>
      <c r="M36"/>
      <c r="N36"/>
      <c r="O36"/>
      <c r="P36"/>
      <c r="Q36"/>
    </row>
    <row r="37" spans="2:19" x14ac:dyDescent="0.25">
      <c r="B37"/>
      <c r="C37"/>
      <c r="D37"/>
      <c r="E37"/>
      <c r="F37"/>
      <c r="G37"/>
      <c r="H37"/>
      <c r="I37"/>
      <c r="J37"/>
      <c r="K37"/>
      <c r="L37"/>
      <c r="M37"/>
      <c r="N37"/>
      <c r="O37"/>
      <c r="P37"/>
      <c r="Q37"/>
    </row>
    <row r="38" spans="2:19" x14ac:dyDescent="0.25">
      <c r="B38"/>
      <c r="C38"/>
      <c r="D38"/>
      <c r="E38"/>
      <c r="F38"/>
      <c r="G38"/>
      <c r="H38"/>
      <c r="I38"/>
      <c r="J38"/>
      <c r="K38"/>
      <c r="L38"/>
      <c r="M38"/>
      <c r="N38"/>
      <c r="O38"/>
      <c r="P38"/>
      <c r="Q38"/>
    </row>
    <row r="39" spans="2:19" x14ac:dyDescent="0.25">
      <c r="B39"/>
      <c r="C39"/>
      <c r="D39"/>
      <c r="E39"/>
      <c r="F39"/>
      <c r="G39"/>
      <c r="H39"/>
      <c r="I39"/>
      <c r="J39"/>
      <c r="K39"/>
      <c r="L39"/>
      <c r="M39"/>
      <c r="N39"/>
      <c r="O39"/>
      <c r="P39"/>
      <c r="Q39"/>
    </row>
    <row r="40" spans="2:19" x14ac:dyDescent="0.25">
      <c r="B40"/>
      <c r="C40"/>
      <c r="D40"/>
      <c r="E40"/>
      <c r="F40"/>
      <c r="G40"/>
      <c r="H40"/>
      <c r="I40"/>
      <c r="J40"/>
      <c r="K40"/>
      <c r="L40"/>
      <c r="M40"/>
      <c r="N40"/>
      <c r="O40"/>
      <c r="P40"/>
      <c r="Q40"/>
    </row>
    <row r="41" spans="2:19" x14ac:dyDescent="0.25">
      <c r="B41"/>
      <c r="C41"/>
      <c r="D41"/>
      <c r="E41"/>
      <c r="F41"/>
      <c r="G41"/>
      <c r="H41"/>
      <c r="I41"/>
      <c r="J41"/>
      <c r="K41"/>
      <c r="L41"/>
      <c r="M41"/>
      <c r="N41"/>
      <c r="O41"/>
      <c r="P41"/>
      <c r="Q41"/>
    </row>
    <row r="42" spans="2:19" x14ac:dyDescent="0.25">
      <c r="B42"/>
      <c r="C42"/>
      <c r="D42"/>
      <c r="E42"/>
      <c r="F42"/>
      <c r="G42"/>
      <c r="H42"/>
      <c r="I42"/>
      <c r="J42"/>
      <c r="K42"/>
      <c r="L42"/>
      <c r="M42"/>
      <c r="N42"/>
      <c r="O42"/>
      <c r="P42"/>
      <c r="Q42"/>
    </row>
    <row r="43" spans="2:19" x14ac:dyDescent="0.25">
      <c r="B43"/>
      <c r="C43"/>
      <c r="D43"/>
      <c r="E43"/>
      <c r="F43"/>
      <c r="G43"/>
      <c r="H43"/>
      <c r="I43"/>
      <c r="J43"/>
      <c r="K43"/>
      <c r="L43"/>
      <c r="M43"/>
      <c r="N43"/>
      <c r="O43"/>
      <c r="P43"/>
      <c r="Q43"/>
    </row>
    <row r="44" spans="2:19" x14ac:dyDescent="0.25">
      <c r="B44"/>
      <c r="C44"/>
      <c r="D44"/>
      <c r="E44"/>
      <c r="F44"/>
      <c r="G44"/>
      <c r="H44"/>
      <c r="I44"/>
      <c r="J44"/>
      <c r="K44"/>
      <c r="L44"/>
      <c r="M44"/>
      <c r="N44"/>
      <c r="O44"/>
      <c r="P44"/>
      <c r="Q44"/>
    </row>
    <row r="45" spans="2:19" x14ac:dyDescent="0.25">
      <c r="B45"/>
      <c r="C45"/>
      <c r="D45"/>
      <c r="E45"/>
      <c r="F45"/>
      <c r="G45"/>
      <c r="H45"/>
      <c r="I45"/>
      <c r="J45"/>
      <c r="K45"/>
      <c r="L45"/>
      <c r="M45"/>
      <c r="N45"/>
      <c r="O45"/>
      <c r="P45"/>
      <c r="Q45"/>
    </row>
    <row r="46" spans="2:19" x14ac:dyDescent="0.25">
      <c r="B46"/>
      <c r="C46"/>
      <c r="D46"/>
      <c r="E46"/>
      <c r="F46"/>
      <c r="G46"/>
      <c r="H46"/>
      <c r="I46"/>
      <c r="J46"/>
      <c r="K46"/>
      <c r="L46"/>
      <c r="M46"/>
      <c r="N46"/>
      <c r="O46"/>
      <c r="P46"/>
      <c r="Q46"/>
    </row>
    <row r="47" spans="2:19" x14ac:dyDescent="0.25">
      <c r="B47"/>
      <c r="C47"/>
      <c r="D47"/>
      <c r="E47"/>
      <c r="F47"/>
      <c r="G47"/>
      <c r="H47"/>
      <c r="I47"/>
      <c r="J47"/>
      <c r="K47"/>
      <c r="L47"/>
      <c r="M47"/>
      <c r="N47"/>
      <c r="O47"/>
      <c r="P47"/>
      <c r="Q47"/>
    </row>
    <row r="48" spans="2:19" x14ac:dyDescent="0.25">
      <c r="B48"/>
      <c r="C48"/>
      <c r="D48"/>
      <c r="E48"/>
      <c r="F48"/>
      <c r="G48"/>
      <c r="H48"/>
      <c r="I48"/>
      <c r="J48"/>
      <c r="K48"/>
      <c r="L48"/>
      <c r="M48"/>
      <c r="N48"/>
      <c r="O48"/>
      <c r="P48"/>
      <c r="Q48"/>
    </row>
    <row r="49" spans="2:17" x14ac:dyDescent="0.25">
      <c r="B49"/>
      <c r="C49"/>
      <c r="D49"/>
      <c r="E49"/>
      <c r="F49"/>
      <c r="G49"/>
      <c r="H49"/>
      <c r="I49"/>
      <c r="J49"/>
      <c r="K49"/>
      <c r="L49"/>
      <c r="M49"/>
      <c r="N49"/>
      <c r="O49"/>
      <c r="P49"/>
      <c r="Q49"/>
    </row>
    <row r="50" spans="2:17" x14ac:dyDescent="0.25">
      <c r="B50"/>
      <c r="C50"/>
      <c r="D50"/>
      <c r="E50"/>
      <c r="F50"/>
      <c r="G50"/>
      <c r="H50"/>
      <c r="I50"/>
      <c r="J50"/>
      <c r="K50"/>
      <c r="L50"/>
      <c r="M50"/>
      <c r="N50"/>
      <c r="O50"/>
      <c r="P50"/>
      <c r="Q50"/>
    </row>
    <row r="51" spans="2:17" x14ac:dyDescent="0.25">
      <c r="B51"/>
      <c r="C51"/>
      <c r="D51"/>
      <c r="E51"/>
      <c r="F51"/>
      <c r="G51"/>
      <c r="H51"/>
      <c r="I51"/>
      <c r="J51"/>
      <c r="K51"/>
      <c r="L51"/>
      <c r="M51"/>
      <c r="N51"/>
      <c r="O51"/>
      <c r="P51"/>
      <c r="Q51"/>
    </row>
    <row r="52" spans="2:17" x14ac:dyDescent="0.25">
      <c r="B52"/>
      <c r="C52"/>
      <c r="D52"/>
      <c r="E52"/>
      <c r="F52"/>
      <c r="G52"/>
      <c r="H52"/>
      <c r="I52"/>
      <c r="J52"/>
      <c r="K52"/>
      <c r="L52"/>
      <c r="M52"/>
      <c r="N52"/>
      <c r="O52"/>
      <c r="P52"/>
      <c r="Q52"/>
    </row>
    <row r="53" spans="2:17" x14ac:dyDescent="0.25">
      <c r="B53"/>
      <c r="C53"/>
      <c r="D53"/>
      <c r="E53"/>
      <c r="F53"/>
      <c r="G53"/>
      <c r="H53"/>
      <c r="I53"/>
      <c r="J53"/>
      <c r="K53"/>
      <c r="L53"/>
      <c r="M53"/>
      <c r="N53"/>
      <c r="O53"/>
      <c r="P53"/>
      <c r="Q53"/>
    </row>
    <row r="54" spans="2:17" x14ac:dyDescent="0.25">
      <c r="B54"/>
      <c r="C54"/>
      <c r="D54"/>
      <c r="E54"/>
      <c r="F54"/>
      <c r="G54"/>
      <c r="H54"/>
      <c r="I54"/>
      <c r="J54"/>
      <c r="K54"/>
      <c r="L54"/>
      <c r="M54"/>
      <c r="N54"/>
      <c r="O54"/>
      <c r="P54"/>
      <c r="Q54"/>
    </row>
    <row r="55" spans="2:17" x14ac:dyDescent="0.25">
      <c r="B55"/>
      <c r="C55"/>
      <c r="D55"/>
      <c r="E55"/>
      <c r="F55"/>
      <c r="G55"/>
      <c r="H55"/>
      <c r="I55"/>
      <c r="J55"/>
      <c r="K55"/>
      <c r="L55"/>
      <c r="M55"/>
      <c r="N55"/>
      <c r="O55"/>
      <c r="P55"/>
      <c r="Q55"/>
    </row>
    <row r="56" spans="2:17" x14ac:dyDescent="0.25">
      <c r="B56"/>
      <c r="C56"/>
      <c r="D56"/>
      <c r="E56"/>
      <c r="F56"/>
      <c r="G56"/>
      <c r="H56"/>
      <c r="I56"/>
      <c r="J56"/>
      <c r="K56"/>
      <c r="L56"/>
      <c r="M56"/>
      <c r="N56"/>
      <c r="O56"/>
      <c r="P56"/>
      <c r="Q56"/>
    </row>
    <row r="57" spans="2:17" x14ac:dyDescent="0.25">
      <c r="B57"/>
      <c r="C57"/>
      <c r="D57"/>
      <c r="E57"/>
      <c r="F57"/>
      <c r="G57"/>
      <c r="H57"/>
      <c r="I57"/>
      <c r="J57"/>
      <c r="K57"/>
      <c r="L57"/>
      <c r="M57"/>
      <c r="N57"/>
      <c r="O57"/>
      <c r="P57"/>
      <c r="Q57"/>
    </row>
    <row r="58" spans="2:17" x14ac:dyDescent="0.25">
      <c r="B58"/>
      <c r="C58"/>
      <c r="D58"/>
      <c r="E58"/>
      <c r="F58"/>
      <c r="G58"/>
      <c r="H58"/>
      <c r="I58"/>
      <c r="J58"/>
      <c r="K58"/>
      <c r="L58"/>
      <c r="M58"/>
      <c r="N58"/>
      <c r="O58"/>
      <c r="P58"/>
      <c r="Q58"/>
    </row>
    <row r="59" spans="2:17" x14ac:dyDescent="0.25">
      <c r="B59"/>
      <c r="C59"/>
      <c r="D59"/>
      <c r="E59"/>
      <c r="F59"/>
      <c r="G59"/>
      <c r="H59"/>
      <c r="I59"/>
      <c r="J59"/>
      <c r="K59"/>
      <c r="L59"/>
      <c r="M59"/>
      <c r="N59"/>
      <c r="O59"/>
      <c r="P59"/>
      <c r="Q59"/>
    </row>
    <row r="60" spans="2:17" x14ac:dyDescent="0.25">
      <c r="B60"/>
      <c r="C60"/>
      <c r="D60"/>
      <c r="E60"/>
      <c r="F60"/>
      <c r="G60"/>
      <c r="H60"/>
      <c r="I60"/>
      <c r="J60"/>
      <c r="K60"/>
      <c r="L60"/>
      <c r="M60"/>
      <c r="N60"/>
      <c r="O60"/>
      <c r="P60"/>
      <c r="Q60"/>
    </row>
    <row r="61" spans="2:17" x14ac:dyDescent="0.25">
      <c r="B61"/>
      <c r="C61"/>
      <c r="D61"/>
      <c r="E61"/>
      <c r="F61"/>
      <c r="G61"/>
      <c r="H61"/>
      <c r="I61"/>
      <c r="J61"/>
      <c r="K61"/>
      <c r="L61"/>
      <c r="M61"/>
      <c r="N61"/>
      <c r="O61"/>
      <c r="P61"/>
      <c r="Q61"/>
    </row>
    <row r="62" spans="2:17" x14ac:dyDescent="0.25">
      <c r="B62"/>
      <c r="C62"/>
      <c r="D62"/>
      <c r="E62"/>
      <c r="F62"/>
      <c r="G62"/>
      <c r="H62"/>
      <c r="I62"/>
      <c r="J62"/>
      <c r="K62"/>
      <c r="L62"/>
      <c r="M62"/>
      <c r="N62"/>
      <c r="O62"/>
      <c r="P62"/>
      <c r="Q62"/>
    </row>
    <row r="63" spans="2:17" x14ac:dyDescent="0.25">
      <c r="B63"/>
      <c r="C63"/>
      <c r="D63"/>
      <c r="E63"/>
      <c r="F63"/>
      <c r="G63"/>
      <c r="H63"/>
      <c r="I63"/>
      <c r="J63"/>
      <c r="K63"/>
      <c r="L63"/>
      <c r="M63"/>
      <c r="N63"/>
      <c r="O63"/>
      <c r="P63"/>
      <c r="Q63"/>
    </row>
    <row r="64" spans="2:17" x14ac:dyDescent="0.25">
      <c r="B64"/>
      <c r="C64"/>
      <c r="D64"/>
      <c r="E64"/>
      <c r="F64"/>
      <c r="G64"/>
      <c r="H64"/>
      <c r="I64"/>
      <c r="J64"/>
      <c r="K64"/>
      <c r="L64"/>
      <c r="M64"/>
      <c r="N64"/>
      <c r="O64"/>
      <c r="P64"/>
      <c r="Q64"/>
    </row>
    <row r="65" spans="2:17" x14ac:dyDescent="0.25">
      <c r="B65"/>
      <c r="C65"/>
      <c r="D65"/>
      <c r="E65"/>
      <c r="F65"/>
      <c r="G65"/>
      <c r="H65"/>
      <c r="I65"/>
      <c r="J65"/>
      <c r="K65"/>
      <c r="L65"/>
      <c r="M65"/>
      <c r="N65"/>
      <c r="O65"/>
      <c r="P65"/>
      <c r="Q65"/>
    </row>
    <row r="66" spans="2:17" x14ac:dyDescent="0.25">
      <c r="B66"/>
      <c r="C66"/>
      <c r="D66"/>
      <c r="E66"/>
      <c r="F66"/>
      <c r="G66"/>
      <c r="H66"/>
      <c r="I66"/>
      <c r="J66"/>
      <c r="K66"/>
      <c r="L66"/>
      <c r="M66"/>
      <c r="N66"/>
      <c r="O66"/>
      <c r="P66"/>
      <c r="Q66"/>
    </row>
    <row r="67" spans="2:17" x14ac:dyDescent="0.25">
      <c r="B67"/>
      <c r="C67"/>
      <c r="D67"/>
      <c r="E67"/>
      <c r="F67"/>
      <c r="G67"/>
      <c r="H67"/>
      <c r="I67"/>
      <c r="J67"/>
      <c r="K67"/>
      <c r="L67"/>
      <c r="M67"/>
      <c r="N67"/>
      <c r="O67"/>
      <c r="P67"/>
      <c r="Q67"/>
    </row>
    <row r="68" spans="2:17" x14ac:dyDescent="0.25">
      <c r="B68"/>
      <c r="C68"/>
      <c r="D68"/>
      <c r="E68"/>
      <c r="F68"/>
      <c r="G68"/>
      <c r="H68"/>
      <c r="I68"/>
      <c r="J68"/>
      <c r="K68"/>
      <c r="L68"/>
      <c r="M68"/>
      <c r="N68"/>
      <c r="O68"/>
      <c r="P68"/>
      <c r="Q68"/>
    </row>
    <row r="69" spans="2:17" x14ac:dyDescent="0.25">
      <c r="B69"/>
      <c r="C69"/>
      <c r="D69"/>
      <c r="E69"/>
      <c r="F69"/>
      <c r="G69"/>
      <c r="H69"/>
      <c r="I69"/>
      <c r="J69"/>
      <c r="K69"/>
      <c r="L69"/>
      <c r="M69"/>
      <c r="N69"/>
      <c r="O69"/>
      <c r="P69"/>
      <c r="Q69"/>
    </row>
    <row r="70" spans="2:17" x14ac:dyDescent="0.25">
      <c r="B70"/>
      <c r="C70"/>
      <c r="D70"/>
      <c r="E70"/>
      <c r="F70"/>
      <c r="G70"/>
      <c r="H70"/>
      <c r="I70"/>
      <c r="J70"/>
      <c r="K70"/>
      <c r="L70"/>
      <c r="M70"/>
      <c r="N70"/>
      <c r="O70"/>
      <c r="P70"/>
      <c r="Q70"/>
    </row>
    <row r="71" spans="2:17" x14ac:dyDescent="0.25">
      <c r="B71"/>
      <c r="C71"/>
      <c r="D71"/>
      <c r="E71"/>
      <c r="F71"/>
      <c r="G71"/>
      <c r="H71"/>
      <c r="I71"/>
      <c r="J71"/>
      <c r="K71"/>
      <c r="L71"/>
      <c r="M71"/>
      <c r="N71"/>
      <c r="O71"/>
      <c r="P71"/>
      <c r="Q71"/>
    </row>
    <row r="72" spans="2:17" x14ac:dyDescent="0.25">
      <c r="B72"/>
      <c r="C72"/>
      <c r="D72"/>
      <c r="E72"/>
      <c r="F72"/>
      <c r="G72"/>
      <c r="H72"/>
      <c r="I72"/>
      <c r="J72"/>
      <c r="K72"/>
      <c r="L72"/>
      <c r="M72"/>
      <c r="N72"/>
      <c r="O72"/>
      <c r="P72"/>
      <c r="Q72"/>
    </row>
    <row r="73" spans="2:17" x14ac:dyDescent="0.25">
      <c r="B73"/>
      <c r="C73"/>
      <c r="D73"/>
      <c r="E73"/>
      <c r="F73"/>
      <c r="G73"/>
      <c r="H73"/>
      <c r="I73"/>
      <c r="J73"/>
      <c r="K73"/>
      <c r="L73"/>
      <c r="M73"/>
      <c r="N73"/>
      <c r="O73"/>
      <c r="P73"/>
      <c r="Q73"/>
    </row>
    <row r="74" spans="2:17" x14ac:dyDescent="0.25">
      <c r="B74"/>
      <c r="C74"/>
      <c r="D74"/>
      <c r="E74"/>
      <c r="F74"/>
      <c r="G74"/>
      <c r="H74"/>
      <c r="I74"/>
      <c r="J74"/>
      <c r="K74"/>
      <c r="L74"/>
      <c r="M74"/>
      <c r="N74"/>
      <c r="O74"/>
      <c r="P74"/>
      <c r="Q74"/>
    </row>
    <row r="75" spans="2:17" x14ac:dyDescent="0.25">
      <c r="B75"/>
      <c r="C75"/>
      <c r="D75"/>
      <c r="E75"/>
      <c r="F75"/>
      <c r="G75"/>
      <c r="H75"/>
      <c r="I75"/>
      <c r="J75"/>
      <c r="K75"/>
      <c r="L75"/>
      <c r="M75"/>
      <c r="N75"/>
      <c r="O75"/>
      <c r="P75"/>
      <c r="Q75"/>
    </row>
    <row r="76" spans="2:17" x14ac:dyDescent="0.25">
      <c r="B76"/>
      <c r="C76"/>
      <c r="D76"/>
      <c r="E76"/>
      <c r="F76"/>
      <c r="G76"/>
      <c r="H76"/>
      <c r="I76"/>
      <c r="J76"/>
      <c r="K76"/>
      <c r="L76"/>
      <c r="M76"/>
      <c r="N76"/>
      <c r="O76"/>
      <c r="P76"/>
      <c r="Q76"/>
    </row>
    <row r="77" spans="2:17" x14ac:dyDescent="0.25">
      <c r="B77"/>
      <c r="C77"/>
      <c r="D77"/>
      <c r="E77"/>
      <c r="F77"/>
      <c r="G77"/>
      <c r="H77"/>
      <c r="I77"/>
      <c r="J77"/>
      <c r="K77"/>
      <c r="L77"/>
      <c r="M77"/>
      <c r="N77"/>
      <c r="O77"/>
      <c r="P77"/>
      <c r="Q77"/>
    </row>
    <row r="78" spans="2:17" x14ac:dyDescent="0.25">
      <c r="B78"/>
      <c r="C78"/>
      <c r="D78"/>
      <c r="E78"/>
      <c r="F78"/>
      <c r="G78"/>
      <c r="H78"/>
      <c r="I78"/>
      <c r="J78"/>
      <c r="K78"/>
      <c r="L78"/>
      <c r="M78"/>
      <c r="N78"/>
      <c r="O78"/>
      <c r="P78"/>
      <c r="Q78"/>
    </row>
    <row r="79" spans="2:17" x14ac:dyDescent="0.25">
      <c r="B79"/>
      <c r="C79"/>
      <c r="D79"/>
      <c r="E79"/>
      <c r="F79"/>
      <c r="G79"/>
      <c r="H79"/>
      <c r="I79"/>
      <c r="J79"/>
      <c r="K79"/>
      <c r="L79"/>
      <c r="M79"/>
      <c r="N79"/>
      <c r="O79"/>
      <c r="P79"/>
      <c r="Q79"/>
    </row>
    <row r="80" spans="2:17" x14ac:dyDescent="0.25">
      <c r="B80"/>
      <c r="C80"/>
      <c r="D80"/>
      <c r="E80"/>
      <c r="F80"/>
      <c r="G80"/>
      <c r="H80"/>
      <c r="I80"/>
      <c r="J80"/>
      <c r="K80"/>
      <c r="L80"/>
      <c r="M80"/>
      <c r="N80"/>
      <c r="O80"/>
      <c r="P80"/>
      <c r="Q80"/>
    </row>
    <row r="81" spans="2:17" x14ac:dyDescent="0.25">
      <c r="B81"/>
      <c r="C81"/>
      <c r="D81"/>
      <c r="E81"/>
      <c r="F81"/>
      <c r="G81"/>
      <c r="H81"/>
      <c r="I81"/>
      <c r="J81"/>
      <c r="K81"/>
      <c r="L81"/>
      <c r="M81"/>
      <c r="N81"/>
      <c r="O81"/>
      <c r="P81"/>
      <c r="Q81"/>
    </row>
    <row r="82" spans="2:17" x14ac:dyDescent="0.25">
      <c r="B82"/>
      <c r="C82"/>
      <c r="D82"/>
      <c r="E82"/>
      <c r="F82"/>
      <c r="G82"/>
      <c r="H82"/>
      <c r="I82"/>
      <c r="J82"/>
      <c r="K82"/>
      <c r="L82"/>
      <c r="M82"/>
      <c r="N82"/>
      <c r="O82"/>
      <c r="P82"/>
      <c r="Q82"/>
    </row>
    <row r="83" spans="2:17" x14ac:dyDescent="0.25">
      <c r="B83"/>
      <c r="C83"/>
      <c r="D83"/>
      <c r="E83"/>
      <c r="F83"/>
      <c r="G83"/>
      <c r="H83"/>
      <c r="I83"/>
      <c r="J83"/>
      <c r="K83"/>
      <c r="L83"/>
      <c r="M83"/>
      <c r="N83"/>
      <c r="O83"/>
      <c r="P83"/>
      <c r="Q83"/>
    </row>
    <row r="84" spans="2:17" x14ac:dyDescent="0.25">
      <c r="B84"/>
      <c r="C84"/>
      <c r="D84"/>
      <c r="E84"/>
      <c r="F84"/>
      <c r="G84"/>
      <c r="H84"/>
      <c r="I84"/>
      <c r="J84"/>
      <c r="K84"/>
      <c r="L84"/>
      <c r="M84"/>
      <c r="N84"/>
      <c r="O84"/>
      <c r="P84"/>
      <c r="Q84"/>
    </row>
    <row r="85" spans="2:17" x14ac:dyDescent="0.25">
      <c r="B85"/>
      <c r="C85"/>
      <c r="D85"/>
      <c r="E85"/>
      <c r="F85"/>
      <c r="G85"/>
      <c r="H85"/>
      <c r="I85"/>
      <c r="J85"/>
      <c r="K85"/>
      <c r="L85"/>
      <c r="M85"/>
      <c r="N85"/>
      <c r="O85"/>
      <c r="P85"/>
      <c r="Q85"/>
    </row>
    <row r="86" spans="2:17" x14ac:dyDescent="0.25">
      <c r="B86"/>
      <c r="C86"/>
      <c r="D86"/>
      <c r="E86"/>
      <c r="F86"/>
      <c r="G86"/>
      <c r="H86"/>
      <c r="I86"/>
      <c r="J86"/>
      <c r="K86"/>
      <c r="L86"/>
      <c r="M86"/>
      <c r="N86"/>
      <c r="O86"/>
      <c r="P86"/>
      <c r="Q86"/>
    </row>
    <row r="87" spans="2:17" x14ac:dyDescent="0.25">
      <c r="B87"/>
      <c r="C87"/>
      <c r="D87"/>
      <c r="E87"/>
      <c r="F87"/>
      <c r="G87"/>
      <c r="H87"/>
      <c r="I87"/>
      <c r="J87"/>
      <c r="K87"/>
      <c r="L87"/>
      <c r="M87"/>
      <c r="N87"/>
      <c r="O87"/>
      <c r="P87"/>
      <c r="Q87"/>
    </row>
    <row r="88" spans="2:17" x14ac:dyDescent="0.25">
      <c r="B88"/>
      <c r="C88"/>
      <c r="D88"/>
      <c r="E88"/>
      <c r="F88"/>
      <c r="G88"/>
      <c r="H88"/>
      <c r="I88"/>
      <c r="J88"/>
      <c r="K88"/>
      <c r="L88"/>
      <c r="M88"/>
      <c r="N88"/>
      <c r="O88"/>
      <c r="P88"/>
      <c r="Q88"/>
    </row>
    <row r="89" spans="2:17" x14ac:dyDescent="0.25">
      <c r="B89"/>
      <c r="C89"/>
      <c r="D89"/>
      <c r="E89"/>
      <c r="F89"/>
      <c r="G89"/>
      <c r="H89"/>
      <c r="I89"/>
      <c r="J89"/>
      <c r="K89"/>
      <c r="L89"/>
      <c r="M89"/>
      <c r="N89"/>
      <c r="O89"/>
      <c r="P89"/>
      <c r="Q89"/>
    </row>
    <row r="90" spans="2:17" x14ac:dyDescent="0.25">
      <c r="B90"/>
      <c r="C90"/>
      <c r="D90"/>
      <c r="E90"/>
      <c r="F90"/>
      <c r="G90"/>
      <c r="H90"/>
      <c r="I90"/>
      <c r="J90"/>
      <c r="K90"/>
      <c r="L90"/>
      <c r="M90"/>
      <c r="N90"/>
      <c r="O90"/>
      <c r="P90"/>
      <c r="Q90"/>
    </row>
    <row r="91" spans="2:17" x14ac:dyDescent="0.25">
      <c r="B91"/>
      <c r="C91"/>
      <c r="D91"/>
      <c r="E91"/>
      <c r="F91"/>
      <c r="G91"/>
      <c r="H91"/>
      <c r="I91"/>
      <c r="J91"/>
      <c r="K91"/>
      <c r="L91"/>
      <c r="M91"/>
      <c r="N91"/>
      <c r="O91"/>
      <c r="P91"/>
      <c r="Q91"/>
    </row>
    <row r="92" spans="2:17" x14ac:dyDescent="0.25">
      <c r="B92"/>
      <c r="C92"/>
      <c r="D92"/>
      <c r="E92"/>
      <c r="F92"/>
      <c r="G92"/>
      <c r="H92"/>
      <c r="I92"/>
      <c r="J92"/>
      <c r="K92"/>
      <c r="L92"/>
      <c r="M92"/>
      <c r="N92"/>
      <c r="O92"/>
      <c r="P92"/>
      <c r="Q92"/>
    </row>
    <row r="93" spans="2:17" x14ac:dyDescent="0.25">
      <c r="B93"/>
      <c r="C93"/>
      <c r="D93"/>
      <c r="E93"/>
      <c r="F93"/>
      <c r="G93"/>
      <c r="H93"/>
      <c r="I93"/>
      <c r="J93"/>
      <c r="K93"/>
      <c r="L93"/>
      <c r="M93"/>
      <c r="N93"/>
      <c r="O93"/>
      <c r="P93"/>
      <c r="Q93"/>
    </row>
    <row r="94" spans="2:17" x14ac:dyDescent="0.25">
      <c r="B94"/>
      <c r="C94"/>
      <c r="D94"/>
      <c r="E94"/>
      <c r="F94"/>
      <c r="G94"/>
      <c r="H94"/>
      <c r="I94"/>
      <c r="J94"/>
      <c r="K94"/>
      <c r="L94"/>
      <c r="M94"/>
      <c r="N94"/>
      <c r="O94"/>
      <c r="P94"/>
      <c r="Q94"/>
    </row>
    <row r="95" spans="2:17" x14ac:dyDescent="0.25">
      <c r="B95"/>
      <c r="C95"/>
      <c r="D95"/>
      <c r="E95"/>
      <c r="F95"/>
      <c r="G95"/>
      <c r="H95"/>
      <c r="I95"/>
      <c r="J95"/>
      <c r="K95"/>
      <c r="L95"/>
      <c r="M95"/>
      <c r="N95"/>
      <c r="O95"/>
      <c r="P95"/>
      <c r="Q95"/>
    </row>
    <row r="96" spans="2:17" x14ac:dyDescent="0.25">
      <c r="B96"/>
      <c r="C96"/>
      <c r="D96"/>
      <c r="E96"/>
      <c r="F96"/>
      <c r="G96"/>
      <c r="H96"/>
      <c r="I96"/>
      <c r="J96"/>
      <c r="K96"/>
      <c r="L96"/>
      <c r="M96"/>
      <c r="N96"/>
      <c r="O96"/>
      <c r="P96"/>
      <c r="Q96"/>
    </row>
    <row r="97" spans="2:17" x14ac:dyDescent="0.25">
      <c r="B97"/>
      <c r="C97"/>
      <c r="D97"/>
      <c r="E97"/>
      <c r="F97"/>
      <c r="G97"/>
      <c r="H97"/>
      <c r="I97"/>
      <c r="J97"/>
      <c r="K97"/>
      <c r="L97"/>
      <c r="M97"/>
      <c r="N97"/>
      <c r="O97"/>
      <c r="P97"/>
      <c r="Q97"/>
    </row>
    <row r="98" spans="2:17" x14ac:dyDescent="0.25">
      <c r="B98"/>
      <c r="C98"/>
      <c r="D98"/>
      <c r="E98"/>
      <c r="F98"/>
      <c r="G98"/>
      <c r="H98"/>
      <c r="I98"/>
      <c r="J98"/>
      <c r="K98"/>
      <c r="L98"/>
      <c r="M98"/>
      <c r="N98"/>
      <c r="O98"/>
      <c r="P98"/>
      <c r="Q98"/>
    </row>
    <row r="99" spans="2:17" x14ac:dyDescent="0.25">
      <c r="B99"/>
      <c r="C99"/>
      <c r="D99"/>
      <c r="E99"/>
      <c r="F99"/>
      <c r="G99"/>
      <c r="H99"/>
      <c r="I99"/>
      <c r="J99"/>
      <c r="K99"/>
      <c r="L99"/>
      <c r="M99"/>
      <c r="N99"/>
      <c r="O99"/>
      <c r="P99"/>
      <c r="Q99"/>
    </row>
    <row r="100" spans="2:17" x14ac:dyDescent="0.25">
      <c r="B100"/>
      <c r="C100"/>
      <c r="D100"/>
      <c r="E100"/>
      <c r="F100"/>
      <c r="G100"/>
      <c r="H100"/>
      <c r="I100"/>
      <c r="J100"/>
      <c r="K100"/>
      <c r="L100"/>
      <c r="M100"/>
      <c r="N100"/>
      <c r="O100"/>
      <c r="P100"/>
      <c r="Q100"/>
    </row>
    <row r="101" spans="2:17" x14ac:dyDescent="0.25">
      <c r="B101"/>
      <c r="C101"/>
      <c r="D101"/>
      <c r="E101"/>
      <c r="F101"/>
      <c r="G101"/>
      <c r="H101"/>
      <c r="I101"/>
      <c r="J101"/>
      <c r="K101"/>
      <c r="L101"/>
      <c r="M101"/>
      <c r="N101"/>
      <c r="O101"/>
      <c r="P101"/>
      <c r="Q101"/>
    </row>
    <row r="102" spans="2:17" x14ac:dyDescent="0.25">
      <c r="B102"/>
      <c r="C102"/>
      <c r="D102"/>
      <c r="E102"/>
      <c r="F102"/>
      <c r="G102"/>
      <c r="H102"/>
      <c r="I102"/>
      <c r="J102"/>
      <c r="K102"/>
      <c r="L102"/>
      <c r="M102"/>
      <c r="N102"/>
      <c r="O102"/>
      <c r="P102"/>
      <c r="Q102"/>
    </row>
    <row r="103" spans="2:17" x14ac:dyDescent="0.25">
      <c r="B103"/>
      <c r="C103"/>
      <c r="D103"/>
      <c r="E103"/>
      <c r="F103"/>
      <c r="G103"/>
      <c r="H103"/>
      <c r="I103"/>
      <c r="J103"/>
      <c r="K103"/>
      <c r="L103"/>
      <c r="M103"/>
      <c r="N103"/>
      <c r="O103"/>
      <c r="P103"/>
      <c r="Q103"/>
    </row>
    <row r="104" spans="2:17" x14ac:dyDescent="0.25">
      <c r="B104"/>
      <c r="C104"/>
      <c r="D104"/>
      <c r="E104"/>
      <c r="F104"/>
      <c r="G104"/>
      <c r="H104"/>
      <c r="I104"/>
      <c r="J104"/>
      <c r="K104"/>
      <c r="L104"/>
      <c r="M104"/>
      <c r="N104"/>
      <c r="O104"/>
      <c r="P104"/>
      <c r="Q104"/>
    </row>
    <row r="105" spans="2:17" x14ac:dyDescent="0.25">
      <c r="B105"/>
      <c r="C105"/>
      <c r="D105"/>
      <c r="E105"/>
      <c r="F105"/>
      <c r="G105"/>
      <c r="H105"/>
      <c r="I105"/>
      <c r="J105"/>
      <c r="K105"/>
      <c r="L105"/>
      <c r="M105"/>
      <c r="N105"/>
      <c r="O105"/>
      <c r="P105"/>
      <c r="Q105"/>
    </row>
    <row r="106" spans="2:17" x14ac:dyDescent="0.25">
      <c r="B106"/>
      <c r="C106"/>
      <c r="D106"/>
      <c r="E106"/>
      <c r="F106"/>
      <c r="G106"/>
      <c r="H106"/>
      <c r="I106"/>
      <c r="J106"/>
      <c r="K106"/>
      <c r="L106"/>
      <c r="M106"/>
      <c r="N106"/>
      <c r="O106"/>
      <c r="P106"/>
      <c r="Q106"/>
    </row>
    <row r="107" spans="2:17" x14ac:dyDescent="0.25">
      <c r="B107"/>
      <c r="C107"/>
      <c r="D107"/>
      <c r="E107"/>
      <c r="F107"/>
      <c r="G107"/>
      <c r="H107"/>
      <c r="I107"/>
      <c r="J107"/>
      <c r="K107"/>
      <c r="L107"/>
      <c r="M107"/>
      <c r="N107"/>
      <c r="O107"/>
      <c r="P107"/>
      <c r="Q107"/>
    </row>
    <row r="108" spans="2:17" x14ac:dyDescent="0.25">
      <c r="B108"/>
      <c r="C108"/>
      <c r="D108"/>
      <c r="E108"/>
      <c r="F108"/>
      <c r="G108"/>
      <c r="H108"/>
      <c r="I108"/>
      <c r="J108"/>
      <c r="K108"/>
      <c r="L108"/>
      <c r="M108"/>
      <c r="N108"/>
      <c r="O108"/>
      <c r="P108"/>
      <c r="Q108"/>
    </row>
    <row r="109" spans="2:17" x14ac:dyDescent="0.25">
      <c r="B109"/>
      <c r="C109"/>
      <c r="D109"/>
      <c r="E109"/>
      <c r="F109"/>
      <c r="G109"/>
      <c r="H109"/>
      <c r="I109"/>
      <c r="J109"/>
      <c r="K109"/>
      <c r="L109"/>
      <c r="M109"/>
      <c r="N109"/>
      <c r="O109"/>
      <c r="P109"/>
      <c r="Q109"/>
    </row>
    <row r="110" spans="2:17" x14ac:dyDescent="0.25">
      <c r="B110"/>
      <c r="C110"/>
      <c r="D110"/>
      <c r="E110"/>
      <c r="F110"/>
      <c r="G110"/>
      <c r="H110"/>
      <c r="I110"/>
      <c r="J110"/>
      <c r="K110"/>
      <c r="L110"/>
      <c r="M110"/>
      <c r="N110"/>
      <c r="O110"/>
      <c r="P110"/>
      <c r="Q110"/>
    </row>
    <row r="111" spans="2:17" x14ac:dyDescent="0.25">
      <c r="B111"/>
      <c r="C111"/>
      <c r="D111"/>
      <c r="E111"/>
      <c r="F111"/>
      <c r="G111"/>
      <c r="H111"/>
      <c r="I111"/>
      <c r="J111"/>
      <c r="K111"/>
      <c r="L111"/>
      <c r="M111"/>
      <c r="N111"/>
      <c r="O111"/>
      <c r="P111"/>
      <c r="Q111"/>
    </row>
    <row r="112" spans="2:17" x14ac:dyDescent="0.25">
      <c r="B112"/>
      <c r="C112"/>
      <c r="D112"/>
      <c r="E112"/>
      <c r="F112"/>
      <c r="G112"/>
      <c r="H112"/>
      <c r="I112"/>
      <c r="J112"/>
      <c r="K112"/>
      <c r="L112"/>
      <c r="M112"/>
      <c r="N112"/>
      <c r="O112"/>
      <c r="P112"/>
      <c r="Q112"/>
    </row>
    <row r="113" spans="2:17" x14ac:dyDescent="0.25">
      <c r="B113"/>
      <c r="C113"/>
      <c r="D113"/>
      <c r="E113"/>
      <c r="F113"/>
      <c r="G113"/>
      <c r="H113"/>
      <c r="I113"/>
      <c r="J113"/>
      <c r="K113"/>
      <c r="L113"/>
      <c r="M113"/>
      <c r="N113"/>
      <c r="O113"/>
      <c r="P113"/>
      <c r="Q113"/>
    </row>
    <row r="114" spans="2:17" x14ac:dyDescent="0.25">
      <c r="B114"/>
      <c r="C114"/>
      <c r="D114"/>
      <c r="E114"/>
      <c r="F114"/>
      <c r="G114"/>
      <c r="H114"/>
      <c r="I114"/>
      <c r="J114"/>
      <c r="K114"/>
      <c r="L114"/>
      <c r="M114"/>
      <c r="N114"/>
      <c r="O114"/>
      <c r="P114"/>
      <c r="Q114"/>
    </row>
    <row r="115" spans="2:17" x14ac:dyDescent="0.25">
      <c r="B115"/>
      <c r="C115"/>
      <c r="D115"/>
      <c r="E115"/>
      <c r="F115"/>
      <c r="G115"/>
      <c r="H115"/>
      <c r="I115"/>
      <c r="J115"/>
      <c r="K115"/>
      <c r="L115"/>
      <c r="M115"/>
      <c r="N115"/>
      <c r="O115"/>
      <c r="P115"/>
      <c r="Q115"/>
    </row>
    <row r="116" spans="2:17" x14ac:dyDescent="0.25">
      <c r="B116"/>
      <c r="C116"/>
      <c r="D116"/>
      <c r="E116"/>
      <c r="F116"/>
      <c r="G116"/>
      <c r="H116"/>
      <c r="I116"/>
      <c r="J116"/>
      <c r="K116"/>
      <c r="L116"/>
      <c r="M116"/>
      <c r="N116"/>
      <c r="O116"/>
      <c r="P116"/>
      <c r="Q116"/>
    </row>
    <row r="117" spans="2:17" x14ac:dyDescent="0.25">
      <c r="B117"/>
      <c r="C117"/>
      <c r="D117"/>
      <c r="E117"/>
      <c r="F117"/>
      <c r="G117"/>
      <c r="H117"/>
      <c r="I117"/>
      <c r="J117"/>
      <c r="K117"/>
      <c r="L117"/>
      <c r="M117"/>
      <c r="N117"/>
      <c r="O117"/>
      <c r="P117"/>
      <c r="Q117"/>
    </row>
    <row r="118" spans="2:17" x14ac:dyDescent="0.25">
      <c r="B118"/>
      <c r="C118"/>
      <c r="D118"/>
      <c r="E118"/>
      <c r="F118"/>
      <c r="G118"/>
      <c r="H118"/>
      <c r="I118"/>
      <c r="J118"/>
      <c r="K118"/>
      <c r="L118"/>
      <c r="M118"/>
      <c r="N118"/>
      <c r="O118"/>
      <c r="P118"/>
      <c r="Q118"/>
    </row>
    <row r="119" spans="2:17" x14ac:dyDescent="0.25">
      <c r="B119"/>
      <c r="C119"/>
      <c r="D119"/>
      <c r="E119"/>
      <c r="F119"/>
      <c r="G119"/>
      <c r="H119"/>
      <c r="I119"/>
      <c r="J119"/>
      <c r="K119"/>
      <c r="L119"/>
      <c r="M119"/>
      <c r="N119"/>
      <c r="O119"/>
      <c r="P119"/>
      <c r="Q119"/>
    </row>
    <row r="120" spans="2:17" x14ac:dyDescent="0.25">
      <c r="B120"/>
      <c r="C120"/>
      <c r="D120"/>
      <c r="E120"/>
      <c r="F120"/>
      <c r="G120"/>
      <c r="H120"/>
      <c r="I120"/>
      <c r="J120"/>
      <c r="K120"/>
      <c r="L120"/>
      <c r="M120"/>
      <c r="N120"/>
      <c r="O120"/>
      <c r="P120"/>
      <c r="Q120"/>
    </row>
    <row r="121" spans="2:17" x14ac:dyDescent="0.25">
      <c r="B121"/>
      <c r="C121"/>
      <c r="D121"/>
      <c r="E121"/>
      <c r="F121"/>
      <c r="G121"/>
      <c r="H121"/>
      <c r="I121"/>
      <c r="J121"/>
      <c r="K121"/>
      <c r="L121"/>
      <c r="M121"/>
      <c r="N121"/>
      <c r="O121"/>
      <c r="P121"/>
      <c r="Q121"/>
    </row>
    <row r="122" spans="2:17" x14ac:dyDescent="0.25">
      <c r="B122"/>
      <c r="C122"/>
      <c r="D122"/>
      <c r="E122"/>
      <c r="F122"/>
      <c r="G122"/>
      <c r="H122"/>
      <c r="I122"/>
      <c r="J122"/>
      <c r="K122"/>
      <c r="L122"/>
      <c r="M122"/>
      <c r="N122"/>
      <c r="O122"/>
      <c r="P122"/>
      <c r="Q122"/>
    </row>
    <row r="123" spans="2:17" x14ac:dyDescent="0.25">
      <c r="B123"/>
      <c r="C123"/>
      <c r="D123"/>
      <c r="E123"/>
      <c r="F123"/>
      <c r="G123"/>
      <c r="H123"/>
      <c r="I123"/>
      <c r="J123"/>
      <c r="K123"/>
      <c r="L123"/>
      <c r="M123"/>
      <c r="N123"/>
      <c r="O123"/>
      <c r="P123"/>
      <c r="Q123"/>
    </row>
    <row r="124" spans="2:17" x14ac:dyDescent="0.25">
      <c r="B124"/>
      <c r="C124"/>
      <c r="D124"/>
      <c r="E124"/>
      <c r="F124"/>
      <c r="G124"/>
      <c r="H124"/>
      <c r="I124"/>
      <c r="J124"/>
      <c r="K124"/>
      <c r="L124"/>
      <c r="M124"/>
      <c r="N124"/>
      <c r="O124"/>
      <c r="P124"/>
      <c r="Q124"/>
    </row>
    <row r="125" spans="2:17" x14ac:dyDescent="0.25">
      <c r="B125"/>
      <c r="C125"/>
      <c r="D125"/>
      <c r="E125"/>
      <c r="F125"/>
      <c r="G125"/>
      <c r="H125"/>
      <c r="I125"/>
      <c r="J125"/>
      <c r="K125"/>
      <c r="L125"/>
      <c r="M125"/>
      <c r="N125"/>
      <c r="O125"/>
      <c r="P125"/>
      <c r="Q125"/>
    </row>
    <row r="126" spans="2:17" x14ac:dyDescent="0.25">
      <c r="B126"/>
      <c r="C126"/>
      <c r="D126"/>
      <c r="E126"/>
      <c r="F126"/>
      <c r="G126"/>
      <c r="H126"/>
      <c r="I126"/>
      <c r="J126"/>
      <c r="K126"/>
      <c r="L126"/>
      <c r="M126"/>
      <c r="N126"/>
      <c r="O126"/>
      <c r="P126"/>
      <c r="Q126"/>
    </row>
    <row r="127" spans="2:17" x14ac:dyDescent="0.25">
      <c r="B127"/>
      <c r="C127"/>
      <c r="D127"/>
      <c r="E127"/>
      <c r="F127"/>
      <c r="G127"/>
      <c r="H127"/>
      <c r="I127"/>
      <c r="J127"/>
      <c r="K127"/>
      <c r="L127"/>
      <c r="M127"/>
      <c r="N127"/>
      <c r="O127"/>
      <c r="P127"/>
      <c r="Q127"/>
    </row>
    <row r="128" spans="2:17" x14ac:dyDescent="0.25">
      <c r="B128"/>
      <c r="C128"/>
      <c r="D128"/>
      <c r="E128"/>
      <c r="F128"/>
      <c r="G128"/>
      <c r="H128"/>
      <c r="I128"/>
      <c r="J128"/>
      <c r="K128"/>
      <c r="L128"/>
      <c r="M128"/>
      <c r="N128"/>
      <c r="O128"/>
      <c r="P128"/>
      <c r="Q128"/>
    </row>
    <row r="129" spans="2:23" x14ac:dyDescent="0.25">
      <c r="B129"/>
      <c r="C129"/>
      <c r="D129"/>
      <c r="E129"/>
      <c r="F129"/>
      <c r="G129"/>
      <c r="H129"/>
      <c r="I129"/>
      <c r="J129"/>
      <c r="K129"/>
      <c r="L129"/>
      <c r="M129"/>
      <c r="N129"/>
      <c r="O129"/>
      <c r="P129"/>
      <c r="Q129"/>
    </row>
    <row r="130" spans="2:23" x14ac:dyDescent="0.25">
      <c r="B130"/>
      <c r="C130"/>
      <c r="D130"/>
      <c r="E130"/>
      <c r="F130"/>
      <c r="G130"/>
      <c r="H130"/>
      <c r="I130"/>
      <c r="J130"/>
      <c r="K130"/>
      <c r="L130"/>
      <c r="M130"/>
      <c r="N130"/>
      <c r="O130"/>
      <c r="P130"/>
      <c r="Q130"/>
    </row>
    <row r="131" spans="2:23" x14ac:dyDescent="0.25">
      <c r="B131"/>
      <c r="C131"/>
      <c r="D131"/>
      <c r="E131"/>
      <c r="F131"/>
      <c r="G131"/>
      <c r="H131"/>
      <c r="I131"/>
      <c r="J131"/>
      <c r="K131"/>
      <c r="L131"/>
      <c r="M131"/>
      <c r="N131"/>
      <c r="O131"/>
      <c r="P131"/>
      <c r="Q131"/>
    </row>
    <row r="132" spans="2:23" x14ac:dyDescent="0.25">
      <c r="B132"/>
      <c r="C132"/>
      <c r="D132"/>
      <c r="E132"/>
      <c r="F132"/>
      <c r="G132"/>
      <c r="H132"/>
      <c r="I132"/>
      <c r="J132"/>
      <c r="K132"/>
      <c r="L132"/>
      <c r="M132"/>
      <c r="N132"/>
      <c r="O132"/>
      <c r="P132"/>
      <c r="Q132"/>
      <c r="W132" s="275"/>
    </row>
    <row r="133" spans="2:23" x14ac:dyDescent="0.25">
      <c r="B133"/>
      <c r="C133"/>
      <c r="D133"/>
      <c r="E133"/>
      <c r="F133"/>
      <c r="G133"/>
      <c r="H133"/>
      <c r="I133"/>
      <c r="J133"/>
      <c r="K133"/>
      <c r="L133"/>
      <c r="M133"/>
      <c r="N133"/>
      <c r="O133"/>
      <c r="P133"/>
      <c r="Q133"/>
    </row>
    <row r="134" spans="2:23" x14ac:dyDescent="0.25">
      <c r="B134"/>
      <c r="C134"/>
      <c r="D134"/>
      <c r="E134"/>
      <c r="F134"/>
      <c r="G134"/>
      <c r="H134"/>
      <c r="I134"/>
      <c r="J134"/>
      <c r="K134"/>
      <c r="L134"/>
      <c r="M134"/>
      <c r="N134"/>
      <c r="O134"/>
      <c r="P134"/>
      <c r="Q134"/>
    </row>
    <row r="135" spans="2:23" x14ac:dyDescent="0.25">
      <c r="B135"/>
      <c r="C135"/>
      <c r="D135"/>
      <c r="E135"/>
      <c r="F135"/>
      <c r="G135"/>
      <c r="H135"/>
      <c r="I135"/>
      <c r="J135"/>
      <c r="K135"/>
      <c r="L135"/>
      <c r="M135"/>
      <c r="N135"/>
      <c r="O135"/>
      <c r="P135"/>
      <c r="Q135"/>
    </row>
    <row r="136" spans="2:23" x14ac:dyDescent="0.25">
      <c r="B136"/>
      <c r="C136"/>
      <c r="D136"/>
      <c r="E136"/>
      <c r="F136"/>
      <c r="G136"/>
      <c r="H136"/>
      <c r="I136"/>
      <c r="J136"/>
      <c r="K136"/>
      <c r="L136"/>
      <c r="M136"/>
      <c r="N136"/>
      <c r="O136"/>
      <c r="P136"/>
      <c r="Q136"/>
    </row>
    <row r="137" spans="2:23" x14ac:dyDescent="0.25">
      <c r="B137"/>
      <c r="C137"/>
      <c r="D137"/>
      <c r="E137"/>
      <c r="F137"/>
      <c r="G137"/>
      <c r="H137"/>
      <c r="I137"/>
      <c r="J137"/>
      <c r="K137"/>
      <c r="L137"/>
      <c r="M137"/>
      <c r="N137"/>
      <c r="O137"/>
      <c r="P137"/>
      <c r="Q137"/>
    </row>
    <row r="138" spans="2:23" x14ac:dyDescent="0.25">
      <c r="B138"/>
      <c r="C138"/>
      <c r="D138"/>
      <c r="E138"/>
      <c r="F138"/>
      <c r="G138"/>
      <c r="H138"/>
      <c r="I138"/>
      <c r="J138"/>
      <c r="K138"/>
      <c r="L138"/>
      <c r="M138"/>
      <c r="N138"/>
      <c r="O138"/>
      <c r="P138"/>
      <c r="Q138"/>
    </row>
    <row r="139" spans="2:23" x14ac:dyDescent="0.25">
      <c r="B139"/>
      <c r="C139"/>
      <c r="D139"/>
      <c r="E139"/>
      <c r="F139"/>
      <c r="G139"/>
      <c r="H139"/>
      <c r="I139"/>
      <c r="J139"/>
      <c r="K139"/>
      <c r="L139"/>
      <c r="M139"/>
      <c r="N139"/>
      <c r="O139"/>
      <c r="P139"/>
      <c r="Q139"/>
    </row>
    <row r="140" spans="2:23" x14ac:dyDescent="0.25">
      <c r="B140"/>
      <c r="C140"/>
      <c r="D140"/>
      <c r="E140"/>
      <c r="F140"/>
      <c r="G140"/>
      <c r="H140"/>
      <c r="I140"/>
      <c r="J140"/>
      <c r="K140"/>
      <c r="L140"/>
      <c r="M140"/>
      <c r="N140"/>
      <c r="O140"/>
      <c r="P140"/>
      <c r="Q140"/>
    </row>
    <row r="141" spans="2:23" x14ac:dyDescent="0.25">
      <c r="B141"/>
      <c r="C141"/>
      <c r="D141"/>
      <c r="E141"/>
      <c r="F141"/>
      <c r="G141"/>
      <c r="H141"/>
      <c r="I141"/>
      <c r="J141"/>
      <c r="K141"/>
      <c r="L141"/>
      <c r="M141"/>
      <c r="N141"/>
      <c r="O141"/>
      <c r="P141"/>
      <c r="Q141"/>
    </row>
    <row r="142" spans="2:23" x14ac:dyDescent="0.25">
      <c r="B142"/>
      <c r="C142"/>
      <c r="D142"/>
      <c r="E142"/>
      <c r="F142"/>
      <c r="G142"/>
      <c r="H142"/>
      <c r="I142"/>
      <c r="J142"/>
      <c r="K142"/>
      <c r="L142"/>
      <c r="M142"/>
      <c r="N142"/>
      <c r="O142"/>
      <c r="P142"/>
      <c r="Q142"/>
    </row>
    <row r="143" spans="2:23" x14ac:dyDescent="0.25">
      <c r="B143"/>
      <c r="C143"/>
      <c r="D143"/>
      <c r="E143"/>
      <c r="F143"/>
      <c r="G143"/>
      <c r="H143"/>
      <c r="I143"/>
      <c r="J143"/>
      <c r="K143"/>
      <c r="L143"/>
      <c r="M143"/>
      <c r="N143"/>
      <c r="O143"/>
      <c r="P143"/>
      <c r="Q143"/>
    </row>
    <row r="144" spans="2:23" x14ac:dyDescent="0.25">
      <c r="B144"/>
      <c r="C144"/>
      <c r="D144"/>
      <c r="E144"/>
      <c r="F144"/>
      <c r="G144"/>
      <c r="H144"/>
      <c r="I144"/>
      <c r="J144"/>
      <c r="K144"/>
      <c r="L144"/>
      <c r="M144"/>
      <c r="N144"/>
      <c r="O144"/>
      <c r="P144"/>
      <c r="Q144"/>
    </row>
    <row r="145" spans="2:17" x14ac:dyDescent="0.25">
      <c r="B145"/>
      <c r="C145"/>
      <c r="D145"/>
      <c r="E145"/>
      <c r="F145"/>
      <c r="G145"/>
      <c r="H145"/>
      <c r="I145"/>
      <c r="J145"/>
      <c r="K145"/>
      <c r="L145"/>
      <c r="M145"/>
      <c r="N145"/>
      <c r="O145"/>
      <c r="P145"/>
      <c r="Q145"/>
    </row>
    <row r="146" spans="2:17" x14ac:dyDescent="0.25">
      <c r="B146"/>
      <c r="C146"/>
      <c r="D146"/>
      <c r="E146"/>
      <c r="F146"/>
      <c r="G146"/>
      <c r="H146"/>
      <c r="I146"/>
      <c r="J146"/>
      <c r="K146"/>
      <c r="L146"/>
      <c r="M146"/>
      <c r="N146"/>
      <c r="O146"/>
      <c r="P146"/>
      <c r="Q146"/>
    </row>
    <row r="147" spans="2:17" x14ac:dyDescent="0.25">
      <c r="B147"/>
      <c r="C147"/>
      <c r="D147"/>
      <c r="E147"/>
      <c r="F147"/>
      <c r="G147"/>
      <c r="H147"/>
      <c r="I147"/>
      <c r="J147"/>
      <c r="K147"/>
      <c r="L147"/>
      <c r="M147"/>
      <c r="N147"/>
      <c r="O147"/>
      <c r="P147"/>
      <c r="Q147"/>
    </row>
    <row r="148" spans="2:17" x14ac:dyDescent="0.25">
      <c r="B148"/>
      <c r="C148"/>
      <c r="D148"/>
      <c r="E148"/>
      <c r="F148"/>
      <c r="G148"/>
      <c r="H148"/>
      <c r="I148"/>
      <c r="J148"/>
      <c r="K148"/>
      <c r="L148"/>
      <c r="M148"/>
      <c r="N148"/>
      <c r="O148"/>
      <c r="P148"/>
      <c r="Q148"/>
    </row>
    <row r="149" spans="2:17" x14ac:dyDescent="0.25">
      <c r="B149"/>
      <c r="C149"/>
      <c r="D149"/>
      <c r="E149"/>
      <c r="F149"/>
      <c r="G149"/>
      <c r="H149"/>
      <c r="I149"/>
      <c r="J149"/>
      <c r="K149"/>
      <c r="L149"/>
      <c r="M149"/>
      <c r="N149"/>
      <c r="O149"/>
      <c r="P149"/>
      <c r="Q149"/>
    </row>
    <row r="150" spans="2:17" x14ac:dyDescent="0.25">
      <c r="B150"/>
      <c r="C150"/>
      <c r="D150"/>
      <c r="E150"/>
      <c r="F150"/>
      <c r="G150"/>
      <c r="H150"/>
      <c r="I150"/>
      <c r="J150"/>
      <c r="K150"/>
      <c r="L150"/>
      <c r="M150"/>
      <c r="N150"/>
      <c r="O150"/>
      <c r="P150"/>
      <c r="Q150"/>
    </row>
    <row r="151" spans="2:17" x14ac:dyDescent="0.25">
      <c r="B151"/>
      <c r="C151"/>
      <c r="D151"/>
      <c r="E151"/>
      <c r="F151"/>
      <c r="G151"/>
      <c r="H151"/>
      <c r="I151"/>
      <c r="J151"/>
      <c r="K151"/>
      <c r="L151"/>
      <c r="M151"/>
      <c r="N151"/>
      <c r="O151"/>
      <c r="P151"/>
      <c r="Q151"/>
    </row>
    <row r="152" spans="2:17" x14ac:dyDescent="0.25">
      <c r="B152"/>
      <c r="C152"/>
      <c r="D152"/>
      <c r="E152"/>
      <c r="F152"/>
      <c r="G152"/>
      <c r="H152"/>
      <c r="I152"/>
      <c r="J152"/>
      <c r="K152"/>
      <c r="L152"/>
      <c r="M152"/>
      <c r="N152"/>
      <c r="O152"/>
      <c r="P152"/>
      <c r="Q152"/>
    </row>
    <row r="153" spans="2:17" x14ac:dyDescent="0.25">
      <c r="B153"/>
      <c r="C153"/>
      <c r="D153"/>
      <c r="E153"/>
      <c r="F153"/>
      <c r="G153"/>
      <c r="H153"/>
      <c r="I153"/>
      <c r="J153"/>
      <c r="K153"/>
      <c r="L153"/>
      <c r="M153"/>
      <c r="N153"/>
      <c r="O153"/>
      <c r="P153"/>
      <c r="Q153"/>
    </row>
    <row r="154" spans="2:17" x14ac:dyDescent="0.25">
      <c r="B154"/>
      <c r="C154"/>
      <c r="D154"/>
      <c r="E154"/>
      <c r="F154"/>
      <c r="G154"/>
      <c r="H154"/>
      <c r="I154"/>
      <c r="J154"/>
      <c r="K154"/>
      <c r="L154"/>
      <c r="M154"/>
      <c r="N154"/>
      <c r="O154"/>
      <c r="P154"/>
      <c r="Q154"/>
    </row>
    <row r="155" spans="2:17" x14ac:dyDescent="0.25">
      <c r="B155"/>
      <c r="C155"/>
      <c r="D155"/>
      <c r="E155"/>
      <c r="F155"/>
      <c r="G155"/>
      <c r="H155"/>
      <c r="I155"/>
      <c r="J155"/>
      <c r="K155"/>
      <c r="L155"/>
      <c r="M155"/>
      <c r="N155"/>
      <c r="O155"/>
      <c r="P155"/>
      <c r="Q155"/>
    </row>
    <row r="156" spans="2:17" x14ac:dyDescent="0.25">
      <c r="B156"/>
      <c r="C156"/>
      <c r="D156"/>
      <c r="E156"/>
      <c r="F156"/>
      <c r="G156"/>
      <c r="H156"/>
      <c r="I156"/>
      <c r="J156"/>
      <c r="K156"/>
      <c r="L156"/>
      <c r="M156"/>
      <c r="N156"/>
      <c r="O156"/>
      <c r="P156"/>
      <c r="Q156"/>
    </row>
    <row r="157" spans="2:17" x14ac:dyDescent="0.25">
      <c r="B157"/>
      <c r="C157"/>
      <c r="D157"/>
      <c r="E157"/>
      <c r="F157"/>
      <c r="G157"/>
      <c r="H157"/>
      <c r="I157"/>
      <c r="J157"/>
      <c r="K157"/>
      <c r="L157"/>
      <c r="M157"/>
      <c r="N157"/>
      <c r="O157"/>
      <c r="P157"/>
      <c r="Q157"/>
    </row>
    <row r="158" spans="2:17" x14ac:dyDescent="0.25">
      <c r="B158"/>
      <c r="C158"/>
      <c r="D158"/>
      <c r="E158"/>
      <c r="F158"/>
      <c r="G158"/>
      <c r="H158"/>
      <c r="I158"/>
      <c r="J158"/>
      <c r="K158"/>
      <c r="L158"/>
      <c r="M158"/>
      <c r="N158"/>
      <c r="O158"/>
      <c r="P158"/>
      <c r="Q158"/>
    </row>
    <row r="159" spans="2:17" x14ac:dyDescent="0.25">
      <c r="B159"/>
      <c r="C159"/>
      <c r="D159"/>
      <c r="E159"/>
      <c r="F159"/>
      <c r="G159"/>
      <c r="H159"/>
      <c r="I159"/>
      <c r="J159"/>
      <c r="K159"/>
      <c r="L159"/>
      <c r="M159"/>
      <c r="N159"/>
      <c r="O159"/>
      <c r="P159"/>
      <c r="Q159"/>
    </row>
    <row r="160" spans="2:17" x14ac:dyDescent="0.25">
      <c r="B160"/>
      <c r="C160"/>
      <c r="D160"/>
      <c r="E160"/>
      <c r="F160"/>
      <c r="G160"/>
      <c r="H160"/>
      <c r="I160"/>
      <c r="J160"/>
      <c r="K160"/>
      <c r="L160"/>
      <c r="M160"/>
      <c r="N160"/>
      <c r="O160"/>
      <c r="P160"/>
      <c r="Q160"/>
    </row>
    <row r="161" spans="2:17" x14ac:dyDescent="0.25">
      <c r="B161"/>
      <c r="C161"/>
      <c r="D161"/>
      <c r="E161"/>
      <c r="F161"/>
      <c r="G161"/>
      <c r="H161"/>
      <c r="I161"/>
      <c r="J161"/>
      <c r="K161"/>
      <c r="L161"/>
      <c r="M161"/>
      <c r="N161"/>
      <c r="O161"/>
      <c r="P161"/>
      <c r="Q161"/>
    </row>
    <row r="162" spans="2:17" x14ac:dyDescent="0.25">
      <c r="B162"/>
      <c r="C162"/>
      <c r="D162"/>
      <c r="E162"/>
      <c r="F162"/>
      <c r="G162"/>
      <c r="H162"/>
      <c r="I162"/>
      <c r="J162"/>
      <c r="K162"/>
      <c r="L162"/>
      <c r="M162"/>
      <c r="N162"/>
      <c r="O162"/>
      <c r="P162"/>
      <c r="Q162"/>
    </row>
    <row r="163" spans="2:17" x14ac:dyDescent="0.25">
      <c r="B163"/>
      <c r="C163"/>
      <c r="D163"/>
      <c r="E163"/>
      <c r="F163"/>
      <c r="G163"/>
      <c r="H163"/>
      <c r="I163"/>
      <c r="J163"/>
      <c r="K163"/>
      <c r="L163"/>
      <c r="M163"/>
      <c r="N163"/>
      <c r="O163"/>
      <c r="P163"/>
      <c r="Q163"/>
    </row>
    <row r="164" spans="2:17" x14ac:dyDescent="0.25">
      <c r="B164"/>
      <c r="C164"/>
      <c r="D164"/>
      <c r="E164"/>
      <c r="F164"/>
      <c r="G164"/>
      <c r="H164"/>
      <c r="I164"/>
      <c r="J164"/>
      <c r="K164"/>
      <c r="L164"/>
      <c r="M164"/>
      <c r="N164"/>
      <c r="O164"/>
      <c r="P164"/>
      <c r="Q164"/>
    </row>
    <row r="165" spans="2:17" x14ac:dyDescent="0.25">
      <c r="B165"/>
      <c r="C165"/>
      <c r="D165"/>
      <c r="E165"/>
      <c r="F165"/>
      <c r="G165"/>
      <c r="H165"/>
      <c r="I165"/>
      <c r="J165"/>
      <c r="K165"/>
      <c r="L165"/>
      <c r="M165"/>
      <c r="N165"/>
      <c r="O165"/>
      <c r="P165"/>
      <c r="Q165"/>
    </row>
    <row r="166" spans="2:17" x14ac:dyDescent="0.25">
      <c r="B166"/>
      <c r="C166"/>
      <c r="D166"/>
      <c r="E166"/>
      <c r="F166"/>
      <c r="G166"/>
      <c r="H166"/>
      <c r="I166"/>
      <c r="J166"/>
      <c r="K166"/>
      <c r="L166"/>
      <c r="M166"/>
      <c r="N166"/>
      <c r="O166"/>
      <c r="P166"/>
      <c r="Q166"/>
    </row>
    <row r="167" spans="2:17" x14ac:dyDescent="0.25">
      <c r="B167"/>
      <c r="C167"/>
      <c r="D167"/>
      <c r="E167"/>
      <c r="F167"/>
      <c r="G167"/>
      <c r="H167"/>
      <c r="I167"/>
      <c r="J167"/>
      <c r="K167"/>
      <c r="L167"/>
      <c r="M167"/>
      <c r="N167"/>
      <c r="O167"/>
      <c r="P167"/>
      <c r="Q167"/>
    </row>
    <row r="168" spans="2:17" x14ac:dyDescent="0.25">
      <c r="B168"/>
      <c r="C168"/>
      <c r="D168"/>
      <c r="E168"/>
      <c r="F168"/>
      <c r="G168"/>
      <c r="H168"/>
      <c r="I168"/>
      <c r="J168"/>
      <c r="K168"/>
      <c r="L168"/>
      <c r="M168"/>
      <c r="N168"/>
      <c r="O168"/>
      <c r="P168"/>
      <c r="Q168"/>
    </row>
    <row r="169" spans="2:17" x14ac:dyDescent="0.25">
      <c r="B169"/>
      <c r="C169"/>
      <c r="D169"/>
      <c r="E169"/>
      <c r="F169"/>
      <c r="G169"/>
      <c r="H169"/>
      <c r="I169"/>
      <c r="J169"/>
      <c r="K169"/>
      <c r="L169"/>
      <c r="M169"/>
      <c r="N169"/>
      <c r="O169"/>
      <c r="P169"/>
      <c r="Q169"/>
    </row>
    <row r="170" spans="2:17" x14ac:dyDescent="0.25">
      <c r="B170"/>
      <c r="C170"/>
      <c r="D170"/>
      <c r="E170"/>
      <c r="F170"/>
      <c r="G170"/>
      <c r="H170"/>
      <c r="I170"/>
      <c r="J170"/>
      <c r="K170"/>
      <c r="L170"/>
      <c r="M170"/>
      <c r="N170"/>
      <c r="O170"/>
      <c r="P170"/>
      <c r="Q170"/>
    </row>
    <row r="171" spans="2:17" x14ac:dyDescent="0.25">
      <c r="B171"/>
      <c r="C171"/>
      <c r="D171"/>
      <c r="E171"/>
      <c r="F171"/>
      <c r="G171"/>
      <c r="H171"/>
      <c r="I171"/>
      <c r="J171"/>
      <c r="K171"/>
      <c r="L171"/>
      <c r="M171"/>
      <c r="N171"/>
      <c r="O171"/>
      <c r="P171"/>
      <c r="Q171"/>
    </row>
    <row r="172" spans="2:17" x14ac:dyDescent="0.25">
      <c r="B172"/>
      <c r="C172"/>
      <c r="D172"/>
      <c r="E172"/>
      <c r="F172"/>
      <c r="G172"/>
      <c r="H172"/>
      <c r="I172"/>
      <c r="J172"/>
      <c r="K172"/>
      <c r="L172"/>
      <c r="M172"/>
      <c r="N172"/>
      <c r="O172"/>
      <c r="P172"/>
      <c r="Q172"/>
    </row>
    <row r="173" spans="2:17" x14ac:dyDescent="0.25">
      <c r="B173"/>
      <c r="C173"/>
      <c r="D173"/>
      <c r="E173"/>
      <c r="F173"/>
      <c r="G173"/>
      <c r="H173"/>
      <c r="I173"/>
      <c r="J173"/>
      <c r="K173"/>
      <c r="L173"/>
      <c r="M173"/>
      <c r="N173"/>
      <c r="O173"/>
      <c r="P173"/>
      <c r="Q173"/>
    </row>
    <row r="174" spans="2:17" x14ac:dyDescent="0.25">
      <c r="B174"/>
      <c r="C174"/>
      <c r="D174"/>
      <c r="E174"/>
      <c r="F174"/>
      <c r="G174"/>
      <c r="H174"/>
      <c r="I174"/>
      <c r="J174"/>
      <c r="K174"/>
      <c r="L174"/>
      <c r="M174"/>
      <c r="N174"/>
      <c r="O174"/>
      <c r="P174"/>
      <c r="Q174"/>
    </row>
    <row r="175" spans="2:17" x14ac:dyDescent="0.25">
      <c r="B175"/>
      <c r="C175"/>
      <c r="D175"/>
      <c r="E175"/>
      <c r="F175"/>
      <c r="G175"/>
      <c r="H175"/>
      <c r="I175"/>
      <c r="J175"/>
      <c r="K175"/>
      <c r="L175"/>
      <c r="M175"/>
      <c r="N175"/>
      <c r="O175"/>
      <c r="P175"/>
      <c r="Q175"/>
    </row>
    <row r="176" spans="2:17" x14ac:dyDescent="0.25">
      <c r="B176"/>
      <c r="C176"/>
      <c r="D176"/>
      <c r="E176"/>
      <c r="F176"/>
      <c r="G176"/>
      <c r="H176"/>
      <c r="I176"/>
      <c r="J176"/>
      <c r="K176"/>
      <c r="L176"/>
      <c r="M176"/>
      <c r="N176"/>
      <c r="O176"/>
      <c r="P176"/>
      <c r="Q176"/>
    </row>
    <row r="177" spans="2:17" x14ac:dyDescent="0.25">
      <c r="B177"/>
      <c r="C177"/>
      <c r="D177"/>
      <c r="E177"/>
      <c r="F177"/>
      <c r="G177"/>
      <c r="H177"/>
      <c r="I177"/>
      <c r="J177"/>
      <c r="K177"/>
      <c r="L177"/>
      <c r="M177"/>
      <c r="N177"/>
      <c r="O177"/>
      <c r="P177"/>
      <c r="Q177"/>
    </row>
    <row r="178" spans="2:17" x14ac:dyDescent="0.25">
      <c r="B178"/>
      <c r="C178"/>
      <c r="D178"/>
      <c r="E178"/>
      <c r="F178"/>
      <c r="G178"/>
      <c r="H178"/>
      <c r="I178"/>
      <c r="J178"/>
      <c r="K178"/>
      <c r="L178"/>
      <c r="M178"/>
      <c r="N178"/>
      <c r="O178"/>
      <c r="P178"/>
      <c r="Q178"/>
    </row>
    <row r="179" spans="2:17" x14ac:dyDescent="0.25">
      <c r="B179"/>
      <c r="C179"/>
      <c r="D179"/>
      <c r="E179"/>
      <c r="F179"/>
      <c r="G179"/>
      <c r="H179"/>
      <c r="I179"/>
      <c r="J179"/>
      <c r="K179"/>
      <c r="L179"/>
      <c r="M179"/>
      <c r="N179"/>
      <c r="O179"/>
      <c r="P179"/>
      <c r="Q179"/>
    </row>
    <row r="180" spans="2:17" x14ac:dyDescent="0.25">
      <c r="B180"/>
      <c r="C180"/>
      <c r="D180"/>
      <c r="E180"/>
      <c r="F180"/>
      <c r="G180"/>
      <c r="H180"/>
      <c r="I180"/>
      <c r="J180"/>
      <c r="K180"/>
      <c r="L180"/>
      <c r="M180"/>
      <c r="N180"/>
      <c r="O180"/>
      <c r="P180"/>
      <c r="Q180"/>
    </row>
    <row r="181" spans="2:17" x14ac:dyDescent="0.25">
      <c r="B181"/>
      <c r="C181"/>
      <c r="D181"/>
      <c r="E181"/>
      <c r="F181"/>
      <c r="G181"/>
      <c r="H181"/>
      <c r="I181"/>
      <c r="J181"/>
      <c r="K181"/>
      <c r="L181"/>
      <c r="M181"/>
      <c r="N181"/>
      <c r="O181"/>
      <c r="P181"/>
      <c r="Q181"/>
    </row>
    <row r="182" spans="2:17" x14ac:dyDescent="0.25">
      <c r="B182"/>
      <c r="C182"/>
      <c r="D182"/>
      <c r="E182"/>
      <c r="F182"/>
      <c r="G182"/>
      <c r="H182"/>
      <c r="I182"/>
      <c r="J182"/>
      <c r="K182"/>
      <c r="L182"/>
      <c r="M182"/>
      <c r="N182"/>
      <c r="O182"/>
      <c r="P182"/>
      <c r="Q182"/>
    </row>
    <row r="183" spans="2:17" x14ac:dyDescent="0.25">
      <c r="B183"/>
      <c r="C183"/>
      <c r="D183"/>
      <c r="E183"/>
      <c r="F183"/>
      <c r="G183"/>
      <c r="H183"/>
      <c r="I183"/>
      <c r="J183"/>
      <c r="K183"/>
      <c r="L183"/>
      <c r="M183"/>
      <c r="N183"/>
      <c r="O183"/>
      <c r="P183"/>
      <c r="Q183"/>
    </row>
    <row r="184" spans="2:17" x14ac:dyDescent="0.25">
      <c r="B184"/>
      <c r="C184"/>
      <c r="D184"/>
      <c r="E184"/>
      <c r="F184"/>
      <c r="G184"/>
      <c r="H184"/>
      <c r="I184"/>
      <c r="J184"/>
      <c r="K184"/>
      <c r="L184"/>
      <c r="M184"/>
      <c r="N184"/>
      <c r="O184"/>
      <c r="P184"/>
      <c r="Q184"/>
    </row>
    <row r="185" spans="2:17" x14ac:dyDescent="0.25">
      <c r="B185"/>
      <c r="C185"/>
      <c r="D185"/>
      <c r="E185"/>
      <c r="F185"/>
      <c r="G185"/>
      <c r="H185"/>
      <c r="I185"/>
      <c r="J185"/>
      <c r="K185"/>
      <c r="L185"/>
      <c r="M185"/>
      <c r="N185"/>
      <c r="O185"/>
      <c r="P185"/>
      <c r="Q185"/>
    </row>
    <row r="186" spans="2:17" x14ac:dyDescent="0.25">
      <c r="B186"/>
      <c r="C186"/>
      <c r="D186"/>
      <c r="E186"/>
      <c r="F186"/>
      <c r="G186"/>
      <c r="H186"/>
      <c r="I186"/>
      <c r="J186"/>
      <c r="K186"/>
      <c r="L186"/>
      <c r="M186"/>
      <c r="N186"/>
      <c r="O186"/>
      <c r="P186"/>
      <c r="Q186"/>
    </row>
    <row r="187" spans="2:17" x14ac:dyDescent="0.25">
      <c r="B187"/>
      <c r="C187"/>
      <c r="D187"/>
      <c r="E187"/>
      <c r="F187"/>
      <c r="G187"/>
      <c r="H187"/>
      <c r="I187"/>
      <c r="J187"/>
      <c r="K187"/>
      <c r="L187"/>
      <c r="M187"/>
      <c r="N187"/>
      <c r="O187"/>
      <c r="P187"/>
      <c r="Q187"/>
    </row>
    <row r="188" spans="2:17" x14ac:dyDescent="0.25">
      <c r="B188"/>
      <c r="C188"/>
      <c r="D188"/>
      <c r="E188"/>
      <c r="F188"/>
      <c r="G188"/>
      <c r="H188"/>
      <c r="I188"/>
      <c r="J188"/>
      <c r="K188"/>
      <c r="L188"/>
      <c r="M188"/>
      <c r="N188"/>
      <c r="O188"/>
      <c r="P188"/>
      <c r="Q188"/>
    </row>
    <row r="189" spans="2:17" x14ac:dyDescent="0.25">
      <c r="B189"/>
      <c r="C189"/>
      <c r="D189"/>
      <c r="E189"/>
      <c r="F189"/>
      <c r="G189"/>
      <c r="H189"/>
      <c r="I189"/>
      <c r="J189"/>
      <c r="K189"/>
      <c r="L189"/>
      <c r="M189"/>
      <c r="N189"/>
      <c r="O189"/>
      <c r="P189"/>
      <c r="Q189"/>
    </row>
    <row r="190" spans="2:17" x14ac:dyDescent="0.25">
      <c r="B190"/>
      <c r="C190"/>
      <c r="D190"/>
      <c r="E190"/>
      <c r="F190"/>
      <c r="G190"/>
      <c r="H190"/>
      <c r="I190"/>
      <c r="J190"/>
      <c r="K190"/>
      <c r="L190"/>
      <c r="M190"/>
      <c r="N190"/>
      <c r="O190"/>
      <c r="P190"/>
      <c r="Q190"/>
    </row>
    <row r="191" spans="2:17" x14ac:dyDescent="0.25">
      <c r="B191"/>
      <c r="C191"/>
      <c r="D191"/>
      <c r="E191"/>
      <c r="F191"/>
      <c r="G191"/>
      <c r="H191"/>
      <c r="I191"/>
      <c r="J191"/>
      <c r="K191"/>
      <c r="L191"/>
      <c r="M191"/>
      <c r="N191"/>
      <c r="O191"/>
      <c r="P191"/>
      <c r="Q191"/>
    </row>
    <row r="192" spans="2:17" x14ac:dyDescent="0.25">
      <c r="B192"/>
      <c r="C192"/>
      <c r="D192"/>
      <c r="E192"/>
      <c r="F192"/>
      <c r="G192"/>
      <c r="H192"/>
      <c r="I192"/>
      <c r="J192"/>
      <c r="K192"/>
      <c r="L192"/>
      <c r="M192"/>
      <c r="N192"/>
      <c r="O192"/>
      <c r="P192"/>
      <c r="Q192"/>
    </row>
    <row r="193" spans="2:17" x14ac:dyDescent="0.25">
      <c r="B193"/>
      <c r="C193"/>
      <c r="D193"/>
      <c r="E193"/>
      <c r="F193"/>
      <c r="G193"/>
      <c r="H193"/>
      <c r="I193"/>
      <c r="J193"/>
      <c r="K193"/>
      <c r="L193"/>
      <c r="M193"/>
      <c r="N193"/>
      <c r="O193"/>
      <c r="P193"/>
      <c r="Q193"/>
    </row>
    <row r="194" spans="2:17" x14ac:dyDescent="0.25">
      <c r="B194"/>
      <c r="C194"/>
      <c r="D194"/>
      <c r="E194"/>
      <c r="F194"/>
      <c r="G194"/>
      <c r="H194"/>
      <c r="I194"/>
      <c r="J194"/>
      <c r="K194"/>
      <c r="L194"/>
      <c r="M194"/>
      <c r="N194"/>
      <c r="O194"/>
      <c r="P194"/>
      <c r="Q194"/>
    </row>
    <row r="195" spans="2:17" x14ac:dyDescent="0.25">
      <c r="B195"/>
      <c r="C195"/>
      <c r="D195"/>
      <c r="E195"/>
      <c r="F195"/>
      <c r="G195"/>
      <c r="H195"/>
      <c r="I195"/>
      <c r="J195"/>
      <c r="K195"/>
      <c r="L195"/>
      <c r="M195"/>
      <c r="N195"/>
      <c r="O195"/>
      <c r="P195"/>
      <c r="Q195"/>
    </row>
    <row r="196" spans="2:17" x14ac:dyDescent="0.25">
      <c r="B196"/>
      <c r="C196"/>
      <c r="D196"/>
      <c r="E196"/>
      <c r="F196"/>
      <c r="G196"/>
      <c r="H196"/>
      <c r="I196"/>
      <c r="J196"/>
      <c r="K196"/>
      <c r="L196"/>
      <c r="M196"/>
      <c r="N196"/>
      <c r="O196"/>
      <c r="P196"/>
      <c r="Q196"/>
    </row>
    <row r="197" spans="2:17" x14ac:dyDescent="0.25">
      <c r="B197"/>
      <c r="C197"/>
      <c r="D197"/>
      <c r="E197"/>
      <c r="F197"/>
      <c r="G197"/>
      <c r="H197"/>
      <c r="I197"/>
      <c r="J197"/>
      <c r="K197"/>
      <c r="L197"/>
      <c r="M197"/>
      <c r="N197"/>
      <c r="O197"/>
      <c r="P197"/>
      <c r="Q197"/>
    </row>
    <row r="198" spans="2:17" x14ac:dyDescent="0.25">
      <c r="B198"/>
      <c r="C198"/>
      <c r="D198"/>
      <c r="E198"/>
      <c r="F198"/>
      <c r="G198"/>
      <c r="H198"/>
      <c r="I198"/>
      <c r="J198"/>
      <c r="K198"/>
      <c r="L198"/>
      <c r="M198"/>
      <c r="N198"/>
      <c r="O198"/>
      <c r="P198"/>
      <c r="Q198"/>
    </row>
    <row r="199" spans="2:17" x14ac:dyDescent="0.25">
      <c r="B199"/>
      <c r="C199"/>
      <c r="D199"/>
      <c r="E199"/>
      <c r="F199"/>
      <c r="G199"/>
      <c r="H199"/>
      <c r="I199"/>
      <c r="J199"/>
      <c r="K199"/>
      <c r="L199"/>
      <c r="M199"/>
      <c r="N199"/>
      <c r="O199"/>
      <c r="P199"/>
      <c r="Q199"/>
    </row>
    <row r="200" spans="2:17" x14ac:dyDescent="0.25">
      <c r="B200"/>
      <c r="C200"/>
      <c r="D200"/>
      <c r="E200"/>
      <c r="F200"/>
      <c r="G200"/>
      <c r="H200"/>
      <c r="I200"/>
      <c r="J200"/>
      <c r="K200"/>
      <c r="L200"/>
      <c r="M200"/>
      <c r="N200"/>
      <c r="O200"/>
      <c r="P200"/>
      <c r="Q200"/>
    </row>
    <row r="201" spans="2:17" x14ac:dyDescent="0.25">
      <c r="B201"/>
      <c r="C201"/>
      <c r="D201"/>
      <c r="E201"/>
      <c r="F201"/>
      <c r="G201"/>
      <c r="H201"/>
      <c r="I201"/>
      <c r="J201"/>
      <c r="K201"/>
      <c r="L201"/>
      <c r="M201"/>
      <c r="N201"/>
      <c r="O201"/>
      <c r="P201"/>
      <c r="Q201"/>
    </row>
    <row r="202" spans="2:17" x14ac:dyDescent="0.25">
      <c r="B202"/>
      <c r="C202"/>
      <c r="D202"/>
      <c r="E202"/>
      <c r="F202"/>
      <c r="G202"/>
      <c r="H202"/>
      <c r="I202"/>
      <c r="J202"/>
      <c r="K202"/>
      <c r="L202"/>
      <c r="M202"/>
      <c r="N202"/>
      <c r="O202"/>
      <c r="P202"/>
      <c r="Q202"/>
    </row>
    <row r="203" spans="2:17" x14ac:dyDescent="0.25">
      <c r="B203"/>
      <c r="C203"/>
      <c r="D203"/>
      <c r="E203"/>
      <c r="F203"/>
      <c r="G203"/>
      <c r="H203"/>
      <c r="I203"/>
      <c r="J203"/>
      <c r="K203"/>
      <c r="L203"/>
      <c r="M203"/>
      <c r="N203"/>
      <c r="O203"/>
      <c r="P203"/>
      <c r="Q203"/>
    </row>
    <row r="204" spans="2:17" x14ac:dyDescent="0.25">
      <c r="B204"/>
      <c r="C204"/>
      <c r="D204"/>
      <c r="E204"/>
      <c r="F204"/>
      <c r="G204"/>
      <c r="H204"/>
      <c r="I204"/>
      <c r="J204"/>
      <c r="K204"/>
      <c r="L204"/>
      <c r="M204"/>
      <c r="N204"/>
      <c r="O204"/>
      <c r="P204"/>
      <c r="Q204"/>
    </row>
    <row r="205" spans="2:17" x14ac:dyDescent="0.25">
      <c r="B205"/>
      <c r="C205"/>
      <c r="D205"/>
      <c r="E205"/>
      <c r="F205"/>
      <c r="G205"/>
      <c r="H205"/>
      <c r="I205"/>
      <c r="J205"/>
      <c r="K205"/>
      <c r="L205"/>
      <c r="M205"/>
      <c r="N205"/>
      <c r="O205"/>
      <c r="P205"/>
      <c r="Q205"/>
    </row>
    <row r="206" spans="2:17" x14ac:dyDescent="0.25">
      <c r="B206"/>
      <c r="C206"/>
      <c r="D206"/>
      <c r="E206"/>
      <c r="F206"/>
      <c r="G206"/>
      <c r="H206"/>
      <c r="I206"/>
      <c r="J206"/>
      <c r="K206"/>
      <c r="L206"/>
      <c r="M206"/>
      <c r="N206"/>
      <c r="O206"/>
      <c r="P206"/>
      <c r="Q206"/>
    </row>
    <row r="207" spans="2:17" x14ac:dyDescent="0.25">
      <c r="B207"/>
      <c r="C207"/>
      <c r="D207"/>
      <c r="E207"/>
      <c r="F207"/>
      <c r="G207"/>
      <c r="H207"/>
      <c r="I207"/>
      <c r="J207"/>
      <c r="K207"/>
      <c r="L207"/>
      <c r="M207"/>
      <c r="N207"/>
      <c r="O207"/>
      <c r="P207"/>
      <c r="Q207"/>
    </row>
    <row r="208" spans="2:17" x14ac:dyDescent="0.25">
      <c r="B208"/>
      <c r="C208"/>
      <c r="D208"/>
      <c r="E208"/>
      <c r="F208"/>
      <c r="G208"/>
      <c r="H208"/>
      <c r="I208"/>
      <c r="J208"/>
      <c r="K208"/>
      <c r="L208"/>
      <c r="M208"/>
      <c r="N208"/>
      <c r="O208"/>
      <c r="P208"/>
      <c r="Q208"/>
    </row>
    <row r="209" spans="2:17" x14ac:dyDescent="0.25">
      <c r="B209"/>
      <c r="C209"/>
      <c r="D209"/>
      <c r="E209"/>
      <c r="F209"/>
      <c r="G209"/>
      <c r="H209"/>
      <c r="I209"/>
      <c r="J209"/>
      <c r="K209"/>
      <c r="L209"/>
      <c r="M209"/>
      <c r="N209"/>
      <c r="O209"/>
      <c r="P209"/>
      <c r="Q209"/>
    </row>
    <row r="210" spans="2:17" x14ac:dyDescent="0.25">
      <c r="B210"/>
      <c r="C210"/>
      <c r="D210"/>
      <c r="E210"/>
      <c r="F210"/>
      <c r="G210"/>
      <c r="H210"/>
      <c r="I210"/>
      <c r="J210"/>
      <c r="K210"/>
      <c r="L210"/>
      <c r="M210"/>
      <c r="N210"/>
      <c r="O210"/>
      <c r="P210"/>
      <c r="Q210"/>
    </row>
    <row r="211" spans="2:17" x14ac:dyDescent="0.25">
      <c r="B211"/>
      <c r="C211"/>
      <c r="D211"/>
      <c r="E211"/>
      <c r="F211"/>
      <c r="G211"/>
      <c r="H211"/>
      <c r="I211"/>
      <c r="J211"/>
      <c r="K211"/>
      <c r="L211"/>
      <c r="M211"/>
      <c r="N211"/>
      <c r="O211"/>
      <c r="P211"/>
      <c r="Q211"/>
    </row>
    <row r="212" spans="2:17" x14ac:dyDescent="0.25">
      <c r="B212"/>
      <c r="C212"/>
      <c r="D212"/>
      <c r="E212"/>
      <c r="F212"/>
      <c r="G212"/>
      <c r="H212"/>
      <c r="I212"/>
      <c r="J212"/>
      <c r="K212"/>
      <c r="L212"/>
      <c r="M212"/>
      <c r="N212"/>
      <c r="O212"/>
      <c r="P212"/>
      <c r="Q212"/>
    </row>
    <row r="213" spans="2:17" x14ac:dyDescent="0.25">
      <c r="B213"/>
      <c r="C213"/>
      <c r="D213"/>
      <c r="E213"/>
      <c r="F213"/>
      <c r="G213"/>
      <c r="H213"/>
      <c r="I213"/>
      <c r="J213"/>
      <c r="K213"/>
      <c r="L213"/>
      <c r="M213"/>
      <c r="N213"/>
      <c r="O213"/>
      <c r="P213"/>
      <c r="Q213"/>
    </row>
    <row r="214" spans="2:17" x14ac:dyDescent="0.25">
      <c r="B214"/>
      <c r="C214"/>
      <c r="D214"/>
      <c r="E214"/>
      <c r="F214"/>
      <c r="G214"/>
      <c r="H214"/>
      <c r="I214"/>
      <c r="J214"/>
      <c r="K214"/>
      <c r="L214"/>
      <c r="M214"/>
      <c r="N214"/>
      <c r="O214"/>
      <c r="P214"/>
      <c r="Q214"/>
    </row>
    <row r="215" spans="2:17" x14ac:dyDescent="0.25">
      <c r="B215"/>
      <c r="C215"/>
      <c r="D215"/>
      <c r="E215"/>
      <c r="F215"/>
      <c r="G215"/>
      <c r="H215"/>
      <c r="I215"/>
      <c r="J215"/>
      <c r="K215"/>
      <c r="L215"/>
      <c r="M215"/>
      <c r="N215"/>
      <c r="O215"/>
      <c r="P215"/>
      <c r="Q215"/>
    </row>
    <row r="216" spans="2:17" x14ac:dyDescent="0.25">
      <c r="B216"/>
      <c r="C216"/>
      <c r="D216"/>
      <c r="E216"/>
      <c r="F216"/>
      <c r="G216"/>
      <c r="H216"/>
      <c r="I216"/>
      <c r="J216"/>
      <c r="K216"/>
      <c r="L216"/>
      <c r="M216"/>
      <c r="N216"/>
      <c r="O216"/>
      <c r="P216"/>
      <c r="Q216"/>
    </row>
    <row r="217" spans="2:17" x14ac:dyDescent="0.25">
      <c r="B217"/>
      <c r="C217"/>
      <c r="D217"/>
      <c r="E217"/>
      <c r="F217"/>
      <c r="G217"/>
      <c r="H217"/>
      <c r="I217"/>
      <c r="J217"/>
      <c r="K217"/>
      <c r="L217"/>
      <c r="M217"/>
      <c r="N217"/>
      <c r="O217"/>
      <c r="P217"/>
      <c r="Q217"/>
    </row>
    <row r="218" spans="2:17" x14ac:dyDescent="0.25">
      <c r="B218"/>
      <c r="C218"/>
      <c r="D218"/>
      <c r="E218"/>
      <c r="F218"/>
      <c r="G218"/>
      <c r="H218"/>
      <c r="I218"/>
      <c r="J218"/>
      <c r="K218"/>
      <c r="L218"/>
      <c r="M218"/>
      <c r="N218"/>
      <c r="O218"/>
      <c r="P218"/>
      <c r="Q218"/>
    </row>
    <row r="219" spans="2:17" x14ac:dyDescent="0.25">
      <c r="B219"/>
      <c r="C219"/>
      <c r="D219"/>
      <c r="E219"/>
      <c r="F219"/>
      <c r="G219"/>
      <c r="H219"/>
      <c r="I219"/>
      <c r="J219"/>
      <c r="K219"/>
      <c r="L219"/>
      <c r="M219"/>
      <c r="N219"/>
      <c r="O219"/>
      <c r="P219"/>
      <c r="Q219"/>
    </row>
    <row r="220" spans="2:17" x14ac:dyDescent="0.25">
      <c r="B220"/>
      <c r="C220"/>
      <c r="D220"/>
      <c r="E220"/>
      <c r="F220"/>
      <c r="G220"/>
      <c r="H220"/>
      <c r="I220"/>
      <c r="J220"/>
      <c r="K220"/>
      <c r="L220"/>
      <c r="M220"/>
      <c r="N220"/>
      <c r="O220"/>
      <c r="P220"/>
      <c r="Q220"/>
    </row>
    <row r="221" spans="2:17" x14ac:dyDescent="0.25">
      <c r="B221"/>
      <c r="C221"/>
      <c r="D221"/>
      <c r="E221"/>
      <c r="F221"/>
      <c r="G221"/>
      <c r="H221"/>
      <c r="I221"/>
      <c r="J221"/>
      <c r="K221"/>
      <c r="L221"/>
      <c r="M221"/>
      <c r="N221"/>
      <c r="O221"/>
      <c r="P221"/>
      <c r="Q221"/>
    </row>
    <row r="222" spans="2:17" x14ac:dyDescent="0.25">
      <c r="B222"/>
      <c r="C222"/>
      <c r="D222"/>
      <c r="E222"/>
      <c r="F222"/>
      <c r="G222"/>
      <c r="H222"/>
      <c r="I222"/>
      <c r="J222"/>
      <c r="K222"/>
      <c r="L222"/>
      <c r="M222"/>
      <c r="N222"/>
      <c r="O222"/>
      <c r="P222"/>
      <c r="Q222"/>
    </row>
    <row r="223" spans="2:17" x14ac:dyDescent="0.25">
      <c r="B223"/>
      <c r="C223"/>
      <c r="D223"/>
      <c r="E223"/>
      <c r="F223"/>
      <c r="G223"/>
      <c r="H223"/>
      <c r="I223"/>
      <c r="J223"/>
      <c r="K223"/>
      <c r="L223"/>
      <c r="M223"/>
      <c r="N223"/>
      <c r="O223"/>
      <c r="P223"/>
      <c r="Q223"/>
    </row>
    <row r="224" spans="2:17" x14ac:dyDescent="0.25">
      <c r="B224"/>
      <c r="C224"/>
      <c r="D224"/>
      <c r="E224"/>
      <c r="F224"/>
      <c r="G224"/>
      <c r="H224"/>
      <c r="I224"/>
      <c r="J224"/>
      <c r="K224"/>
      <c r="L224"/>
      <c r="M224"/>
      <c r="N224"/>
      <c r="O224"/>
      <c r="P224"/>
      <c r="Q224"/>
    </row>
    <row r="225" spans="2:17" x14ac:dyDescent="0.25">
      <c r="B225"/>
      <c r="C225"/>
      <c r="D225"/>
      <c r="E225"/>
      <c r="F225"/>
      <c r="G225"/>
      <c r="H225"/>
      <c r="I225"/>
      <c r="J225"/>
      <c r="K225"/>
      <c r="L225"/>
      <c r="M225"/>
      <c r="N225"/>
      <c r="O225"/>
      <c r="P225"/>
      <c r="Q225"/>
    </row>
    <row r="226" spans="2:17" x14ac:dyDescent="0.25">
      <c r="B226"/>
      <c r="C226"/>
      <c r="D226"/>
      <c r="E226"/>
      <c r="F226"/>
      <c r="G226"/>
      <c r="H226"/>
      <c r="I226"/>
      <c r="J226"/>
      <c r="K226"/>
      <c r="L226"/>
      <c r="M226"/>
      <c r="N226"/>
      <c r="O226"/>
      <c r="P226"/>
      <c r="Q226"/>
    </row>
    <row r="227" spans="2:17" x14ac:dyDescent="0.25">
      <c r="B227"/>
      <c r="C227"/>
      <c r="D227"/>
      <c r="E227"/>
      <c r="F227"/>
      <c r="G227"/>
      <c r="H227"/>
      <c r="I227"/>
      <c r="J227"/>
      <c r="K227"/>
      <c r="L227"/>
      <c r="M227"/>
      <c r="N227"/>
      <c r="O227"/>
      <c r="P227"/>
      <c r="Q227"/>
    </row>
    <row r="228" spans="2:17" x14ac:dyDescent="0.25">
      <c r="B228"/>
      <c r="C228"/>
      <c r="D228"/>
      <c r="E228"/>
      <c r="F228"/>
      <c r="G228"/>
      <c r="H228"/>
      <c r="I228"/>
      <c r="J228"/>
      <c r="K228"/>
      <c r="L228"/>
      <c r="M228"/>
      <c r="N228"/>
      <c r="O228"/>
      <c r="P228"/>
      <c r="Q228"/>
    </row>
    <row r="229" spans="2:17" x14ac:dyDescent="0.25">
      <c r="B229"/>
      <c r="C229"/>
      <c r="D229"/>
      <c r="E229"/>
      <c r="F229"/>
      <c r="G229"/>
      <c r="H229"/>
      <c r="I229"/>
      <c r="J229"/>
      <c r="K229"/>
      <c r="L229"/>
      <c r="M229"/>
      <c r="N229"/>
      <c r="O229"/>
      <c r="P229"/>
      <c r="Q229"/>
    </row>
    <row r="230" spans="2:17" x14ac:dyDescent="0.25">
      <c r="B230"/>
      <c r="C230"/>
      <c r="D230"/>
      <c r="E230"/>
      <c r="F230"/>
      <c r="G230"/>
      <c r="H230"/>
      <c r="I230"/>
      <c r="J230"/>
      <c r="K230"/>
      <c r="L230"/>
      <c r="M230"/>
      <c r="N230"/>
      <c r="O230"/>
      <c r="P230"/>
      <c r="Q230"/>
    </row>
    <row r="231" spans="2:17" x14ac:dyDescent="0.25">
      <c r="B231"/>
      <c r="C231"/>
      <c r="D231"/>
      <c r="E231"/>
      <c r="F231"/>
      <c r="G231"/>
      <c r="H231"/>
      <c r="I231"/>
      <c r="J231"/>
      <c r="K231"/>
      <c r="L231"/>
      <c r="M231"/>
      <c r="N231"/>
      <c r="O231"/>
      <c r="P231"/>
      <c r="Q231"/>
    </row>
    <row r="232" spans="2:17" x14ac:dyDescent="0.25">
      <c r="B232"/>
      <c r="C232"/>
      <c r="D232"/>
      <c r="E232"/>
      <c r="F232"/>
      <c r="G232"/>
      <c r="H232"/>
      <c r="I232"/>
      <c r="J232"/>
      <c r="K232"/>
      <c r="L232"/>
      <c r="M232"/>
      <c r="N232"/>
      <c r="O232"/>
      <c r="P232"/>
      <c r="Q232"/>
    </row>
    <row r="233" spans="2:17" x14ac:dyDescent="0.25">
      <c r="B233"/>
      <c r="C233"/>
      <c r="D233"/>
      <c r="E233"/>
      <c r="F233"/>
      <c r="G233"/>
      <c r="H233"/>
      <c r="I233"/>
      <c r="J233"/>
      <c r="K233"/>
      <c r="L233"/>
      <c r="M233"/>
      <c r="N233"/>
      <c r="O233"/>
      <c r="P233"/>
      <c r="Q233"/>
    </row>
    <row r="234" spans="2:17" x14ac:dyDescent="0.25">
      <c r="B234"/>
      <c r="C234"/>
      <c r="D234"/>
      <c r="E234"/>
      <c r="F234"/>
      <c r="G234"/>
      <c r="H234"/>
      <c r="I234"/>
      <c r="J234"/>
      <c r="K234"/>
      <c r="L234"/>
      <c r="M234"/>
      <c r="N234"/>
      <c r="O234"/>
      <c r="P234"/>
      <c r="Q234"/>
    </row>
    <row r="235" spans="2:17" x14ac:dyDescent="0.25">
      <c r="B235"/>
      <c r="C235"/>
      <c r="D235"/>
      <c r="E235"/>
      <c r="F235"/>
      <c r="G235"/>
      <c r="H235"/>
      <c r="I235"/>
      <c r="J235"/>
      <c r="K235"/>
      <c r="L235"/>
      <c r="M235"/>
      <c r="N235"/>
      <c r="O235"/>
      <c r="P235"/>
      <c r="Q235"/>
    </row>
    <row r="236" spans="2:17" x14ac:dyDescent="0.25">
      <c r="B236"/>
      <c r="C236"/>
      <c r="D236"/>
      <c r="E236"/>
      <c r="F236"/>
      <c r="G236"/>
      <c r="H236"/>
      <c r="I236"/>
      <c r="J236"/>
      <c r="K236"/>
      <c r="L236"/>
      <c r="M236"/>
      <c r="N236"/>
      <c r="O236"/>
      <c r="P236"/>
      <c r="Q236"/>
    </row>
    <row r="237" spans="2:17" x14ac:dyDescent="0.25">
      <c r="B237"/>
      <c r="C237"/>
      <c r="D237"/>
      <c r="E237"/>
      <c r="F237"/>
      <c r="G237"/>
      <c r="H237"/>
      <c r="I237"/>
      <c r="J237"/>
      <c r="K237"/>
      <c r="L237"/>
      <c r="M237"/>
      <c r="N237"/>
      <c r="O237"/>
      <c r="P237"/>
      <c r="Q237"/>
    </row>
    <row r="238" spans="2:17" x14ac:dyDescent="0.25">
      <c r="B238"/>
      <c r="C238"/>
      <c r="D238"/>
      <c r="E238"/>
      <c r="F238"/>
      <c r="G238"/>
      <c r="H238"/>
      <c r="I238"/>
      <c r="J238"/>
      <c r="K238"/>
      <c r="L238"/>
      <c r="M238"/>
      <c r="N238"/>
      <c r="O238"/>
      <c r="P238"/>
      <c r="Q238"/>
    </row>
    <row r="239" spans="2:17" x14ac:dyDescent="0.25">
      <c r="B239"/>
      <c r="C239"/>
      <c r="D239"/>
      <c r="E239"/>
      <c r="F239"/>
      <c r="G239"/>
      <c r="H239"/>
      <c r="I239"/>
      <c r="J239"/>
      <c r="K239"/>
      <c r="L239"/>
      <c r="M239"/>
      <c r="N239"/>
      <c r="O239"/>
      <c r="P239"/>
      <c r="Q239"/>
    </row>
    <row r="240" spans="2:17" x14ac:dyDescent="0.25">
      <c r="B240"/>
      <c r="C240"/>
      <c r="D240"/>
      <c r="E240"/>
      <c r="F240"/>
      <c r="G240"/>
      <c r="H240"/>
      <c r="I240"/>
      <c r="J240"/>
      <c r="K240"/>
      <c r="L240"/>
      <c r="M240"/>
      <c r="N240"/>
      <c r="O240"/>
      <c r="P240"/>
      <c r="Q240"/>
    </row>
    <row r="241" spans="2:17" x14ac:dyDescent="0.25">
      <c r="B241"/>
      <c r="C241"/>
      <c r="D241"/>
      <c r="E241"/>
      <c r="F241"/>
      <c r="G241"/>
      <c r="H241"/>
      <c r="I241"/>
      <c r="J241"/>
      <c r="K241"/>
      <c r="L241"/>
      <c r="M241"/>
      <c r="N241"/>
      <c r="O241"/>
      <c r="P241"/>
      <c r="Q241"/>
    </row>
    <row r="242" spans="2:17" x14ac:dyDescent="0.25">
      <c r="B242"/>
      <c r="C242"/>
      <c r="D242"/>
      <c r="E242"/>
      <c r="F242"/>
      <c r="G242"/>
      <c r="H242"/>
      <c r="I242"/>
      <c r="J242"/>
      <c r="K242"/>
      <c r="L242"/>
      <c r="M242"/>
      <c r="N242"/>
      <c r="O242"/>
      <c r="P242"/>
      <c r="Q242"/>
    </row>
    <row r="243" spans="2:17" x14ac:dyDescent="0.25">
      <c r="B243"/>
      <c r="C243"/>
      <c r="D243"/>
      <c r="E243"/>
      <c r="F243"/>
      <c r="G243"/>
      <c r="H243"/>
      <c r="I243"/>
      <c r="J243"/>
      <c r="K243"/>
      <c r="L243"/>
      <c r="M243"/>
      <c r="N243"/>
      <c r="O243"/>
      <c r="P243"/>
      <c r="Q243"/>
    </row>
    <row r="244" spans="2:17" x14ac:dyDescent="0.25">
      <c r="B244"/>
      <c r="C244"/>
      <c r="D244"/>
      <c r="E244"/>
      <c r="F244"/>
      <c r="G244"/>
      <c r="H244"/>
      <c r="I244"/>
      <c r="J244"/>
      <c r="K244"/>
      <c r="L244"/>
      <c r="M244"/>
      <c r="N244"/>
      <c r="O244"/>
      <c r="P244"/>
      <c r="Q244"/>
    </row>
    <row r="245" spans="2:17" x14ac:dyDescent="0.25">
      <c r="B245"/>
      <c r="C245"/>
      <c r="D245"/>
      <c r="E245"/>
      <c r="F245"/>
      <c r="G245"/>
      <c r="H245"/>
      <c r="I245"/>
      <c r="J245"/>
      <c r="K245"/>
      <c r="L245"/>
      <c r="M245"/>
      <c r="N245"/>
      <c r="O245"/>
      <c r="P245"/>
      <c r="Q245"/>
    </row>
    <row r="246" spans="2:17" x14ac:dyDescent="0.25">
      <c r="B246"/>
      <c r="C246"/>
      <c r="D246"/>
      <c r="E246"/>
      <c r="F246"/>
      <c r="G246"/>
      <c r="H246"/>
      <c r="I246"/>
      <c r="J246"/>
      <c r="K246"/>
      <c r="L246"/>
      <c r="M246"/>
      <c r="N246"/>
      <c r="O246"/>
      <c r="P246"/>
      <c r="Q246"/>
    </row>
    <row r="247" spans="2:17" x14ac:dyDescent="0.25">
      <c r="B247"/>
      <c r="C247"/>
      <c r="D247"/>
      <c r="E247"/>
      <c r="F247"/>
      <c r="G247"/>
      <c r="H247"/>
      <c r="I247"/>
      <c r="J247"/>
      <c r="K247"/>
      <c r="L247"/>
      <c r="M247"/>
      <c r="N247"/>
      <c r="O247"/>
      <c r="P247"/>
      <c r="Q247"/>
    </row>
    <row r="248" spans="2:17" x14ac:dyDescent="0.25">
      <c r="B248"/>
      <c r="C248"/>
      <c r="D248"/>
      <c r="E248"/>
      <c r="F248"/>
      <c r="G248"/>
      <c r="H248"/>
      <c r="I248"/>
      <c r="J248"/>
      <c r="K248"/>
      <c r="L248"/>
      <c r="M248"/>
      <c r="N248"/>
      <c r="O248"/>
      <c r="P248"/>
      <c r="Q248"/>
    </row>
    <row r="249" spans="2:17" x14ac:dyDescent="0.25">
      <c r="B249"/>
      <c r="C249"/>
      <c r="D249"/>
      <c r="E249"/>
      <c r="F249"/>
      <c r="G249"/>
      <c r="H249"/>
      <c r="I249"/>
      <c r="J249"/>
      <c r="K249"/>
      <c r="L249"/>
      <c r="M249"/>
      <c r="N249"/>
      <c r="O249"/>
      <c r="P249"/>
      <c r="Q249"/>
    </row>
    <row r="250" spans="2:17" x14ac:dyDescent="0.25">
      <c r="B250"/>
      <c r="C250"/>
      <c r="D250"/>
      <c r="E250"/>
      <c r="F250"/>
      <c r="G250"/>
      <c r="H250"/>
      <c r="I250"/>
      <c r="J250"/>
      <c r="K250"/>
      <c r="L250"/>
      <c r="M250"/>
      <c r="N250"/>
      <c r="O250"/>
      <c r="P250"/>
      <c r="Q250"/>
    </row>
    <row r="251" spans="2:17" x14ac:dyDescent="0.25">
      <c r="B251"/>
      <c r="C251"/>
      <c r="D251"/>
      <c r="E251"/>
      <c r="F251"/>
      <c r="G251"/>
      <c r="H251"/>
      <c r="I251"/>
      <c r="J251"/>
      <c r="K251"/>
      <c r="L251"/>
      <c r="M251"/>
      <c r="N251"/>
      <c r="O251"/>
      <c r="P251"/>
      <c r="Q251"/>
    </row>
    <row r="252" spans="2:17" x14ac:dyDescent="0.25">
      <c r="B252"/>
      <c r="C252"/>
      <c r="D252"/>
      <c r="E252"/>
      <c r="F252"/>
      <c r="G252"/>
      <c r="H252"/>
      <c r="I252"/>
      <c r="J252"/>
      <c r="K252"/>
      <c r="L252"/>
      <c r="M252"/>
      <c r="N252"/>
      <c r="O252"/>
      <c r="P252"/>
      <c r="Q252"/>
    </row>
    <row r="253" spans="2:17" x14ac:dyDescent="0.25">
      <c r="B253"/>
      <c r="C253"/>
      <c r="D253"/>
      <c r="E253"/>
      <c r="F253"/>
      <c r="G253"/>
      <c r="H253"/>
      <c r="I253"/>
      <c r="J253"/>
      <c r="K253"/>
      <c r="L253"/>
      <c r="M253"/>
      <c r="N253"/>
      <c r="O253"/>
      <c r="P253"/>
      <c r="Q253"/>
    </row>
    <row r="254" spans="2:17" x14ac:dyDescent="0.25">
      <c r="B254"/>
      <c r="C254"/>
      <c r="D254"/>
      <c r="E254"/>
      <c r="F254"/>
      <c r="G254"/>
      <c r="H254"/>
      <c r="I254"/>
      <c r="J254"/>
      <c r="K254"/>
      <c r="L254"/>
      <c r="M254"/>
      <c r="N254"/>
      <c r="O254"/>
      <c r="P254"/>
      <c r="Q254"/>
    </row>
    <row r="255" spans="2:17" x14ac:dyDescent="0.25">
      <c r="B255"/>
      <c r="C255"/>
      <c r="D255"/>
      <c r="E255"/>
      <c r="F255"/>
      <c r="G255"/>
      <c r="H255"/>
      <c r="I255"/>
      <c r="J255"/>
      <c r="K255"/>
      <c r="L255"/>
      <c r="M255"/>
      <c r="N255"/>
      <c r="O255"/>
      <c r="P255"/>
      <c r="Q255"/>
    </row>
    <row r="256" spans="2:17" x14ac:dyDescent="0.25">
      <c r="B256"/>
      <c r="C256"/>
      <c r="D256"/>
      <c r="E256"/>
      <c r="F256"/>
      <c r="G256"/>
      <c r="H256"/>
      <c r="I256"/>
      <c r="J256"/>
      <c r="K256"/>
      <c r="L256"/>
      <c r="M256"/>
      <c r="N256"/>
      <c r="O256"/>
      <c r="P256"/>
      <c r="Q256"/>
    </row>
    <row r="257" spans="2:17" x14ac:dyDescent="0.25">
      <c r="B257"/>
      <c r="C257"/>
      <c r="D257"/>
      <c r="E257"/>
      <c r="F257"/>
      <c r="G257"/>
      <c r="H257"/>
      <c r="I257"/>
      <c r="J257"/>
      <c r="K257"/>
      <c r="L257"/>
      <c r="M257"/>
      <c r="N257"/>
      <c r="O257"/>
      <c r="P257"/>
      <c r="Q257"/>
    </row>
    <row r="258" spans="2:17" x14ac:dyDescent="0.25">
      <c r="B258"/>
      <c r="C258"/>
      <c r="D258"/>
      <c r="E258"/>
      <c r="F258"/>
      <c r="G258"/>
      <c r="H258"/>
      <c r="I258"/>
      <c r="J258"/>
      <c r="K258"/>
      <c r="L258"/>
      <c r="M258"/>
      <c r="N258"/>
      <c r="O258"/>
      <c r="P258"/>
      <c r="Q258"/>
    </row>
    <row r="259" spans="2:17" x14ac:dyDescent="0.25">
      <c r="B259"/>
      <c r="C259"/>
      <c r="D259"/>
      <c r="E259"/>
      <c r="F259"/>
      <c r="G259"/>
      <c r="H259"/>
      <c r="I259"/>
      <c r="J259"/>
      <c r="K259"/>
      <c r="L259"/>
      <c r="M259"/>
      <c r="N259"/>
      <c r="O259"/>
      <c r="P259"/>
      <c r="Q259"/>
    </row>
    <row r="260" spans="2:17" x14ac:dyDescent="0.25">
      <c r="B260"/>
      <c r="C260"/>
      <c r="D260"/>
      <c r="E260"/>
      <c r="F260"/>
      <c r="G260"/>
      <c r="H260"/>
      <c r="I260"/>
      <c r="J260"/>
      <c r="K260"/>
      <c r="L260"/>
      <c r="M260"/>
      <c r="N260"/>
      <c r="O260"/>
      <c r="P260"/>
      <c r="Q260"/>
    </row>
    <row r="261" spans="2:17" x14ac:dyDescent="0.25">
      <c r="B261"/>
      <c r="C261"/>
      <c r="D261"/>
      <c r="E261"/>
      <c r="F261"/>
      <c r="G261"/>
      <c r="H261"/>
      <c r="I261"/>
      <c r="J261"/>
      <c r="K261"/>
      <c r="L261"/>
      <c r="M261"/>
      <c r="N261"/>
      <c r="O261"/>
      <c r="P261"/>
      <c r="Q261"/>
    </row>
    <row r="262" spans="2:17" x14ac:dyDescent="0.25">
      <c r="B262"/>
      <c r="C262"/>
      <c r="D262"/>
      <c r="E262"/>
      <c r="F262"/>
      <c r="G262"/>
      <c r="H262"/>
      <c r="I262"/>
      <c r="J262"/>
      <c r="K262"/>
      <c r="L262"/>
      <c r="M262"/>
      <c r="N262"/>
      <c r="O262"/>
      <c r="P262"/>
      <c r="Q262"/>
    </row>
    <row r="263" spans="2:17" x14ac:dyDescent="0.25">
      <c r="B263"/>
      <c r="C263"/>
      <c r="D263"/>
      <c r="E263"/>
      <c r="F263"/>
      <c r="G263"/>
      <c r="H263"/>
      <c r="I263"/>
      <c r="J263"/>
      <c r="K263"/>
      <c r="L263"/>
      <c r="M263"/>
      <c r="N263"/>
      <c r="O263"/>
      <c r="P263"/>
      <c r="Q263"/>
    </row>
    <row r="264" spans="2:17" x14ac:dyDescent="0.25">
      <c r="B264"/>
      <c r="C264"/>
      <c r="D264"/>
      <c r="E264"/>
      <c r="F264"/>
      <c r="G264"/>
      <c r="H264"/>
      <c r="I264"/>
      <c r="J264"/>
      <c r="K264"/>
      <c r="L264"/>
      <c r="M264"/>
      <c r="N264"/>
      <c r="O264"/>
      <c r="P264"/>
      <c r="Q264"/>
    </row>
    <row r="265" spans="2:17" x14ac:dyDescent="0.25">
      <c r="B265"/>
      <c r="C265"/>
      <c r="D265"/>
      <c r="E265"/>
      <c r="F265"/>
      <c r="G265"/>
      <c r="H265"/>
      <c r="I265"/>
      <c r="J265"/>
      <c r="K265"/>
      <c r="L265"/>
      <c r="M265"/>
      <c r="N265"/>
      <c r="O265"/>
      <c r="P265"/>
      <c r="Q265"/>
    </row>
    <row r="266" spans="2:17" x14ac:dyDescent="0.25">
      <c r="B266"/>
      <c r="C266"/>
      <c r="D266"/>
      <c r="E266"/>
      <c r="F266"/>
      <c r="G266"/>
      <c r="H266"/>
      <c r="I266"/>
      <c r="J266"/>
      <c r="K266"/>
      <c r="L266"/>
      <c r="M266"/>
      <c r="N266"/>
      <c r="O266"/>
      <c r="P266"/>
      <c r="Q266"/>
    </row>
    <row r="267" spans="2:17" x14ac:dyDescent="0.25">
      <c r="B267"/>
      <c r="C267"/>
      <c r="D267"/>
      <c r="E267"/>
      <c r="F267"/>
      <c r="G267"/>
      <c r="H267"/>
      <c r="I267"/>
      <c r="J267"/>
      <c r="K267"/>
      <c r="L267"/>
      <c r="M267"/>
      <c r="N267"/>
      <c r="O267"/>
      <c r="P267"/>
      <c r="Q267"/>
    </row>
    <row r="268" spans="2:17" x14ac:dyDescent="0.25">
      <c r="B268"/>
      <c r="C268"/>
      <c r="D268"/>
      <c r="E268"/>
      <c r="F268"/>
      <c r="G268"/>
      <c r="H268"/>
      <c r="I268"/>
      <c r="J268"/>
      <c r="K268"/>
      <c r="L268"/>
      <c r="M268"/>
      <c r="N268"/>
      <c r="O268"/>
      <c r="P268"/>
      <c r="Q268"/>
    </row>
    <row r="269" spans="2:17" x14ac:dyDescent="0.25">
      <c r="B269"/>
      <c r="C269"/>
      <c r="D269"/>
      <c r="E269"/>
      <c r="F269"/>
      <c r="G269"/>
      <c r="H269"/>
      <c r="I269"/>
      <c r="J269"/>
      <c r="K269"/>
      <c r="L269"/>
      <c r="M269"/>
      <c r="N269"/>
      <c r="O269"/>
      <c r="P269"/>
      <c r="Q269"/>
    </row>
    <row r="270" spans="2:17" x14ac:dyDescent="0.25">
      <c r="B270"/>
      <c r="C270"/>
      <c r="D270"/>
      <c r="E270"/>
      <c r="F270"/>
      <c r="G270"/>
      <c r="H270"/>
      <c r="I270"/>
      <c r="J270"/>
      <c r="K270"/>
      <c r="L270"/>
      <c r="M270"/>
      <c r="N270"/>
      <c r="O270"/>
      <c r="P270"/>
      <c r="Q270"/>
    </row>
    <row r="271" spans="2:17" x14ac:dyDescent="0.25">
      <c r="B271"/>
      <c r="C271"/>
      <c r="D271"/>
      <c r="E271"/>
      <c r="F271"/>
      <c r="G271"/>
      <c r="H271"/>
      <c r="I271"/>
      <c r="J271"/>
      <c r="K271"/>
      <c r="L271"/>
      <c r="M271"/>
      <c r="N271"/>
      <c r="O271"/>
      <c r="P271"/>
      <c r="Q271"/>
    </row>
    <row r="272" spans="2:17" x14ac:dyDescent="0.25">
      <c r="B272"/>
      <c r="C272"/>
      <c r="D272"/>
      <c r="E272"/>
      <c r="F272"/>
      <c r="G272"/>
      <c r="H272"/>
      <c r="I272"/>
      <c r="J272"/>
      <c r="K272"/>
      <c r="L272"/>
      <c r="M272"/>
      <c r="N272"/>
      <c r="O272"/>
      <c r="P272"/>
      <c r="Q272"/>
    </row>
    <row r="273" spans="2:17" x14ac:dyDescent="0.25">
      <c r="B273"/>
      <c r="C273"/>
      <c r="D273"/>
      <c r="E273"/>
      <c r="F273"/>
      <c r="G273"/>
      <c r="H273"/>
      <c r="I273"/>
      <c r="J273"/>
      <c r="K273"/>
      <c r="L273"/>
      <c r="M273"/>
      <c r="N273"/>
      <c r="O273"/>
      <c r="P273"/>
      <c r="Q273"/>
    </row>
    <row r="274" spans="2:17" x14ac:dyDescent="0.25">
      <c r="B274"/>
      <c r="C274"/>
      <c r="D274"/>
      <c r="E274"/>
      <c r="F274"/>
      <c r="G274"/>
      <c r="H274"/>
      <c r="I274"/>
      <c r="J274"/>
      <c r="K274"/>
      <c r="L274"/>
      <c r="M274"/>
      <c r="N274"/>
      <c r="O274"/>
      <c r="P274"/>
      <c r="Q274"/>
    </row>
    <row r="275" spans="2:17" x14ac:dyDescent="0.25">
      <c r="B275"/>
      <c r="C275"/>
      <c r="D275"/>
      <c r="E275"/>
      <c r="F275"/>
      <c r="G275"/>
      <c r="H275"/>
      <c r="I275"/>
      <c r="J275"/>
      <c r="K275"/>
      <c r="L275"/>
      <c r="M275"/>
      <c r="N275"/>
      <c r="O275"/>
      <c r="P275"/>
      <c r="Q275"/>
    </row>
    <row r="276" spans="2:17" x14ac:dyDescent="0.25">
      <c r="B276"/>
      <c r="C276"/>
      <c r="D276"/>
      <c r="E276"/>
      <c r="F276"/>
      <c r="G276"/>
      <c r="H276"/>
      <c r="I276"/>
      <c r="J276"/>
      <c r="K276"/>
      <c r="L276"/>
      <c r="M276"/>
      <c r="N276"/>
      <c r="O276"/>
      <c r="P276"/>
      <c r="Q276"/>
    </row>
    <row r="277" spans="2:17" x14ac:dyDescent="0.25">
      <c r="B277"/>
      <c r="C277"/>
      <c r="D277"/>
      <c r="E277"/>
      <c r="F277"/>
      <c r="G277"/>
      <c r="H277"/>
      <c r="I277"/>
      <c r="J277"/>
      <c r="K277"/>
      <c r="L277"/>
      <c r="M277"/>
      <c r="N277"/>
      <c r="O277"/>
      <c r="P277"/>
      <c r="Q277"/>
    </row>
    <row r="278" spans="2:17" x14ac:dyDescent="0.25">
      <c r="B278"/>
      <c r="C278"/>
      <c r="D278"/>
      <c r="E278"/>
      <c r="F278"/>
      <c r="G278"/>
      <c r="H278"/>
      <c r="I278"/>
      <c r="J278"/>
      <c r="K278"/>
      <c r="L278"/>
      <c r="M278"/>
      <c r="N278"/>
      <c r="O278"/>
      <c r="P278"/>
      <c r="Q278"/>
    </row>
    <row r="279" spans="2:17" x14ac:dyDescent="0.25">
      <c r="B279"/>
      <c r="C279"/>
      <c r="D279"/>
      <c r="E279"/>
      <c r="F279"/>
      <c r="G279"/>
      <c r="H279"/>
      <c r="I279"/>
      <c r="J279"/>
      <c r="K279"/>
      <c r="L279"/>
      <c r="M279"/>
      <c r="N279"/>
      <c r="O279"/>
      <c r="P279"/>
      <c r="Q279"/>
    </row>
    <row r="280" spans="2:17" x14ac:dyDescent="0.25">
      <c r="B280"/>
      <c r="C280"/>
      <c r="D280"/>
      <c r="E280"/>
      <c r="F280"/>
      <c r="G280"/>
      <c r="H280"/>
      <c r="I280"/>
      <c r="J280"/>
      <c r="K280"/>
      <c r="L280"/>
      <c r="M280"/>
      <c r="N280"/>
      <c r="O280"/>
      <c r="P280"/>
      <c r="Q280"/>
    </row>
    <row r="281" spans="2:17" x14ac:dyDescent="0.25">
      <c r="B281"/>
      <c r="C281"/>
      <c r="D281"/>
      <c r="E281"/>
      <c r="F281"/>
      <c r="G281"/>
      <c r="H281"/>
      <c r="I281"/>
      <c r="J281"/>
      <c r="K281"/>
      <c r="L281"/>
      <c r="M281"/>
      <c r="N281"/>
      <c r="O281"/>
      <c r="P281"/>
      <c r="Q281"/>
    </row>
    <row r="282" spans="2:17" x14ac:dyDescent="0.25">
      <c r="B282"/>
      <c r="C282"/>
      <c r="D282"/>
      <c r="E282"/>
      <c r="F282"/>
      <c r="G282"/>
      <c r="H282"/>
      <c r="I282"/>
      <c r="J282"/>
      <c r="K282"/>
      <c r="L282"/>
      <c r="M282"/>
      <c r="N282"/>
      <c r="O282"/>
      <c r="P282"/>
      <c r="Q282"/>
    </row>
    <row r="283" spans="2:17" x14ac:dyDescent="0.25">
      <c r="B283"/>
      <c r="C283"/>
      <c r="D283"/>
      <c r="E283"/>
      <c r="F283"/>
      <c r="G283"/>
      <c r="H283"/>
      <c r="I283"/>
      <c r="J283"/>
      <c r="K283"/>
      <c r="L283"/>
      <c r="M283"/>
      <c r="N283"/>
      <c r="O283"/>
      <c r="P283"/>
      <c r="Q283"/>
    </row>
    <row r="284" spans="2:17" x14ac:dyDescent="0.25">
      <c r="B284"/>
      <c r="C284"/>
      <c r="D284"/>
      <c r="E284"/>
      <c r="F284"/>
      <c r="G284"/>
      <c r="H284"/>
      <c r="I284"/>
      <c r="J284"/>
      <c r="K284"/>
      <c r="L284"/>
      <c r="M284"/>
      <c r="N284"/>
      <c r="O284"/>
      <c r="P284"/>
      <c r="Q284"/>
    </row>
    <row r="285" spans="2:17" x14ac:dyDescent="0.25">
      <c r="B285"/>
      <c r="C285"/>
      <c r="D285"/>
      <c r="E285"/>
      <c r="F285"/>
      <c r="G285"/>
      <c r="H285"/>
      <c r="I285"/>
      <c r="J285"/>
      <c r="K285"/>
      <c r="L285"/>
      <c r="M285"/>
      <c r="N285"/>
      <c r="O285"/>
      <c r="P285"/>
      <c r="Q285"/>
    </row>
    <row r="286" spans="2:17" x14ac:dyDescent="0.25">
      <c r="B286"/>
      <c r="C286"/>
      <c r="D286"/>
      <c r="E286"/>
      <c r="F286"/>
      <c r="G286"/>
      <c r="H286"/>
      <c r="I286"/>
      <c r="J286"/>
      <c r="K286"/>
      <c r="L286"/>
      <c r="M286"/>
      <c r="N286"/>
      <c r="O286"/>
      <c r="P286"/>
      <c r="Q286"/>
    </row>
    <row r="287" spans="2:17" x14ac:dyDescent="0.25">
      <c r="B287"/>
      <c r="C287"/>
      <c r="D287"/>
      <c r="E287"/>
      <c r="F287"/>
      <c r="G287"/>
      <c r="H287"/>
      <c r="I287"/>
      <c r="J287"/>
      <c r="K287"/>
      <c r="L287"/>
      <c r="M287"/>
      <c r="N287"/>
      <c r="O287"/>
      <c r="P287"/>
      <c r="Q287"/>
    </row>
    <row r="288" spans="2:17" x14ac:dyDescent="0.25">
      <c r="B288"/>
      <c r="C288"/>
      <c r="D288"/>
      <c r="E288"/>
      <c r="F288"/>
      <c r="G288"/>
      <c r="H288"/>
      <c r="I288"/>
      <c r="J288"/>
      <c r="K288"/>
      <c r="L288"/>
      <c r="M288"/>
      <c r="N288"/>
      <c r="O288"/>
      <c r="P288"/>
      <c r="Q288"/>
    </row>
    <row r="289" spans="2:17" x14ac:dyDescent="0.25">
      <c r="B289"/>
      <c r="C289"/>
      <c r="D289"/>
      <c r="E289"/>
      <c r="F289"/>
      <c r="G289"/>
      <c r="H289"/>
      <c r="I289"/>
      <c r="J289"/>
      <c r="K289"/>
      <c r="L289"/>
      <c r="M289"/>
      <c r="N289"/>
      <c r="O289"/>
      <c r="P289"/>
      <c r="Q289"/>
    </row>
    <row r="290" spans="2:17" x14ac:dyDescent="0.25">
      <c r="B290"/>
      <c r="C290"/>
      <c r="D290"/>
      <c r="E290"/>
      <c r="F290"/>
      <c r="G290"/>
      <c r="H290"/>
      <c r="I290"/>
      <c r="J290"/>
      <c r="K290"/>
      <c r="L290"/>
      <c r="M290"/>
      <c r="N290"/>
      <c r="O290"/>
      <c r="P290"/>
      <c r="Q290"/>
    </row>
    <row r="291" spans="2:17" x14ac:dyDescent="0.25">
      <c r="B291"/>
      <c r="C291"/>
      <c r="D291"/>
      <c r="E291"/>
      <c r="F291"/>
      <c r="G291"/>
      <c r="H291"/>
      <c r="I291"/>
      <c r="J291"/>
      <c r="K291"/>
      <c r="L291"/>
      <c r="M291"/>
      <c r="N291"/>
      <c r="O291"/>
      <c r="P291"/>
      <c r="Q291"/>
    </row>
    <row r="292" spans="2:17" x14ac:dyDescent="0.25">
      <c r="B292"/>
      <c r="C292"/>
      <c r="D292"/>
      <c r="E292"/>
      <c r="F292"/>
      <c r="G292"/>
      <c r="H292"/>
      <c r="I292"/>
      <c r="J292"/>
      <c r="K292"/>
      <c r="L292"/>
      <c r="M292"/>
      <c r="N292"/>
      <c r="O292"/>
      <c r="P292"/>
      <c r="Q292"/>
    </row>
    <row r="293" spans="2:17" x14ac:dyDescent="0.25">
      <c r="B293"/>
      <c r="C293"/>
      <c r="D293"/>
      <c r="E293"/>
      <c r="F293"/>
      <c r="G293"/>
      <c r="H293"/>
      <c r="I293"/>
      <c r="J293"/>
      <c r="K293"/>
      <c r="L293"/>
      <c r="M293"/>
      <c r="N293"/>
      <c r="O293"/>
      <c r="P293"/>
      <c r="Q293"/>
    </row>
    <row r="294" spans="2:17" x14ac:dyDescent="0.25">
      <c r="B294"/>
      <c r="C294"/>
      <c r="D294"/>
      <c r="E294"/>
      <c r="F294"/>
      <c r="G294"/>
      <c r="H294"/>
      <c r="I294"/>
      <c r="J294"/>
      <c r="K294"/>
      <c r="L294"/>
      <c r="M294"/>
      <c r="N294"/>
      <c r="O294"/>
      <c r="P294"/>
      <c r="Q294"/>
    </row>
    <row r="295" spans="2:17" x14ac:dyDescent="0.25">
      <c r="B295"/>
      <c r="C295"/>
      <c r="D295"/>
      <c r="E295"/>
      <c r="F295"/>
      <c r="G295"/>
      <c r="H295"/>
      <c r="I295"/>
      <c r="J295"/>
      <c r="K295"/>
      <c r="L295"/>
      <c r="M295"/>
      <c r="N295"/>
      <c r="O295"/>
      <c r="P295"/>
      <c r="Q295"/>
    </row>
    <row r="296" spans="2:17" x14ac:dyDescent="0.25">
      <c r="B296"/>
      <c r="C296"/>
      <c r="D296"/>
      <c r="E296"/>
      <c r="F296"/>
      <c r="G296"/>
      <c r="H296"/>
      <c r="I296"/>
      <c r="J296"/>
      <c r="K296"/>
      <c r="L296"/>
      <c r="M296"/>
      <c r="N296"/>
      <c r="O296"/>
      <c r="P296"/>
      <c r="Q296"/>
    </row>
    <row r="297" spans="2:17" x14ac:dyDescent="0.25">
      <c r="B297"/>
      <c r="C297"/>
      <c r="D297"/>
      <c r="E297"/>
      <c r="F297"/>
      <c r="G297"/>
      <c r="H297"/>
      <c r="I297"/>
      <c r="J297"/>
      <c r="K297"/>
      <c r="L297"/>
      <c r="M297"/>
      <c r="N297"/>
      <c r="O297"/>
      <c r="P297"/>
      <c r="Q297"/>
    </row>
    <row r="298" spans="2:17" x14ac:dyDescent="0.25">
      <c r="B298"/>
      <c r="C298"/>
      <c r="D298"/>
      <c r="E298"/>
      <c r="F298"/>
      <c r="G298"/>
      <c r="H298"/>
      <c r="I298"/>
      <c r="J298"/>
      <c r="K298"/>
      <c r="L298"/>
      <c r="M298"/>
      <c r="N298"/>
      <c r="O298"/>
      <c r="P298"/>
      <c r="Q298"/>
    </row>
    <row r="299" spans="2:17" x14ac:dyDescent="0.25">
      <c r="B299"/>
      <c r="C299"/>
      <c r="D299"/>
      <c r="E299"/>
      <c r="F299"/>
      <c r="G299"/>
      <c r="H299"/>
      <c r="I299"/>
      <c r="J299"/>
      <c r="K299"/>
      <c r="L299"/>
      <c r="M299"/>
      <c r="N299"/>
      <c r="O299"/>
      <c r="P299"/>
      <c r="Q299"/>
    </row>
    <row r="300" spans="2:17" x14ac:dyDescent="0.25">
      <c r="B300"/>
      <c r="C300"/>
      <c r="D300"/>
      <c r="E300"/>
      <c r="F300"/>
      <c r="G300"/>
      <c r="H300"/>
      <c r="I300"/>
      <c r="J300"/>
      <c r="K300"/>
      <c r="L300"/>
      <c r="M300"/>
      <c r="N300"/>
      <c r="O300"/>
      <c r="P300"/>
      <c r="Q300"/>
    </row>
    <row r="301" spans="2:17" x14ac:dyDescent="0.25">
      <c r="B301"/>
      <c r="C301"/>
      <c r="D301"/>
      <c r="E301"/>
      <c r="F301"/>
      <c r="G301"/>
      <c r="H301"/>
      <c r="I301"/>
      <c r="J301"/>
      <c r="K301"/>
      <c r="L301"/>
      <c r="M301"/>
      <c r="N301"/>
      <c r="O301"/>
      <c r="P301"/>
      <c r="Q301"/>
    </row>
    <row r="302" spans="2:17" x14ac:dyDescent="0.25">
      <c r="B302"/>
      <c r="C302"/>
      <c r="D302"/>
      <c r="E302"/>
      <c r="F302"/>
      <c r="G302"/>
      <c r="H302"/>
      <c r="I302"/>
      <c r="J302"/>
      <c r="K302"/>
      <c r="L302"/>
      <c r="M302"/>
      <c r="N302"/>
      <c r="O302"/>
      <c r="P302"/>
      <c r="Q302"/>
    </row>
    <row r="303" spans="2:17" x14ac:dyDescent="0.25">
      <c r="B303"/>
      <c r="C303"/>
      <c r="D303"/>
      <c r="E303"/>
      <c r="F303"/>
      <c r="G303"/>
      <c r="H303"/>
      <c r="I303"/>
      <c r="J303"/>
      <c r="K303"/>
      <c r="L303"/>
      <c r="M303"/>
      <c r="N303"/>
      <c r="O303"/>
      <c r="P303"/>
      <c r="Q303"/>
    </row>
    <row r="304" spans="2:17" x14ac:dyDescent="0.25">
      <c r="B304"/>
      <c r="C304"/>
      <c r="D304"/>
      <c r="E304"/>
      <c r="F304"/>
      <c r="G304"/>
      <c r="H304"/>
      <c r="I304"/>
      <c r="J304"/>
      <c r="K304"/>
      <c r="L304"/>
      <c r="M304"/>
      <c r="N304"/>
      <c r="O304"/>
      <c r="P304"/>
      <c r="Q304"/>
    </row>
    <row r="305" spans="2:17" x14ac:dyDescent="0.25">
      <c r="B305"/>
      <c r="C305"/>
      <c r="D305"/>
      <c r="E305"/>
      <c r="F305"/>
      <c r="G305"/>
      <c r="H305"/>
      <c r="I305"/>
      <c r="J305"/>
      <c r="K305"/>
      <c r="L305"/>
      <c r="M305"/>
      <c r="N305"/>
      <c r="O305"/>
      <c r="P305"/>
      <c r="Q305"/>
    </row>
    <row r="306" spans="2:17" x14ac:dyDescent="0.25">
      <c r="B306"/>
      <c r="C306"/>
      <c r="D306"/>
      <c r="E306"/>
      <c r="F306"/>
      <c r="G306"/>
      <c r="H306"/>
      <c r="I306"/>
      <c r="J306"/>
      <c r="K306"/>
      <c r="L306"/>
      <c r="M306"/>
      <c r="N306"/>
      <c r="O306"/>
      <c r="P306"/>
      <c r="Q306"/>
    </row>
    <row r="307" spans="2:17" x14ac:dyDescent="0.25">
      <c r="B307"/>
      <c r="C307"/>
      <c r="D307"/>
      <c r="E307"/>
      <c r="F307"/>
      <c r="G307"/>
      <c r="H307"/>
      <c r="I307"/>
      <c r="J307"/>
      <c r="K307"/>
      <c r="L307"/>
      <c r="M307"/>
      <c r="N307"/>
      <c r="O307"/>
      <c r="P307"/>
      <c r="Q307"/>
    </row>
    <row r="308" spans="2:17" x14ac:dyDescent="0.25">
      <c r="B308"/>
      <c r="C308"/>
      <c r="D308"/>
      <c r="E308"/>
      <c r="F308"/>
      <c r="G308"/>
      <c r="H308"/>
      <c r="I308"/>
      <c r="J308"/>
      <c r="K308"/>
      <c r="L308"/>
      <c r="M308"/>
      <c r="N308"/>
      <c r="O308"/>
      <c r="P308"/>
      <c r="Q308"/>
    </row>
    <row r="309" spans="2:17" x14ac:dyDescent="0.25">
      <c r="B309"/>
      <c r="C309"/>
      <c r="D309"/>
      <c r="E309"/>
      <c r="F309"/>
      <c r="G309"/>
      <c r="H309"/>
      <c r="I309"/>
      <c r="J309"/>
      <c r="K309"/>
      <c r="L309"/>
      <c r="M309"/>
      <c r="N309"/>
      <c r="O309"/>
      <c r="P309"/>
      <c r="Q309"/>
    </row>
    <row r="310" spans="2:17" x14ac:dyDescent="0.25">
      <c r="B310"/>
      <c r="C310"/>
      <c r="D310"/>
      <c r="E310"/>
      <c r="F310"/>
      <c r="G310"/>
      <c r="H310"/>
      <c r="I310"/>
      <c r="J310"/>
      <c r="K310"/>
      <c r="L310"/>
      <c r="M310"/>
      <c r="N310"/>
      <c r="O310"/>
      <c r="P310"/>
      <c r="Q310"/>
    </row>
    <row r="311" spans="2:17" x14ac:dyDescent="0.25">
      <c r="B311"/>
      <c r="C311"/>
      <c r="D311"/>
      <c r="E311"/>
      <c r="F311"/>
      <c r="G311"/>
      <c r="H311"/>
      <c r="I311"/>
      <c r="J311"/>
      <c r="K311"/>
      <c r="L311"/>
      <c r="M311"/>
      <c r="N311"/>
      <c r="O311"/>
      <c r="P311"/>
      <c r="Q311"/>
    </row>
    <row r="312" spans="2:17" x14ac:dyDescent="0.25">
      <c r="B312"/>
      <c r="C312"/>
      <c r="D312"/>
      <c r="E312"/>
      <c r="F312"/>
      <c r="G312"/>
      <c r="H312"/>
      <c r="I312"/>
      <c r="J312"/>
      <c r="K312"/>
      <c r="L312"/>
      <c r="M312"/>
      <c r="N312"/>
      <c r="O312"/>
      <c r="P312"/>
      <c r="Q312"/>
    </row>
    <row r="313" spans="2:17" x14ac:dyDescent="0.25">
      <c r="B313"/>
      <c r="C313"/>
      <c r="D313"/>
      <c r="E313"/>
      <c r="F313"/>
      <c r="G313"/>
      <c r="H313"/>
      <c r="I313"/>
      <c r="J313"/>
      <c r="K313"/>
      <c r="L313"/>
      <c r="M313"/>
      <c r="N313"/>
      <c r="O313"/>
      <c r="P313"/>
      <c r="Q313"/>
    </row>
    <row r="314" spans="2:17" x14ac:dyDescent="0.25">
      <c r="B314"/>
      <c r="C314"/>
      <c r="D314"/>
      <c r="E314"/>
      <c r="F314"/>
      <c r="G314"/>
      <c r="H314"/>
      <c r="I314"/>
      <c r="J314"/>
      <c r="K314"/>
      <c r="L314"/>
      <c r="M314"/>
      <c r="N314"/>
      <c r="O314"/>
      <c r="P314"/>
      <c r="Q314"/>
    </row>
    <row r="315" spans="2:17" x14ac:dyDescent="0.25">
      <c r="B315"/>
      <c r="C315"/>
      <c r="D315"/>
      <c r="E315"/>
      <c r="F315"/>
      <c r="G315"/>
      <c r="H315"/>
      <c r="I315"/>
      <c r="J315"/>
      <c r="K315"/>
      <c r="L315"/>
      <c r="M315"/>
      <c r="N315"/>
      <c r="O315"/>
      <c r="P315"/>
      <c r="Q315"/>
    </row>
    <row r="316" spans="2:17" x14ac:dyDescent="0.25">
      <c r="B316"/>
      <c r="C316"/>
      <c r="D316"/>
      <c r="E316"/>
      <c r="F316"/>
      <c r="G316"/>
      <c r="H316"/>
      <c r="I316"/>
      <c r="J316"/>
      <c r="K316"/>
      <c r="L316"/>
      <c r="M316"/>
      <c r="N316"/>
      <c r="O316"/>
      <c r="P316"/>
      <c r="Q316"/>
    </row>
    <row r="317" spans="2:17" x14ac:dyDescent="0.25">
      <c r="B317"/>
      <c r="C317"/>
      <c r="D317"/>
      <c r="E317"/>
      <c r="F317"/>
      <c r="G317"/>
      <c r="H317"/>
      <c r="I317"/>
      <c r="J317"/>
      <c r="K317"/>
      <c r="L317"/>
      <c r="M317"/>
      <c r="N317"/>
      <c r="O317"/>
      <c r="P317"/>
      <c r="Q317"/>
    </row>
    <row r="318" spans="2:17" x14ac:dyDescent="0.25">
      <c r="B318"/>
      <c r="C318"/>
      <c r="D318"/>
      <c r="E318"/>
      <c r="F318"/>
      <c r="G318"/>
      <c r="H318"/>
      <c r="I318"/>
      <c r="J318"/>
      <c r="K318"/>
      <c r="L318"/>
      <c r="M318"/>
      <c r="N318"/>
      <c r="O318"/>
      <c r="P318"/>
      <c r="Q318"/>
    </row>
    <row r="319" spans="2:17" x14ac:dyDescent="0.25">
      <c r="B319"/>
      <c r="C319"/>
      <c r="D319"/>
      <c r="E319"/>
      <c r="F319"/>
      <c r="G319"/>
      <c r="H319"/>
      <c r="I319"/>
      <c r="J319"/>
      <c r="K319"/>
      <c r="L319"/>
      <c r="M319"/>
      <c r="N319"/>
      <c r="O319"/>
      <c r="P319"/>
      <c r="Q319"/>
    </row>
    <row r="320" spans="2:17" x14ac:dyDescent="0.25">
      <c r="B320"/>
      <c r="C320"/>
      <c r="D320"/>
      <c r="E320"/>
      <c r="F320"/>
      <c r="G320"/>
      <c r="H320"/>
      <c r="I320"/>
      <c r="J320"/>
      <c r="K320"/>
      <c r="L320"/>
      <c r="M320"/>
      <c r="N320"/>
      <c r="O320"/>
      <c r="P320"/>
      <c r="Q320"/>
    </row>
    <row r="321" spans="2:17" x14ac:dyDescent="0.25">
      <c r="B321"/>
      <c r="C321"/>
      <c r="D321"/>
      <c r="E321"/>
      <c r="F321"/>
      <c r="G321"/>
      <c r="H321"/>
      <c r="I321"/>
      <c r="J321"/>
      <c r="K321"/>
      <c r="L321"/>
      <c r="M321"/>
      <c r="N321"/>
      <c r="O321"/>
      <c r="P321"/>
      <c r="Q321"/>
    </row>
    <row r="322" spans="2:17" x14ac:dyDescent="0.25">
      <c r="B322"/>
      <c r="C322"/>
      <c r="D322"/>
      <c r="E322"/>
      <c r="F322"/>
      <c r="G322"/>
      <c r="H322"/>
      <c r="I322"/>
      <c r="J322"/>
      <c r="K322"/>
      <c r="L322"/>
      <c r="M322"/>
      <c r="N322"/>
      <c r="O322"/>
      <c r="P322"/>
      <c r="Q322"/>
    </row>
    <row r="323" spans="2:17" x14ac:dyDescent="0.25">
      <c r="B323"/>
      <c r="C323"/>
      <c r="D323"/>
      <c r="E323"/>
      <c r="F323"/>
      <c r="G323"/>
      <c r="H323"/>
      <c r="I323"/>
      <c r="J323"/>
      <c r="K323"/>
      <c r="L323"/>
      <c r="M323"/>
      <c r="N323"/>
      <c r="O323"/>
      <c r="P323"/>
      <c r="Q323"/>
    </row>
    <row r="324" spans="2:17" x14ac:dyDescent="0.25">
      <c r="B324"/>
      <c r="C324"/>
      <c r="D324"/>
      <c r="E324"/>
      <c r="F324"/>
      <c r="G324"/>
      <c r="H324"/>
      <c r="I324"/>
      <c r="J324"/>
      <c r="K324"/>
      <c r="L324"/>
      <c r="M324"/>
      <c r="N324"/>
      <c r="O324"/>
      <c r="P324"/>
      <c r="Q324"/>
    </row>
    <row r="325" spans="2:17" x14ac:dyDescent="0.25">
      <c r="B325"/>
      <c r="C325"/>
      <c r="D325"/>
      <c r="E325"/>
      <c r="F325"/>
      <c r="G325"/>
      <c r="H325"/>
      <c r="I325"/>
      <c r="J325"/>
      <c r="K325"/>
      <c r="L325"/>
      <c r="M325"/>
      <c r="N325"/>
      <c r="O325"/>
      <c r="P325"/>
      <c r="Q325"/>
    </row>
    <row r="326" spans="2:17" x14ac:dyDescent="0.25">
      <c r="B326"/>
      <c r="C326"/>
      <c r="D326"/>
      <c r="E326"/>
      <c r="F326"/>
      <c r="G326"/>
      <c r="H326"/>
      <c r="I326"/>
      <c r="J326"/>
      <c r="K326"/>
      <c r="L326"/>
      <c r="M326"/>
      <c r="N326"/>
      <c r="O326"/>
      <c r="P326"/>
      <c r="Q326"/>
    </row>
    <row r="327" spans="2:17" x14ac:dyDescent="0.25">
      <c r="B327"/>
      <c r="C327"/>
      <c r="D327"/>
      <c r="E327"/>
      <c r="F327"/>
      <c r="G327"/>
      <c r="H327"/>
      <c r="I327"/>
      <c r="J327"/>
      <c r="K327"/>
      <c r="L327"/>
      <c r="M327"/>
      <c r="N327"/>
      <c r="O327"/>
      <c r="P327"/>
      <c r="Q327"/>
    </row>
    <row r="328" spans="2:17" x14ac:dyDescent="0.25">
      <c r="B328"/>
      <c r="C328"/>
      <c r="D328"/>
      <c r="E328"/>
      <c r="F328"/>
      <c r="G328"/>
      <c r="H328"/>
      <c r="I328"/>
      <c r="J328"/>
      <c r="K328"/>
      <c r="L328"/>
      <c r="M328"/>
      <c r="N328"/>
      <c r="O328"/>
      <c r="P328"/>
      <c r="Q328"/>
    </row>
    <row r="329" spans="2:17" x14ac:dyDescent="0.25">
      <c r="B329"/>
      <c r="C329"/>
      <c r="D329"/>
      <c r="E329"/>
      <c r="F329"/>
      <c r="G329"/>
      <c r="H329"/>
      <c r="I329"/>
      <c r="J329"/>
      <c r="K329"/>
      <c r="L329"/>
      <c r="M329"/>
      <c r="N329"/>
      <c r="O329"/>
      <c r="P329"/>
      <c r="Q329"/>
    </row>
    <row r="330" spans="2:17" x14ac:dyDescent="0.25">
      <c r="B330"/>
      <c r="C330"/>
      <c r="D330"/>
      <c r="E330"/>
      <c r="F330"/>
      <c r="G330"/>
      <c r="H330"/>
      <c r="I330"/>
      <c r="J330"/>
      <c r="K330"/>
      <c r="L330"/>
      <c r="M330"/>
      <c r="N330"/>
      <c r="O330"/>
      <c r="P330"/>
      <c r="Q330"/>
    </row>
    <row r="331" spans="2:17" x14ac:dyDescent="0.25">
      <c r="B331"/>
      <c r="C331"/>
      <c r="D331"/>
      <c r="E331"/>
      <c r="F331"/>
      <c r="G331"/>
      <c r="H331"/>
      <c r="I331"/>
      <c r="J331"/>
      <c r="K331"/>
      <c r="L331"/>
      <c r="M331"/>
      <c r="N331"/>
      <c r="O331"/>
      <c r="P331"/>
      <c r="Q331"/>
    </row>
    <row r="332" spans="2:17" x14ac:dyDescent="0.25">
      <c r="B332"/>
      <c r="C332"/>
      <c r="D332"/>
      <c r="E332"/>
      <c r="F332"/>
      <c r="G332"/>
      <c r="H332"/>
      <c r="I332"/>
      <c r="J332"/>
      <c r="K332"/>
      <c r="L332"/>
      <c r="M332"/>
      <c r="N332"/>
      <c r="O332"/>
      <c r="P332"/>
      <c r="Q332"/>
    </row>
    <row r="333" spans="2:17" x14ac:dyDescent="0.25">
      <c r="B333"/>
      <c r="C333"/>
      <c r="D333"/>
      <c r="E333"/>
      <c r="F333"/>
      <c r="G333"/>
      <c r="H333"/>
      <c r="I333"/>
      <c r="J333"/>
      <c r="K333"/>
      <c r="L333"/>
      <c r="M333"/>
      <c r="N333"/>
      <c r="O333"/>
      <c r="P333"/>
      <c r="Q333"/>
    </row>
    <row r="334" spans="2:17" x14ac:dyDescent="0.25">
      <c r="B334"/>
      <c r="C334"/>
      <c r="D334"/>
      <c r="E334"/>
      <c r="F334"/>
      <c r="G334"/>
      <c r="H334"/>
      <c r="I334"/>
      <c r="J334"/>
      <c r="K334"/>
      <c r="L334"/>
      <c r="M334"/>
      <c r="N334"/>
      <c r="O334"/>
      <c r="P334"/>
      <c r="Q334"/>
    </row>
    <row r="335" spans="2:17" x14ac:dyDescent="0.25">
      <c r="B335"/>
      <c r="C335"/>
      <c r="D335"/>
      <c r="E335"/>
      <c r="F335"/>
      <c r="G335"/>
      <c r="H335"/>
      <c r="I335"/>
      <c r="J335"/>
      <c r="K335"/>
      <c r="L335"/>
      <c r="M335"/>
      <c r="N335"/>
      <c r="O335"/>
      <c r="P335"/>
      <c r="Q335"/>
    </row>
    <row r="336" spans="2:17" x14ac:dyDescent="0.25">
      <c r="B336"/>
      <c r="C336"/>
      <c r="D336"/>
      <c r="E336"/>
      <c r="F336"/>
      <c r="G336"/>
      <c r="H336"/>
      <c r="I336"/>
      <c r="J336"/>
      <c r="K336"/>
      <c r="L336"/>
      <c r="M336"/>
      <c r="N336"/>
      <c r="O336"/>
      <c r="P336"/>
      <c r="Q336"/>
    </row>
    <row r="337" spans="2:17" x14ac:dyDescent="0.25">
      <c r="B337"/>
      <c r="C337"/>
      <c r="D337"/>
      <c r="E337"/>
      <c r="F337"/>
      <c r="G337"/>
      <c r="H337"/>
      <c r="I337"/>
      <c r="J337"/>
      <c r="K337"/>
      <c r="L337"/>
      <c r="M337"/>
      <c r="N337"/>
      <c r="O337"/>
      <c r="P337"/>
      <c r="Q337"/>
    </row>
    <row r="338" spans="2:17" x14ac:dyDescent="0.25">
      <c r="B338"/>
      <c r="C338"/>
      <c r="D338"/>
      <c r="E338"/>
      <c r="F338"/>
      <c r="G338"/>
      <c r="H338"/>
      <c r="I338"/>
      <c r="J338"/>
      <c r="K338"/>
      <c r="L338"/>
      <c r="M338"/>
      <c r="N338"/>
      <c r="O338"/>
      <c r="P338"/>
      <c r="Q338"/>
    </row>
    <row r="339" spans="2:17" x14ac:dyDescent="0.25">
      <c r="B339"/>
      <c r="C339"/>
      <c r="D339"/>
      <c r="E339"/>
      <c r="F339"/>
      <c r="G339"/>
      <c r="H339"/>
      <c r="I339"/>
      <c r="J339"/>
      <c r="K339"/>
      <c r="L339"/>
      <c r="M339"/>
      <c r="N339"/>
      <c r="O339"/>
      <c r="P339"/>
      <c r="Q339"/>
    </row>
    <row r="340" spans="2:17" x14ac:dyDescent="0.25">
      <c r="B340"/>
      <c r="C340"/>
      <c r="D340"/>
      <c r="E340"/>
      <c r="F340"/>
      <c r="G340"/>
      <c r="H340"/>
      <c r="I340"/>
      <c r="J340"/>
      <c r="K340"/>
      <c r="L340"/>
      <c r="M340"/>
      <c r="N340"/>
      <c r="O340"/>
      <c r="P340"/>
      <c r="Q340"/>
    </row>
    <row r="341" spans="2:17" x14ac:dyDescent="0.25">
      <c r="B341"/>
      <c r="C341"/>
      <c r="D341"/>
      <c r="E341"/>
      <c r="F341"/>
      <c r="G341"/>
      <c r="H341"/>
      <c r="I341"/>
      <c r="J341"/>
      <c r="K341"/>
      <c r="L341"/>
      <c r="M341"/>
      <c r="N341"/>
      <c r="O341"/>
      <c r="P341"/>
      <c r="Q341"/>
    </row>
    <row r="342" spans="2:17" x14ac:dyDescent="0.25">
      <c r="B342"/>
      <c r="C342"/>
      <c r="D342"/>
      <c r="E342"/>
      <c r="F342"/>
      <c r="G342"/>
      <c r="H342"/>
      <c r="I342"/>
      <c r="J342"/>
      <c r="K342"/>
      <c r="L342"/>
      <c r="M342"/>
      <c r="N342"/>
      <c r="O342"/>
      <c r="P342"/>
      <c r="Q342"/>
    </row>
    <row r="343" spans="2:17" x14ac:dyDescent="0.25">
      <c r="B343"/>
      <c r="C343"/>
      <c r="D343"/>
      <c r="E343"/>
      <c r="F343"/>
      <c r="G343"/>
      <c r="H343"/>
      <c r="I343"/>
      <c r="J343"/>
      <c r="K343"/>
      <c r="L343"/>
      <c r="M343"/>
      <c r="N343"/>
      <c r="O343"/>
      <c r="P343"/>
      <c r="Q343"/>
    </row>
    <row r="344" spans="2:17" x14ac:dyDescent="0.25">
      <c r="B344"/>
      <c r="C344"/>
      <c r="D344"/>
      <c r="E344"/>
      <c r="F344"/>
      <c r="G344"/>
      <c r="H344"/>
      <c r="I344"/>
      <c r="J344"/>
      <c r="K344"/>
      <c r="L344"/>
      <c r="M344"/>
      <c r="N344"/>
      <c r="O344"/>
      <c r="P344"/>
      <c r="Q344"/>
    </row>
    <row r="345" spans="2:17" x14ac:dyDescent="0.25">
      <c r="B345"/>
      <c r="C345"/>
      <c r="D345"/>
      <c r="E345"/>
      <c r="F345"/>
      <c r="G345"/>
      <c r="H345"/>
      <c r="I345"/>
      <c r="J345"/>
      <c r="K345"/>
      <c r="L345"/>
      <c r="M345"/>
      <c r="N345"/>
      <c r="O345"/>
      <c r="P345"/>
      <c r="Q345"/>
    </row>
    <row r="346" spans="2:17" x14ac:dyDescent="0.25">
      <c r="B346"/>
      <c r="C346"/>
      <c r="D346"/>
      <c r="E346"/>
      <c r="F346"/>
      <c r="G346"/>
      <c r="H346"/>
      <c r="I346"/>
      <c r="J346"/>
      <c r="K346"/>
      <c r="L346"/>
      <c r="M346"/>
      <c r="N346"/>
      <c r="O346"/>
      <c r="P346"/>
      <c r="Q346"/>
    </row>
    <row r="347" spans="2:17" x14ac:dyDescent="0.25">
      <c r="B347"/>
      <c r="C347"/>
      <c r="D347"/>
      <c r="E347"/>
      <c r="F347"/>
      <c r="G347"/>
      <c r="H347"/>
      <c r="I347"/>
      <c r="J347"/>
      <c r="K347"/>
      <c r="L347"/>
      <c r="M347"/>
      <c r="N347"/>
      <c r="O347"/>
      <c r="P347"/>
      <c r="Q347"/>
    </row>
    <row r="348" spans="2:17" x14ac:dyDescent="0.25">
      <c r="B348"/>
      <c r="C348"/>
      <c r="D348"/>
      <c r="E348"/>
      <c r="F348"/>
      <c r="G348"/>
      <c r="H348"/>
      <c r="I348"/>
      <c r="J348"/>
      <c r="K348"/>
      <c r="L348"/>
      <c r="M348"/>
      <c r="N348"/>
      <c r="O348"/>
      <c r="P348"/>
      <c r="Q348"/>
    </row>
    <row r="349" spans="2:17" x14ac:dyDescent="0.25">
      <c r="B349"/>
      <c r="C349"/>
      <c r="D349"/>
      <c r="E349"/>
      <c r="F349"/>
      <c r="G349"/>
      <c r="H349"/>
      <c r="I349"/>
      <c r="J349"/>
      <c r="K349"/>
      <c r="L349"/>
      <c r="M349"/>
      <c r="N349"/>
      <c r="O349"/>
      <c r="P349"/>
      <c r="Q349"/>
    </row>
    <row r="350" spans="2:17" x14ac:dyDescent="0.25">
      <c r="B350"/>
      <c r="C350"/>
      <c r="D350"/>
      <c r="E350"/>
      <c r="F350"/>
      <c r="G350"/>
      <c r="H350"/>
      <c r="I350"/>
      <c r="J350"/>
      <c r="K350"/>
      <c r="L350"/>
      <c r="M350"/>
      <c r="N350"/>
      <c r="O350"/>
      <c r="P350"/>
      <c r="Q350"/>
    </row>
    <row r="351" spans="2:17" x14ac:dyDescent="0.25">
      <c r="B351"/>
      <c r="C351"/>
      <c r="D351"/>
      <c r="E351"/>
      <c r="F351"/>
      <c r="G351"/>
      <c r="H351"/>
      <c r="I351"/>
      <c r="J351"/>
      <c r="K351"/>
      <c r="L351"/>
      <c r="M351"/>
      <c r="N351"/>
      <c r="O351"/>
      <c r="P351"/>
      <c r="Q351"/>
    </row>
    <row r="352" spans="2:17" x14ac:dyDescent="0.25">
      <c r="B352"/>
      <c r="C352"/>
      <c r="D352"/>
      <c r="E352"/>
      <c r="F352"/>
      <c r="G352"/>
      <c r="H352"/>
      <c r="I352"/>
      <c r="J352"/>
      <c r="K352"/>
      <c r="L352"/>
      <c r="M352"/>
      <c r="N352"/>
      <c r="O352"/>
      <c r="P352"/>
      <c r="Q352"/>
    </row>
    <row r="353" spans="2:17" x14ac:dyDescent="0.25">
      <c r="B353"/>
      <c r="C353"/>
      <c r="D353"/>
      <c r="E353"/>
      <c r="F353"/>
      <c r="G353"/>
      <c r="H353"/>
      <c r="I353"/>
      <c r="J353"/>
      <c r="K353"/>
      <c r="L353"/>
      <c r="M353"/>
      <c r="N353"/>
      <c r="O353"/>
      <c r="P353"/>
      <c r="Q353"/>
    </row>
    <row r="354" spans="2:17" x14ac:dyDescent="0.25">
      <c r="B354"/>
      <c r="C354"/>
      <c r="D354"/>
      <c r="E354"/>
      <c r="F354"/>
      <c r="G354"/>
      <c r="H354"/>
      <c r="I354"/>
      <c r="J354"/>
      <c r="K354"/>
      <c r="L354"/>
      <c r="M354"/>
      <c r="N354"/>
      <c r="O354"/>
      <c r="P354"/>
      <c r="Q354"/>
    </row>
    <row r="355" spans="2:17" x14ac:dyDescent="0.25">
      <c r="B355"/>
      <c r="C355"/>
      <c r="D355"/>
      <c r="E355"/>
      <c r="F355"/>
      <c r="G355"/>
      <c r="H355"/>
      <c r="I355"/>
      <c r="J355"/>
      <c r="K355"/>
      <c r="L355"/>
      <c r="M355"/>
      <c r="N355"/>
      <c r="O355"/>
      <c r="P355"/>
      <c r="Q355"/>
    </row>
    <row r="356" spans="2:17" x14ac:dyDescent="0.25">
      <c r="B356"/>
      <c r="C356"/>
      <c r="D356"/>
      <c r="E356"/>
      <c r="F356"/>
      <c r="G356"/>
      <c r="H356"/>
      <c r="I356"/>
      <c r="J356"/>
      <c r="K356"/>
      <c r="L356"/>
      <c r="M356"/>
      <c r="N356"/>
      <c r="O356"/>
      <c r="P356"/>
      <c r="Q356"/>
    </row>
    <row r="357" spans="2:17" x14ac:dyDescent="0.25">
      <c r="B357"/>
      <c r="C357"/>
      <c r="D357"/>
      <c r="E357"/>
      <c r="F357"/>
      <c r="G357"/>
      <c r="H357"/>
      <c r="I357"/>
      <c r="J357"/>
      <c r="K357"/>
      <c r="L357"/>
      <c r="M357"/>
      <c r="N357"/>
      <c r="O357"/>
      <c r="P357"/>
      <c r="Q357"/>
    </row>
    <row r="358" spans="2:17" x14ac:dyDescent="0.25">
      <c r="B358"/>
      <c r="C358"/>
      <c r="D358"/>
      <c r="E358"/>
      <c r="F358"/>
      <c r="G358"/>
      <c r="H358"/>
      <c r="I358"/>
      <c r="J358"/>
      <c r="K358"/>
      <c r="L358"/>
      <c r="M358"/>
      <c r="N358"/>
      <c r="O358"/>
      <c r="P358"/>
      <c r="Q358"/>
    </row>
    <row r="359" spans="2:17" x14ac:dyDescent="0.25">
      <c r="B359"/>
      <c r="C359"/>
      <c r="D359"/>
      <c r="E359"/>
      <c r="F359"/>
      <c r="G359"/>
      <c r="H359"/>
      <c r="I359"/>
      <c r="J359"/>
      <c r="K359"/>
      <c r="L359"/>
      <c r="M359"/>
      <c r="N359"/>
      <c r="O359"/>
      <c r="P359"/>
      <c r="Q359"/>
    </row>
    <row r="360" spans="2:17" x14ac:dyDescent="0.25">
      <c r="B360"/>
      <c r="C360"/>
      <c r="D360"/>
      <c r="E360"/>
      <c r="F360"/>
      <c r="G360"/>
      <c r="H360"/>
      <c r="I360"/>
      <c r="J360"/>
      <c r="K360"/>
      <c r="L360"/>
      <c r="M360"/>
      <c r="N360"/>
      <c r="O360"/>
      <c r="P360"/>
      <c r="Q360"/>
    </row>
    <row r="361" spans="2:17" x14ac:dyDescent="0.25">
      <c r="B361"/>
      <c r="C361"/>
      <c r="D361"/>
      <c r="E361"/>
      <c r="F361"/>
      <c r="G361"/>
      <c r="H361"/>
      <c r="I361"/>
      <c r="J361"/>
      <c r="K361"/>
      <c r="L361"/>
      <c r="M361"/>
      <c r="N361"/>
      <c r="O361"/>
      <c r="P361"/>
      <c r="Q361"/>
    </row>
    <row r="362" spans="2:17" x14ac:dyDescent="0.25">
      <c r="B362"/>
      <c r="C362"/>
      <c r="D362"/>
      <c r="E362"/>
      <c r="F362"/>
      <c r="G362"/>
      <c r="H362"/>
      <c r="I362"/>
      <c r="J362"/>
      <c r="K362"/>
      <c r="L362"/>
      <c r="M362"/>
      <c r="N362"/>
      <c r="O362"/>
      <c r="P362"/>
      <c r="Q362"/>
    </row>
    <row r="363" spans="2:17" x14ac:dyDescent="0.25">
      <c r="B363"/>
      <c r="C363"/>
      <c r="D363"/>
      <c r="E363"/>
      <c r="F363"/>
      <c r="G363"/>
      <c r="H363"/>
      <c r="I363"/>
      <c r="J363"/>
      <c r="K363"/>
      <c r="L363"/>
      <c r="M363"/>
      <c r="N363"/>
      <c r="O363"/>
      <c r="P363"/>
      <c r="Q363"/>
    </row>
    <row r="364" spans="2:17" x14ac:dyDescent="0.25">
      <c r="B364"/>
      <c r="C364"/>
      <c r="D364"/>
      <c r="E364"/>
      <c r="F364"/>
      <c r="G364"/>
      <c r="H364"/>
      <c r="I364"/>
      <c r="J364"/>
      <c r="K364"/>
      <c r="L364"/>
      <c r="M364"/>
      <c r="N364"/>
      <c r="O364"/>
      <c r="P364"/>
      <c r="Q364"/>
    </row>
    <row r="365" spans="2:17" x14ac:dyDescent="0.25">
      <c r="B365"/>
      <c r="C365"/>
      <c r="D365"/>
      <c r="E365"/>
      <c r="F365"/>
      <c r="G365"/>
      <c r="H365"/>
      <c r="I365"/>
      <c r="J365"/>
      <c r="K365"/>
      <c r="L365"/>
      <c r="M365"/>
      <c r="N365"/>
      <c r="O365"/>
      <c r="P365"/>
      <c r="Q365"/>
    </row>
    <row r="366" spans="2:17" x14ac:dyDescent="0.25">
      <c r="B366"/>
      <c r="C366"/>
      <c r="D366"/>
      <c r="E366"/>
      <c r="F366"/>
      <c r="G366"/>
      <c r="H366"/>
      <c r="I366"/>
      <c r="J366"/>
      <c r="K366"/>
      <c r="L366"/>
      <c r="M366"/>
      <c r="N366"/>
      <c r="O366"/>
      <c r="P366"/>
      <c r="Q366"/>
    </row>
    <row r="367" spans="2:17" x14ac:dyDescent="0.25">
      <c r="B367"/>
      <c r="C367"/>
      <c r="D367"/>
      <c r="E367"/>
      <c r="F367"/>
      <c r="G367"/>
      <c r="H367"/>
      <c r="I367"/>
      <c r="J367"/>
      <c r="K367"/>
      <c r="L367"/>
      <c r="M367"/>
      <c r="N367"/>
      <c r="O367"/>
      <c r="P367"/>
      <c r="Q367"/>
    </row>
    <row r="368" spans="2:17" x14ac:dyDescent="0.25">
      <c r="B368"/>
      <c r="C368"/>
      <c r="D368"/>
      <c r="E368"/>
      <c r="F368"/>
      <c r="G368"/>
      <c r="H368"/>
      <c r="I368"/>
      <c r="J368"/>
      <c r="K368"/>
      <c r="L368"/>
      <c r="M368"/>
      <c r="N368"/>
      <c r="O368"/>
      <c r="P368"/>
      <c r="Q368"/>
    </row>
    <row r="369" spans="2:17" x14ac:dyDescent="0.25">
      <c r="B369"/>
      <c r="C369"/>
      <c r="D369"/>
      <c r="E369"/>
      <c r="F369"/>
      <c r="G369"/>
      <c r="H369"/>
      <c r="I369"/>
      <c r="J369"/>
      <c r="K369"/>
      <c r="L369"/>
      <c r="M369"/>
      <c r="N369"/>
      <c r="O369"/>
      <c r="P369"/>
      <c r="Q369"/>
    </row>
    <row r="370" spans="2:17" x14ac:dyDescent="0.25">
      <c r="B370"/>
      <c r="C370"/>
      <c r="D370"/>
      <c r="E370"/>
      <c r="F370"/>
      <c r="G370"/>
      <c r="H370"/>
      <c r="I370"/>
      <c r="J370"/>
      <c r="K370"/>
      <c r="L370"/>
      <c r="M370"/>
      <c r="N370"/>
      <c r="O370"/>
      <c r="P370"/>
      <c r="Q370"/>
    </row>
    <row r="371" spans="2:17" x14ac:dyDescent="0.25">
      <c r="B371"/>
      <c r="C371"/>
      <c r="D371"/>
      <c r="E371"/>
      <c r="F371"/>
      <c r="G371"/>
      <c r="H371"/>
      <c r="I371"/>
      <c r="J371"/>
      <c r="K371"/>
      <c r="L371"/>
      <c r="M371"/>
      <c r="N371"/>
      <c r="O371"/>
      <c r="P371"/>
      <c r="Q371"/>
    </row>
    <row r="372" spans="2:17" x14ac:dyDescent="0.25">
      <c r="B372"/>
      <c r="C372"/>
      <c r="D372"/>
      <c r="E372"/>
      <c r="F372"/>
      <c r="G372"/>
      <c r="H372"/>
      <c r="I372"/>
      <c r="J372"/>
      <c r="K372"/>
      <c r="L372"/>
      <c r="M372"/>
      <c r="N372"/>
      <c r="O372"/>
      <c r="P372"/>
      <c r="Q372"/>
    </row>
    <row r="373" spans="2:17" x14ac:dyDescent="0.25">
      <c r="B373"/>
      <c r="C373"/>
      <c r="D373"/>
      <c r="E373"/>
      <c r="F373"/>
      <c r="G373"/>
      <c r="H373"/>
      <c r="I373"/>
      <c r="J373"/>
      <c r="K373"/>
      <c r="L373"/>
      <c r="M373"/>
      <c r="N373"/>
      <c r="O373"/>
      <c r="P373"/>
      <c r="Q373"/>
    </row>
    <row r="374" spans="2:17" x14ac:dyDescent="0.25">
      <c r="B374"/>
      <c r="C374"/>
      <c r="D374"/>
      <c r="E374"/>
      <c r="F374"/>
      <c r="G374"/>
      <c r="H374"/>
      <c r="I374"/>
      <c r="J374"/>
      <c r="K374"/>
      <c r="L374"/>
      <c r="M374"/>
      <c r="N374"/>
      <c r="O374"/>
      <c r="P374"/>
      <c r="Q374"/>
    </row>
    <row r="375" spans="2:17" x14ac:dyDescent="0.25">
      <c r="B375"/>
      <c r="C375"/>
      <c r="D375"/>
      <c r="E375"/>
      <c r="F375"/>
      <c r="G375"/>
      <c r="H375"/>
      <c r="I375"/>
      <c r="J375"/>
      <c r="K375"/>
      <c r="L375"/>
      <c r="M375"/>
      <c r="N375"/>
      <c r="O375"/>
      <c r="P375"/>
      <c r="Q375"/>
    </row>
    <row r="376" spans="2:17" x14ac:dyDescent="0.25">
      <c r="B376"/>
      <c r="C376"/>
      <c r="D376"/>
      <c r="E376"/>
      <c r="F376"/>
      <c r="G376"/>
      <c r="H376"/>
      <c r="I376"/>
      <c r="J376"/>
      <c r="K376"/>
      <c r="L376"/>
      <c r="M376"/>
      <c r="N376"/>
      <c r="O376"/>
      <c r="P376"/>
      <c r="Q376"/>
    </row>
    <row r="377" spans="2:17" x14ac:dyDescent="0.25">
      <c r="B377"/>
      <c r="C377"/>
      <c r="D377"/>
      <c r="E377"/>
      <c r="F377"/>
      <c r="G377"/>
      <c r="H377"/>
      <c r="I377"/>
      <c r="J377"/>
      <c r="K377"/>
      <c r="L377"/>
      <c r="M377"/>
      <c r="N377"/>
      <c r="O377"/>
      <c r="P377"/>
      <c r="Q377"/>
    </row>
    <row r="378" spans="2:17" x14ac:dyDescent="0.25">
      <c r="B378"/>
      <c r="C378"/>
      <c r="D378"/>
      <c r="E378"/>
      <c r="F378"/>
      <c r="G378"/>
      <c r="H378"/>
      <c r="I378"/>
      <c r="J378"/>
      <c r="K378"/>
      <c r="L378"/>
      <c r="M378"/>
      <c r="N378"/>
      <c r="O378"/>
      <c r="P378"/>
      <c r="Q378"/>
    </row>
    <row r="379" spans="2:17" x14ac:dyDescent="0.25">
      <c r="B379"/>
      <c r="C379"/>
      <c r="D379"/>
      <c r="E379"/>
      <c r="F379"/>
      <c r="G379"/>
      <c r="H379"/>
      <c r="I379"/>
      <c r="J379"/>
      <c r="K379"/>
      <c r="L379"/>
      <c r="M379"/>
      <c r="N379"/>
      <c r="O379"/>
      <c r="P379"/>
      <c r="Q379"/>
    </row>
    <row r="380" spans="2:17" x14ac:dyDescent="0.25">
      <c r="B380"/>
      <c r="C380"/>
      <c r="D380"/>
      <c r="E380"/>
      <c r="F380"/>
      <c r="G380"/>
      <c r="H380"/>
      <c r="I380"/>
      <c r="J380"/>
      <c r="K380"/>
      <c r="L380"/>
      <c r="M380"/>
      <c r="N380"/>
      <c r="O380"/>
      <c r="P380"/>
      <c r="Q380"/>
    </row>
    <row r="381" spans="2:17" x14ac:dyDescent="0.25">
      <c r="B381"/>
      <c r="C381"/>
      <c r="D381"/>
      <c r="E381"/>
      <c r="F381"/>
      <c r="G381"/>
      <c r="H381"/>
      <c r="I381"/>
      <c r="J381"/>
      <c r="K381"/>
      <c r="L381"/>
      <c r="M381"/>
      <c r="N381"/>
      <c r="O381"/>
      <c r="P381"/>
      <c r="Q381"/>
    </row>
    <row r="382" spans="2:17" x14ac:dyDescent="0.25">
      <c r="B382"/>
      <c r="C382"/>
      <c r="D382"/>
      <c r="E382"/>
      <c r="F382"/>
      <c r="G382"/>
      <c r="H382"/>
      <c r="I382"/>
      <c r="J382"/>
      <c r="K382"/>
      <c r="L382"/>
      <c r="M382"/>
      <c r="N382"/>
      <c r="O382"/>
      <c r="P382"/>
      <c r="Q382"/>
    </row>
    <row r="383" spans="2:17" x14ac:dyDescent="0.25">
      <c r="B383"/>
      <c r="C383"/>
      <c r="D383"/>
      <c r="E383"/>
      <c r="F383"/>
      <c r="G383"/>
      <c r="H383"/>
      <c r="I383"/>
      <c r="J383"/>
      <c r="K383"/>
      <c r="L383"/>
      <c r="M383"/>
      <c r="N383"/>
      <c r="O383"/>
      <c r="P383"/>
      <c r="Q383"/>
    </row>
    <row r="384" spans="2:17" x14ac:dyDescent="0.25">
      <c r="B384"/>
      <c r="C384"/>
      <c r="D384"/>
      <c r="E384"/>
      <c r="F384"/>
      <c r="G384"/>
      <c r="H384"/>
      <c r="I384"/>
      <c r="J384"/>
      <c r="K384"/>
      <c r="L384"/>
      <c r="M384"/>
      <c r="N384"/>
      <c r="O384"/>
      <c r="P384"/>
      <c r="Q384"/>
    </row>
    <row r="385" spans="2:17" x14ac:dyDescent="0.25">
      <c r="B385"/>
      <c r="C385"/>
      <c r="D385"/>
      <c r="E385"/>
      <c r="F385"/>
      <c r="G385"/>
      <c r="H385"/>
      <c r="I385"/>
      <c r="J385"/>
      <c r="K385"/>
      <c r="L385"/>
      <c r="M385"/>
      <c r="N385"/>
      <c r="O385"/>
      <c r="P385"/>
      <c r="Q385"/>
    </row>
    <row r="386" spans="2:17" x14ac:dyDescent="0.25">
      <c r="B386"/>
      <c r="C386"/>
      <c r="D386"/>
      <c r="E386"/>
      <c r="F386"/>
      <c r="G386"/>
      <c r="H386"/>
      <c r="I386"/>
      <c r="J386"/>
      <c r="K386"/>
      <c r="L386"/>
      <c r="M386"/>
      <c r="N386"/>
      <c r="O386"/>
      <c r="P386"/>
      <c r="Q386"/>
    </row>
    <row r="387" spans="2:17" x14ac:dyDescent="0.25">
      <c r="B387"/>
      <c r="C387"/>
      <c r="D387"/>
      <c r="E387"/>
      <c r="F387"/>
      <c r="G387"/>
      <c r="H387"/>
      <c r="I387"/>
      <c r="J387"/>
      <c r="K387"/>
      <c r="L387"/>
      <c r="M387"/>
      <c r="N387"/>
      <c r="O387"/>
      <c r="P387"/>
      <c r="Q387"/>
    </row>
    <row r="388" spans="2:17" x14ac:dyDescent="0.25">
      <c r="B388"/>
      <c r="C388"/>
      <c r="D388"/>
      <c r="E388"/>
      <c r="F388"/>
      <c r="G388"/>
      <c r="H388"/>
      <c r="I388"/>
      <c r="J388"/>
      <c r="K388"/>
      <c r="L388"/>
      <c r="M388"/>
      <c r="N388"/>
      <c r="O388"/>
      <c r="P388"/>
      <c r="Q388"/>
    </row>
    <row r="389" spans="2:17" x14ac:dyDescent="0.25">
      <c r="B389"/>
      <c r="C389"/>
      <c r="D389"/>
      <c r="E389"/>
      <c r="F389"/>
      <c r="G389"/>
      <c r="H389"/>
      <c r="I389"/>
      <c r="J389"/>
      <c r="K389"/>
      <c r="L389"/>
      <c r="M389"/>
      <c r="N389"/>
      <c r="O389"/>
      <c r="P389"/>
      <c r="Q389"/>
    </row>
    <row r="390" spans="2:17" x14ac:dyDescent="0.25">
      <c r="B390"/>
      <c r="C390"/>
      <c r="D390"/>
      <c r="E390"/>
      <c r="F390"/>
      <c r="G390"/>
      <c r="H390"/>
      <c r="I390"/>
      <c r="J390"/>
      <c r="K390"/>
      <c r="L390"/>
      <c r="M390"/>
      <c r="N390"/>
      <c r="O390"/>
      <c r="P390"/>
      <c r="Q390"/>
    </row>
    <row r="391" spans="2:17" x14ac:dyDescent="0.25">
      <c r="B391"/>
      <c r="C391"/>
      <c r="D391"/>
      <c r="E391"/>
      <c r="F391"/>
      <c r="G391"/>
      <c r="H391"/>
      <c r="I391"/>
      <c r="J391"/>
      <c r="K391"/>
      <c r="L391"/>
      <c r="M391"/>
      <c r="N391"/>
      <c r="O391"/>
      <c r="P391"/>
      <c r="Q391"/>
    </row>
    <row r="392" spans="2:17" x14ac:dyDescent="0.25">
      <c r="B392"/>
      <c r="C392"/>
      <c r="D392"/>
      <c r="E392"/>
      <c r="F392"/>
      <c r="G392"/>
      <c r="H392"/>
      <c r="I392"/>
      <c r="J392"/>
      <c r="K392"/>
      <c r="L392"/>
      <c r="M392"/>
      <c r="N392"/>
      <c r="O392"/>
      <c r="P392"/>
      <c r="Q392"/>
    </row>
    <row r="393" spans="2:17" x14ac:dyDescent="0.25">
      <c r="B393"/>
      <c r="C393"/>
      <c r="D393"/>
      <c r="E393"/>
      <c r="F393"/>
      <c r="G393"/>
      <c r="H393"/>
      <c r="I393"/>
      <c r="J393"/>
      <c r="K393"/>
      <c r="L393"/>
      <c r="M393"/>
      <c r="N393"/>
      <c r="O393"/>
      <c r="P393"/>
      <c r="Q393"/>
    </row>
    <row r="394" spans="2:17" x14ac:dyDescent="0.25">
      <c r="B394"/>
      <c r="C394"/>
      <c r="D394"/>
      <c r="E394"/>
      <c r="F394"/>
      <c r="G394"/>
      <c r="H394"/>
      <c r="I394"/>
      <c r="J394"/>
      <c r="K394"/>
      <c r="L394"/>
      <c r="M394"/>
      <c r="N394"/>
      <c r="O394"/>
      <c r="P394"/>
      <c r="Q394"/>
    </row>
    <row r="395" spans="2:17" x14ac:dyDescent="0.25">
      <c r="B395"/>
      <c r="C395"/>
      <c r="D395"/>
      <c r="E395"/>
      <c r="F395"/>
      <c r="G395"/>
      <c r="H395"/>
      <c r="I395"/>
      <c r="J395"/>
      <c r="K395"/>
      <c r="L395"/>
      <c r="M395"/>
      <c r="N395"/>
      <c r="O395"/>
      <c r="P395"/>
      <c r="Q395"/>
    </row>
    <row r="396" spans="2:17" x14ac:dyDescent="0.25">
      <c r="B396"/>
      <c r="C396"/>
      <c r="D396"/>
      <c r="E396"/>
      <c r="F396"/>
      <c r="G396"/>
      <c r="H396"/>
      <c r="I396"/>
      <c r="J396"/>
      <c r="K396"/>
      <c r="L396"/>
      <c r="M396"/>
      <c r="N396"/>
      <c r="O396"/>
      <c r="P396"/>
      <c r="Q396"/>
    </row>
    <row r="397" spans="2:17" x14ac:dyDescent="0.25">
      <c r="B397"/>
      <c r="C397"/>
      <c r="D397"/>
      <c r="E397"/>
      <c r="F397"/>
      <c r="G397"/>
      <c r="H397"/>
      <c r="I397"/>
      <c r="J397"/>
      <c r="K397"/>
      <c r="L397"/>
      <c r="M397"/>
      <c r="N397"/>
      <c r="O397"/>
      <c r="P397"/>
      <c r="Q397"/>
    </row>
    <row r="398" spans="2:17" x14ac:dyDescent="0.25">
      <c r="B398"/>
      <c r="C398"/>
      <c r="D398"/>
      <c r="E398"/>
      <c r="F398"/>
      <c r="G398"/>
      <c r="H398"/>
      <c r="I398"/>
      <c r="J398"/>
      <c r="K398"/>
      <c r="L398"/>
      <c r="M398"/>
      <c r="N398"/>
      <c r="O398"/>
      <c r="P398"/>
      <c r="Q398"/>
    </row>
    <row r="399" spans="2:17" x14ac:dyDescent="0.25">
      <c r="B399"/>
      <c r="C399"/>
      <c r="D399"/>
      <c r="E399"/>
      <c r="F399"/>
      <c r="G399"/>
      <c r="H399"/>
      <c r="I399"/>
      <c r="J399"/>
      <c r="K399"/>
      <c r="L399"/>
      <c r="M399"/>
      <c r="N399"/>
      <c r="O399"/>
      <c r="P399"/>
      <c r="Q399"/>
    </row>
    <row r="400" spans="2:17" x14ac:dyDescent="0.25">
      <c r="B400"/>
      <c r="C400"/>
      <c r="D400"/>
      <c r="E400"/>
      <c r="F400"/>
      <c r="G400"/>
      <c r="H400"/>
      <c r="I400"/>
      <c r="J400"/>
      <c r="K400"/>
      <c r="L400"/>
      <c r="M400"/>
      <c r="N400"/>
      <c r="O400"/>
      <c r="P400"/>
      <c r="Q400"/>
    </row>
    <row r="401" spans="2:17" x14ac:dyDescent="0.25">
      <c r="B401"/>
      <c r="C401"/>
      <c r="D401"/>
      <c r="E401"/>
      <c r="F401"/>
      <c r="G401"/>
      <c r="H401"/>
      <c r="I401"/>
      <c r="J401"/>
      <c r="K401"/>
      <c r="L401"/>
      <c r="M401"/>
      <c r="N401"/>
      <c r="O401"/>
      <c r="P401"/>
      <c r="Q401"/>
    </row>
    <row r="402" spans="2:17" x14ac:dyDescent="0.25">
      <c r="B402"/>
      <c r="C402"/>
      <c r="D402"/>
      <c r="E402"/>
      <c r="F402"/>
      <c r="G402"/>
      <c r="H402"/>
      <c r="I402"/>
      <c r="J402"/>
      <c r="K402"/>
      <c r="L402"/>
      <c r="M402"/>
      <c r="N402"/>
      <c r="O402"/>
      <c r="P402"/>
      <c r="Q402"/>
    </row>
    <row r="403" spans="2:17" x14ac:dyDescent="0.25">
      <c r="B403"/>
      <c r="C403"/>
      <c r="D403"/>
      <c r="E403"/>
      <c r="F403"/>
      <c r="G403"/>
      <c r="H403"/>
      <c r="I403"/>
      <c r="J403"/>
      <c r="K403"/>
      <c r="L403"/>
      <c r="M403"/>
      <c r="N403"/>
      <c r="O403"/>
      <c r="P403"/>
      <c r="Q403"/>
    </row>
    <row r="404" spans="2:17" x14ac:dyDescent="0.25">
      <c r="B404"/>
      <c r="C404"/>
      <c r="D404"/>
      <c r="E404"/>
      <c r="F404"/>
      <c r="G404"/>
      <c r="H404"/>
      <c r="I404"/>
      <c r="J404"/>
      <c r="K404"/>
      <c r="L404"/>
      <c r="M404"/>
      <c r="N404"/>
      <c r="O404"/>
      <c r="P404"/>
      <c r="Q404"/>
    </row>
    <row r="405" spans="2:17" x14ac:dyDescent="0.25">
      <c r="B405"/>
      <c r="C405"/>
      <c r="D405"/>
      <c r="E405"/>
      <c r="F405"/>
      <c r="G405"/>
      <c r="H405"/>
      <c r="I405"/>
      <c r="J405"/>
      <c r="K405"/>
      <c r="L405"/>
      <c r="M405"/>
      <c r="N405"/>
      <c r="O405"/>
      <c r="P405"/>
      <c r="Q405"/>
    </row>
    <row r="406" spans="2:17" x14ac:dyDescent="0.25">
      <c r="B406"/>
      <c r="C406"/>
      <c r="D406"/>
      <c r="E406"/>
      <c r="F406"/>
      <c r="G406"/>
      <c r="H406"/>
      <c r="I406"/>
      <c r="J406"/>
      <c r="K406"/>
      <c r="L406"/>
      <c r="M406"/>
      <c r="N406"/>
      <c r="O406"/>
      <c r="P406"/>
      <c r="Q406"/>
    </row>
    <row r="407" spans="2:17" x14ac:dyDescent="0.25">
      <c r="B407"/>
      <c r="C407"/>
      <c r="D407"/>
      <c r="E407"/>
      <c r="F407"/>
      <c r="G407"/>
      <c r="H407"/>
      <c r="I407"/>
      <c r="J407"/>
      <c r="K407"/>
      <c r="L407"/>
      <c r="M407"/>
      <c r="N407"/>
      <c r="O407"/>
      <c r="P407"/>
      <c r="Q407"/>
    </row>
    <row r="408" spans="2:17" x14ac:dyDescent="0.25">
      <c r="B408"/>
      <c r="C408"/>
      <c r="D408"/>
      <c r="E408"/>
      <c r="F408"/>
      <c r="G408"/>
      <c r="H408"/>
      <c r="I408"/>
      <c r="J408"/>
      <c r="K408"/>
      <c r="L408"/>
      <c r="M408"/>
      <c r="N408"/>
      <c r="O408"/>
      <c r="P408"/>
      <c r="Q408"/>
    </row>
    <row r="409" spans="2:17" x14ac:dyDescent="0.25">
      <c r="B409"/>
      <c r="C409"/>
      <c r="D409"/>
      <c r="E409"/>
      <c r="F409"/>
      <c r="G409"/>
      <c r="H409"/>
      <c r="I409"/>
      <c r="J409"/>
      <c r="K409"/>
      <c r="L409"/>
      <c r="M409"/>
      <c r="N409"/>
      <c r="O409"/>
      <c r="P409"/>
      <c r="Q409"/>
    </row>
    <row r="410" spans="2:17" x14ac:dyDescent="0.25">
      <c r="B410"/>
      <c r="C410"/>
      <c r="D410"/>
      <c r="E410"/>
      <c r="F410"/>
      <c r="G410"/>
      <c r="H410"/>
      <c r="I410"/>
      <c r="J410"/>
      <c r="K410"/>
      <c r="L410"/>
      <c r="M410"/>
      <c r="N410"/>
      <c r="O410"/>
      <c r="P410"/>
      <c r="Q410"/>
    </row>
    <row r="411" spans="2:17" x14ac:dyDescent="0.25">
      <c r="B411"/>
      <c r="C411"/>
      <c r="D411"/>
      <c r="E411"/>
      <c r="F411"/>
      <c r="G411"/>
      <c r="H411"/>
      <c r="I411"/>
      <c r="J411"/>
      <c r="K411"/>
      <c r="L411"/>
      <c r="M411"/>
      <c r="N411"/>
      <c r="O411"/>
      <c r="P411"/>
      <c r="Q411"/>
    </row>
    <row r="412" spans="2:17" x14ac:dyDescent="0.25">
      <c r="B412"/>
      <c r="C412"/>
      <c r="D412"/>
      <c r="E412"/>
      <c r="F412"/>
      <c r="G412"/>
      <c r="H412"/>
      <c r="I412"/>
      <c r="J412"/>
      <c r="K412"/>
      <c r="L412"/>
      <c r="M412"/>
      <c r="N412"/>
      <c r="O412"/>
      <c r="P412"/>
      <c r="Q412"/>
    </row>
    <row r="413" spans="2:17" x14ac:dyDescent="0.25">
      <c r="B413"/>
      <c r="C413"/>
      <c r="D413"/>
      <c r="E413"/>
      <c r="F413"/>
      <c r="G413"/>
      <c r="H413"/>
      <c r="I413"/>
      <c r="J413"/>
      <c r="K413"/>
      <c r="L413"/>
      <c r="M413"/>
      <c r="N413"/>
      <c r="O413"/>
      <c r="P413"/>
      <c r="Q413"/>
    </row>
    <row r="414" spans="2:17" x14ac:dyDescent="0.25">
      <c r="B414"/>
      <c r="C414"/>
      <c r="D414"/>
      <c r="E414"/>
      <c r="F414"/>
      <c r="G414"/>
      <c r="H414"/>
      <c r="I414"/>
      <c r="J414"/>
      <c r="K414"/>
      <c r="L414"/>
      <c r="M414"/>
      <c r="N414"/>
      <c r="O414"/>
      <c r="P414"/>
      <c r="Q414"/>
    </row>
    <row r="415" spans="2:17" x14ac:dyDescent="0.25">
      <c r="B415"/>
      <c r="C415"/>
      <c r="D415"/>
      <c r="E415"/>
      <c r="F415"/>
      <c r="G415"/>
      <c r="H415"/>
      <c r="I415"/>
      <c r="J415"/>
      <c r="K415"/>
      <c r="L415"/>
      <c r="M415"/>
      <c r="N415"/>
      <c r="O415"/>
      <c r="P415"/>
      <c r="Q415"/>
    </row>
    <row r="416" spans="2:17" x14ac:dyDescent="0.25">
      <c r="B416"/>
      <c r="C416"/>
      <c r="D416"/>
      <c r="E416"/>
      <c r="F416"/>
      <c r="G416"/>
      <c r="H416"/>
      <c r="I416"/>
      <c r="J416"/>
      <c r="K416"/>
      <c r="L416"/>
      <c r="M416"/>
      <c r="N416"/>
      <c r="O416"/>
      <c r="P416"/>
      <c r="Q416"/>
    </row>
    <row r="417" spans="2:17" x14ac:dyDescent="0.25">
      <c r="B417"/>
      <c r="C417"/>
      <c r="D417"/>
      <c r="E417"/>
      <c r="F417"/>
      <c r="G417"/>
      <c r="H417"/>
      <c r="I417"/>
      <c r="J417"/>
      <c r="K417"/>
      <c r="L417"/>
      <c r="M417"/>
      <c r="N417"/>
      <c r="O417"/>
      <c r="P417"/>
      <c r="Q417"/>
    </row>
    <row r="418" spans="2:17" x14ac:dyDescent="0.25">
      <c r="B418"/>
      <c r="C418"/>
      <c r="D418"/>
      <c r="E418"/>
      <c r="F418"/>
      <c r="G418"/>
      <c r="H418"/>
      <c r="I418"/>
      <c r="J418"/>
      <c r="K418"/>
      <c r="L418"/>
      <c r="M418"/>
      <c r="N418"/>
      <c r="O418"/>
      <c r="P418"/>
      <c r="Q418"/>
    </row>
    <row r="419" spans="2:17" x14ac:dyDescent="0.25">
      <c r="B419"/>
      <c r="C419"/>
      <c r="D419"/>
      <c r="E419"/>
      <c r="F419"/>
      <c r="G419"/>
      <c r="H419"/>
      <c r="I419"/>
      <c r="J419"/>
      <c r="K419"/>
      <c r="L419"/>
      <c r="M419"/>
      <c r="N419"/>
      <c r="O419"/>
      <c r="P419"/>
      <c r="Q419"/>
    </row>
    <row r="420" spans="2:17" x14ac:dyDescent="0.25">
      <c r="B420"/>
      <c r="C420"/>
      <c r="D420"/>
      <c r="E420"/>
      <c r="F420"/>
      <c r="G420"/>
      <c r="H420"/>
      <c r="I420"/>
      <c r="J420"/>
      <c r="K420"/>
      <c r="L420"/>
      <c r="M420"/>
      <c r="N420"/>
      <c r="O420"/>
      <c r="P420"/>
      <c r="Q420"/>
    </row>
    <row r="421" spans="2:17" x14ac:dyDescent="0.25">
      <c r="B421"/>
      <c r="C421"/>
      <c r="D421"/>
      <c r="E421"/>
      <c r="F421"/>
      <c r="G421"/>
      <c r="H421"/>
      <c r="I421"/>
      <c r="J421"/>
      <c r="K421"/>
      <c r="L421"/>
      <c r="M421"/>
      <c r="N421"/>
      <c r="O421"/>
      <c r="P421"/>
      <c r="Q421"/>
    </row>
    <row r="422" spans="2:17" x14ac:dyDescent="0.25">
      <c r="B422"/>
      <c r="C422"/>
      <c r="D422"/>
      <c r="E422"/>
      <c r="F422"/>
      <c r="G422"/>
      <c r="H422"/>
      <c r="I422"/>
      <c r="J422"/>
      <c r="K422"/>
      <c r="L422"/>
      <c r="M422"/>
      <c r="N422"/>
      <c r="O422"/>
      <c r="P422"/>
      <c r="Q422"/>
    </row>
    <row r="423" spans="2:17" x14ac:dyDescent="0.25">
      <c r="B423"/>
      <c r="C423"/>
      <c r="D423"/>
      <c r="E423"/>
      <c r="F423"/>
      <c r="G423"/>
      <c r="H423"/>
      <c r="I423"/>
      <c r="J423"/>
      <c r="K423"/>
      <c r="L423"/>
      <c r="M423"/>
      <c r="N423"/>
      <c r="O423"/>
      <c r="P423"/>
      <c r="Q423"/>
    </row>
    <row r="424" spans="2:17" x14ac:dyDescent="0.25">
      <c r="B424"/>
      <c r="C424"/>
      <c r="D424"/>
      <c r="E424"/>
      <c r="F424"/>
      <c r="G424"/>
      <c r="H424"/>
      <c r="I424"/>
      <c r="J424"/>
      <c r="K424"/>
      <c r="L424"/>
      <c r="M424"/>
      <c r="N424"/>
      <c r="O424"/>
      <c r="P424"/>
      <c r="Q424"/>
    </row>
    <row r="425" spans="2:17" x14ac:dyDescent="0.25">
      <c r="B425"/>
      <c r="C425"/>
      <c r="D425"/>
      <c r="E425"/>
      <c r="F425"/>
      <c r="G425"/>
      <c r="H425"/>
      <c r="I425"/>
      <c r="J425"/>
      <c r="K425"/>
      <c r="L425"/>
      <c r="M425"/>
      <c r="N425"/>
      <c r="O425"/>
      <c r="P425"/>
      <c r="Q425"/>
    </row>
    <row r="426" spans="2:17" x14ac:dyDescent="0.25">
      <c r="B426"/>
      <c r="C426"/>
      <c r="D426"/>
      <c r="E426"/>
      <c r="F426"/>
      <c r="G426"/>
      <c r="H426"/>
      <c r="I426"/>
      <c r="J426"/>
      <c r="K426"/>
      <c r="L426"/>
      <c r="M426"/>
      <c r="N426"/>
      <c r="O426"/>
      <c r="P426"/>
      <c r="Q426"/>
    </row>
    <row r="427" spans="2:17" x14ac:dyDescent="0.25">
      <c r="B427"/>
      <c r="C427"/>
      <c r="D427"/>
      <c r="E427"/>
      <c r="F427"/>
      <c r="G427"/>
      <c r="H427"/>
      <c r="I427"/>
      <c r="J427"/>
      <c r="K427"/>
      <c r="L427"/>
      <c r="M427"/>
      <c r="N427"/>
      <c r="O427"/>
      <c r="P427"/>
      <c r="Q427"/>
    </row>
    <row r="428" spans="2:17" x14ac:dyDescent="0.25">
      <c r="B428"/>
      <c r="C428"/>
      <c r="D428"/>
      <c r="E428"/>
      <c r="F428"/>
      <c r="G428"/>
      <c r="H428"/>
      <c r="I428"/>
      <c r="J428"/>
      <c r="K428"/>
      <c r="L428"/>
      <c r="M428"/>
      <c r="N428"/>
      <c r="O428"/>
      <c r="P428"/>
      <c r="Q428"/>
    </row>
    <row r="429" spans="2:17" x14ac:dyDescent="0.25">
      <c r="B429"/>
      <c r="C429"/>
      <c r="D429"/>
      <c r="E429"/>
      <c r="F429"/>
      <c r="G429"/>
      <c r="H429"/>
      <c r="I429"/>
      <c r="J429"/>
      <c r="K429"/>
      <c r="L429"/>
      <c r="M429"/>
      <c r="N429"/>
      <c r="O429"/>
      <c r="P429"/>
      <c r="Q429"/>
    </row>
    <row r="430" spans="2:17" x14ac:dyDescent="0.25">
      <c r="B430"/>
      <c r="C430"/>
      <c r="D430"/>
      <c r="E430"/>
      <c r="F430"/>
      <c r="G430"/>
      <c r="H430"/>
      <c r="I430"/>
      <c r="J430"/>
      <c r="K430"/>
      <c r="L430"/>
      <c r="M430"/>
      <c r="N430"/>
      <c r="O430"/>
      <c r="P430"/>
      <c r="Q430"/>
    </row>
    <row r="431" spans="2:17" x14ac:dyDescent="0.25">
      <c r="B431"/>
      <c r="C431"/>
      <c r="D431"/>
      <c r="E431"/>
      <c r="F431"/>
      <c r="G431"/>
      <c r="H431"/>
      <c r="I431"/>
      <c r="J431"/>
      <c r="K431"/>
      <c r="L431"/>
      <c r="M431"/>
      <c r="N431"/>
      <c r="O431"/>
      <c r="P431"/>
      <c r="Q431"/>
    </row>
    <row r="432" spans="2:17" x14ac:dyDescent="0.25">
      <c r="B432"/>
      <c r="C432"/>
      <c r="D432"/>
      <c r="E432"/>
      <c r="F432"/>
      <c r="G432"/>
      <c r="H432"/>
      <c r="I432"/>
      <c r="J432"/>
      <c r="K432"/>
      <c r="L432"/>
      <c r="M432"/>
      <c r="N432"/>
      <c r="O432"/>
      <c r="P432"/>
      <c r="Q432"/>
    </row>
    <row r="433" spans="2:17" x14ac:dyDescent="0.25">
      <c r="B433"/>
      <c r="C433"/>
      <c r="D433"/>
      <c r="E433"/>
      <c r="F433"/>
      <c r="G433"/>
      <c r="H433"/>
      <c r="I433"/>
      <c r="J433"/>
      <c r="K433"/>
      <c r="L433"/>
      <c r="M433"/>
      <c r="N433"/>
      <c r="O433"/>
      <c r="P433"/>
      <c r="Q433"/>
    </row>
    <row r="434" spans="2:17" x14ac:dyDescent="0.25">
      <c r="B434"/>
      <c r="C434"/>
      <c r="D434"/>
      <c r="E434"/>
      <c r="F434"/>
      <c r="G434"/>
      <c r="H434"/>
      <c r="I434"/>
      <c r="J434"/>
      <c r="K434"/>
      <c r="L434"/>
      <c r="M434"/>
      <c r="N434"/>
      <c r="O434"/>
      <c r="P434"/>
      <c r="Q434"/>
    </row>
    <row r="435" spans="2:17" x14ac:dyDescent="0.25">
      <c r="B435"/>
      <c r="C435"/>
      <c r="D435"/>
      <c r="E435"/>
      <c r="F435"/>
      <c r="G435"/>
      <c r="H435"/>
      <c r="I435"/>
      <c r="J435"/>
      <c r="K435"/>
      <c r="L435"/>
      <c r="M435"/>
      <c r="N435"/>
      <c r="O435"/>
      <c r="P435"/>
      <c r="Q435"/>
    </row>
    <row r="436" spans="2:17" x14ac:dyDescent="0.25">
      <c r="B436"/>
      <c r="C436"/>
      <c r="D436"/>
      <c r="E436"/>
      <c r="F436"/>
      <c r="G436"/>
      <c r="H436"/>
      <c r="I436"/>
      <c r="J436"/>
      <c r="K436"/>
      <c r="L436"/>
      <c r="M436"/>
      <c r="N436"/>
      <c r="O436"/>
      <c r="P436"/>
      <c r="Q436"/>
    </row>
    <row r="437" spans="2:17" x14ac:dyDescent="0.25">
      <c r="B437"/>
      <c r="C437"/>
      <c r="D437"/>
      <c r="E437"/>
      <c r="F437"/>
      <c r="G437"/>
      <c r="H437"/>
      <c r="I437"/>
      <c r="J437"/>
      <c r="K437"/>
      <c r="L437"/>
      <c r="M437"/>
      <c r="N437"/>
      <c r="O437"/>
      <c r="P437"/>
      <c r="Q437"/>
    </row>
    <row r="438" spans="2:17" x14ac:dyDescent="0.25">
      <c r="B438"/>
      <c r="C438"/>
      <c r="D438"/>
      <c r="E438"/>
      <c r="F438"/>
      <c r="G438"/>
      <c r="H438"/>
      <c r="I438"/>
      <c r="J438"/>
      <c r="K438"/>
      <c r="L438"/>
      <c r="M438"/>
      <c r="N438"/>
      <c r="O438"/>
      <c r="P438"/>
      <c r="Q438"/>
    </row>
    <row r="439" spans="2:17" x14ac:dyDescent="0.25">
      <c r="B439"/>
      <c r="C439"/>
      <c r="D439"/>
      <c r="E439"/>
      <c r="F439"/>
      <c r="G439"/>
      <c r="H439"/>
      <c r="I439"/>
      <c r="J439"/>
      <c r="K439"/>
      <c r="L439"/>
      <c r="M439"/>
      <c r="N439"/>
      <c r="O439"/>
      <c r="P439"/>
      <c r="Q439"/>
    </row>
    <row r="440" spans="2:17" x14ac:dyDescent="0.25">
      <c r="B440"/>
      <c r="C440"/>
      <c r="D440"/>
      <c r="E440"/>
      <c r="F440"/>
      <c r="G440"/>
      <c r="H440"/>
      <c r="I440"/>
      <c r="J440"/>
      <c r="K440"/>
      <c r="L440"/>
      <c r="M440"/>
      <c r="N440"/>
      <c r="O440"/>
      <c r="P440"/>
      <c r="Q440"/>
    </row>
    <row r="441" spans="2:17" x14ac:dyDescent="0.25">
      <c r="B441"/>
      <c r="C441"/>
      <c r="D441"/>
      <c r="E441"/>
      <c r="F441"/>
      <c r="G441"/>
      <c r="H441"/>
      <c r="I441"/>
      <c r="J441"/>
      <c r="K441"/>
      <c r="L441"/>
      <c r="M441"/>
      <c r="N441"/>
      <c r="O441"/>
      <c r="P441"/>
      <c r="Q441"/>
    </row>
    <row r="442" spans="2:17" x14ac:dyDescent="0.25">
      <c r="B442"/>
      <c r="C442"/>
      <c r="D442"/>
      <c r="E442"/>
      <c r="F442"/>
      <c r="G442"/>
      <c r="H442"/>
      <c r="I442"/>
      <c r="J442"/>
      <c r="K442"/>
      <c r="L442"/>
      <c r="M442"/>
      <c r="N442"/>
      <c r="O442"/>
      <c r="P442"/>
      <c r="Q442"/>
    </row>
    <row r="443" spans="2:17" x14ac:dyDescent="0.25">
      <c r="B443"/>
      <c r="C443"/>
      <c r="D443"/>
      <c r="E443"/>
      <c r="F443"/>
      <c r="G443"/>
      <c r="H443"/>
      <c r="I443"/>
      <c r="J443"/>
      <c r="K443"/>
      <c r="L443"/>
      <c r="M443"/>
      <c r="N443"/>
      <c r="O443"/>
      <c r="P443"/>
      <c r="Q443"/>
    </row>
    <row r="444" spans="2:17" x14ac:dyDescent="0.25">
      <c r="B444"/>
      <c r="C444"/>
      <c r="D444"/>
      <c r="E444"/>
      <c r="F444"/>
      <c r="G444"/>
      <c r="H444"/>
      <c r="I444"/>
      <c r="J444"/>
      <c r="K444"/>
      <c r="L444"/>
      <c r="M444"/>
      <c r="N444"/>
      <c r="O444"/>
      <c r="P444"/>
      <c r="Q444"/>
    </row>
    <row r="445" spans="2:17" x14ac:dyDescent="0.25">
      <c r="B445"/>
      <c r="C445"/>
      <c r="D445"/>
      <c r="E445"/>
      <c r="F445"/>
      <c r="G445"/>
      <c r="H445"/>
      <c r="I445"/>
      <c r="J445"/>
      <c r="K445"/>
      <c r="L445"/>
      <c r="M445"/>
      <c r="N445"/>
      <c r="O445"/>
      <c r="P445"/>
      <c r="Q445"/>
    </row>
    <row r="446" spans="2:17" x14ac:dyDescent="0.25">
      <c r="B446"/>
      <c r="C446"/>
      <c r="D446"/>
      <c r="E446"/>
      <c r="F446"/>
      <c r="G446"/>
      <c r="H446"/>
      <c r="I446"/>
      <c r="J446"/>
      <c r="K446"/>
      <c r="L446"/>
      <c r="M446"/>
      <c r="N446"/>
      <c r="O446"/>
      <c r="P446"/>
      <c r="Q446"/>
    </row>
    <row r="447" spans="2:17" x14ac:dyDescent="0.25">
      <c r="B447"/>
      <c r="C447"/>
      <c r="D447"/>
      <c r="E447"/>
      <c r="F447"/>
      <c r="G447"/>
      <c r="H447"/>
      <c r="I447"/>
      <c r="J447"/>
      <c r="K447"/>
      <c r="L447"/>
      <c r="M447"/>
      <c r="N447"/>
      <c r="O447"/>
      <c r="P447"/>
      <c r="Q447"/>
    </row>
    <row r="448" spans="2:17" x14ac:dyDescent="0.25">
      <c r="B448"/>
      <c r="C448"/>
      <c r="D448"/>
      <c r="E448"/>
      <c r="F448"/>
      <c r="G448"/>
      <c r="H448"/>
      <c r="I448"/>
      <c r="J448"/>
      <c r="K448"/>
      <c r="L448"/>
      <c r="M448"/>
      <c r="N448"/>
      <c r="O448"/>
      <c r="P448"/>
      <c r="Q448"/>
    </row>
    <row r="449" spans="2:17" x14ac:dyDescent="0.25">
      <c r="B449"/>
      <c r="C449"/>
      <c r="D449"/>
      <c r="E449"/>
      <c r="F449"/>
      <c r="G449"/>
      <c r="H449"/>
      <c r="I449"/>
      <c r="J449"/>
      <c r="K449"/>
      <c r="L449"/>
      <c r="M449"/>
      <c r="N449"/>
      <c r="O449"/>
      <c r="P449"/>
      <c r="Q449"/>
    </row>
    <row r="450" spans="2:17" x14ac:dyDescent="0.25">
      <c r="B450"/>
      <c r="C450"/>
      <c r="D450"/>
      <c r="E450"/>
      <c r="F450"/>
      <c r="G450"/>
      <c r="H450"/>
      <c r="I450"/>
      <c r="J450"/>
      <c r="K450"/>
      <c r="L450"/>
      <c r="M450"/>
      <c r="N450"/>
      <c r="O450"/>
      <c r="P450"/>
      <c r="Q450"/>
    </row>
    <row r="451" spans="2:17" x14ac:dyDescent="0.25">
      <c r="B451"/>
      <c r="C451"/>
      <c r="D451"/>
      <c r="E451"/>
      <c r="F451"/>
      <c r="G451"/>
      <c r="H451"/>
      <c r="I451"/>
      <c r="J451"/>
      <c r="K451"/>
      <c r="L451"/>
      <c r="M451"/>
      <c r="N451"/>
      <c r="O451"/>
      <c r="P451"/>
      <c r="Q451"/>
    </row>
    <row r="452" spans="2:17" x14ac:dyDescent="0.25">
      <c r="B452"/>
      <c r="C452"/>
      <c r="D452"/>
      <c r="E452"/>
      <c r="F452"/>
      <c r="G452"/>
      <c r="H452"/>
      <c r="I452"/>
      <c r="J452"/>
      <c r="K452"/>
      <c r="L452"/>
      <c r="M452"/>
      <c r="N452"/>
      <c r="O452"/>
      <c r="P452"/>
      <c r="Q452"/>
    </row>
    <row r="453" spans="2:17" x14ac:dyDescent="0.25">
      <c r="B453"/>
      <c r="C453"/>
      <c r="D453"/>
      <c r="E453"/>
      <c r="F453"/>
      <c r="G453"/>
      <c r="H453"/>
      <c r="I453"/>
      <c r="J453"/>
      <c r="K453"/>
      <c r="L453"/>
      <c r="M453"/>
      <c r="N453"/>
      <c r="O453"/>
      <c r="P453"/>
      <c r="Q453"/>
    </row>
    <row r="454" spans="2:17" x14ac:dyDescent="0.25">
      <c r="B454"/>
      <c r="C454"/>
      <c r="D454"/>
      <c r="E454"/>
      <c r="F454"/>
      <c r="G454"/>
      <c r="H454"/>
      <c r="I454"/>
      <c r="J454"/>
      <c r="K454"/>
      <c r="L454"/>
      <c r="M454"/>
      <c r="N454"/>
      <c r="O454"/>
      <c r="P454"/>
      <c r="Q454"/>
    </row>
    <row r="455" spans="2:17" x14ac:dyDescent="0.25">
      <c r="B455"/>
      <c r="C455"/>
      <c r="D455"/>
      <c r="E455"/>
      <c r="F455"/>
      <c r="G455"/>
      <c r="H455"/>
      <c r="I455"/>
      <c r="J455"/>
      <c r="K455"/>
      <c r="L455"/>
      <c r="M455"/>
      <c r="N455"/>
      <c r="O455"/>
      <c r="P455"/>
      <c r="Q455"/>
    </row>
    <row r="456" spans="2:17" x14ac:dyDescent="0.25">
      <c r="B456"/>
      <c r="C456"/>
      <c r="D456"/>
      <c r="E456"/>
      <c r="F456"/>
      <c r="G456"/>
      <c r="H456"/>
      <c r="I456"/>
      <c r="J456"/>
      <c r="K456"/>
      <c r="L456"/>
      <c r="M456"/>
      <c r="N456"/>
      <c r="O456"/>
      <c r="P456"/>
      <c r="Q456"/>
    </row>
    <row r="457" spans="2:17" x14ac:dyDescent="0.25">
      <c r="B457"/>
      <c r="C457"/>
      <c r="D457"/>
      <c r="E457"/>
      <c r="F457"/>
      <c r="G457"/>
      <c r="H457"/>
      <c r="I457"/>
      <c r="J457"/>
      <c r="K457"/>
      <c r="L457"/>
      <c r="M457"/>
      <c r="N457"/>
      <c r="O457"/>
      <c r="P457"/>
      <c r="Q457"/>
    </row>
    <row r="458" spans="2:17" x14ac:dyDescent="0.25">
      <c r="B458"/>
      <c r="C458"/>
      <c r="D458"/>
      <c r="E458"/>
      <c r="F458"/>
      <c r="G458"/>
      <c r="H458"/>
      <c r="I458"/>
      <c r="J458"/>
      <c r="K458"/>
      <c r="L458"/>
      <c r="M458"/>
      <c r="N458"/>
      <c r="O458"/>
      <c r="P458"/>
      <c r="Q458"/>
    </row>
    <row r="459" spans="2:17" x14ac:dyDescent="0.25">
      <c r="B459"/>
      <c r="C459"/>
      <c r="D459"/>
      <c r="E459"/>
      <c r="F459"/>
      <c r="G459"/>
      <c r="H459"/>
      <c r="I459"/>
      <c r="J459"/>
      <c r="K459"/>
      <c r="L459"/>
      <c r="M459"/>
      <c r="N459"/>
      <c r="O459"/>
      <c r="P459"/>
      <c r="Q459"/>
    </row>
    <row r="460" spans="2:17" x14ac:dyDescent="0.25">
      <c r="B460"/>
      <c r="C460"/>
      <c r="D460"/>
      <c r="E460"/>
      <c r="F460"/>
      <c r="G460"/>
      <c r="H460"/>
      <c r="I460"/>
      <c r="J460"/>
      <c r="K460"/>
      <c r="L460"/>
      <c r="M460"/>
      <c r="N460"/>
      <c r="O460"/>
      <c r="P460"/>
      <c r="Q460"/>
    </row>
    <row r="461" spans="2:17" x14ac:dyDescent="0.25">
      <c r="B461"/>
      <c r="C461"/>
      <c r="D461"/>
      <c r="E461"/>
      <c r="F461"/>
      <c r="G461"/>
      <c r="H461"/>
      <c r="I461"/>
      <c r="J461"/>
      <c r="K461"/>
      <c r="L461"/>
      <c r="M461"/>
      <c r="N461"/>
      <c r="O461"/>
      <c r="P461"/>
      <c r="Q461"/>
    </row>
    <row r="462" spans="2:17" x14ac:dyDescent="0.25">
      <c r="B462"/>
      <c r="C462"/>
      <c r="D462"/>
      <c r="E462"/>
      <c r="F462"/>
      <c r="G462"/>
      <c r="H462"/>
      <c r="I462"/>
      <c r="J462"/>
      <c r="K462"/>
      <c r="L462"/>
      <c r="M462"/>
      <c r="N462"/>
      <c r="O462"/>
      <c r="P462"/>
      <c r="Q462"/>
    </row>
    <row r="463" spans="2:17" x14ac:dyDescent="0.25">
      <c r="B463"/>
      <c r="C463"/>
      <c r="D463"/>
      <c r="E463"/>
      <c r="F463"/>
      <c r="G463"/>
      <c r="H463"/>
      <c r="I463"/>
      <c r="J463"/>
      <c r="K463"/>
      <c r="L463"/>
      <c r="M463"/>
      <c r="N463"/>
      <c r="O463"/>
      <c r="P463"/>
      <c r="Q463"/>
    </row>
    <row r="464" spans="2:17" x14ac:dyDescent="0.25">
      <c r="B464"/>
      <c r="C464"/>
      <c r="D464"/>
      <c r="E464"/>
      <c r="F464"/>
      <c r="G464"/>
      <c r="H464"/>
      <c r="I464"/>
      <c r="J464"/>
      <c r="K464"/>
      <c r="L464"/>
      <c r="M464"/>
      <c r="N464"/>
      <c r="O464"/>
      <c r="P464"/>
      <c r="Q464"/>
    </row>
    <row r="465" spans="2:17" x14ac:dyDescent="0.25">
      <c r="B465"/>
      <c r="C465"/>
      <c r="D465"/>
      <c r="E465"/>
      <c r="F465"/>
      <c r="G465"/>
      <c r="H465"/>
      <c r="I465"/>
      <c r="J465"/>
      <c r="K465"/>
      <c r="L465"/>
      <c r="M465"/>
      <c r="N465"/>
      <c r="O465"/>
      <c r="P465"/>
      <c r="Q465"/>
    </row>
    <row r="466" spans="2:17" x14ac:dyDescent="0.25">
      <c r="B466"/>
      <c r="C466"/>
      <c r="D466"/>
      <c r="E466"/>
      <c r="F466"/>
      <c r="G466"/>
      <c r="H466"/>
      <c r="I466"/>
      <c r="J466"/>
      <c r="K466"/>
      <c r="L466"/>
      <c r="M466"/>
      <c r="N466"/>
      <c r="O466"/>
      <c r="P466"/>
      <c r="Q466"/>
    </row>
    <row r="467" spans="2:17" x14ac:dyDescent="0.25">
      <c r="B467"/>
      <c r="C467"/>
      <c r="D467"/>
      <c r="E467"/>
      <c r="F467"/>
      <c r="G467"/>
      <c r="H467"/>
      <c r="I467"/>
      <c r="J467"/>
      <c r="K467"/>
      <c r="L467"/>
      <c r="M467"/>
      <c r="N467"/>
      <c r="O467"/>
      <c r="P467"/>
      <c r="Q467"/>
    </row>
    <row r="468" spans="2:17" x14ac:dyDescent="0.25">
      <c r="B468"/>
      <c r="C468"/>
      <c r="D468"/>
      <c r="E468"/>
      <c r="F468"/>
      <c r="G468"/>
      <c r="H468"/>
      <c r="I468"/>
      <c r="J468"/>
      <c r="K468"/>
      <c r="L468"/>
      <c r="M468"/>
      <c r="N468"/>
      <c r="O468"/>
      <c r="P468"/>
      <c r="Q468"/>
    </row>
    <row r="469" spans="2:17" x14ac:dyDescent="0.25">
      <c r="B469"/>
      <c r="C469"/>
      <c r="D469"/>
      <c r="E469"/>
      <c r="F469"/>
      <c r="G469"/>
      <c r="H469"/>
      <c r="I469"/>
      <c r="J469"/>
      <c r="K469"/>
      <c r="L469"/>
      <c r="M469"/>
      <c r="N469"/>
      <c r="O469"/>
      <c r="P469"/>
      <c r="Q469"/>
    </row>
    <row r="470" spans="2:17" x14ac:dyDescent="0.25">
      <c r="B470"/>
      <c r="C470"/>
      <c r="D470"/>
      <c r="E470"/>
      <c r="F470"/>
      <c r="G470"/>
      <c r="H470"/>
      <c r="I470"/>
      <c r="J470"/>
      <c r="K470"/>
      <c r="L470"/>
      <c r="M470"/>
      <c r="N470"/>
      <c r="O470"/>
      <c r="P470"/>
      <c r="Q470"/>
    </row>
    <row r="471" spans="2:17" x14ac:dyDescent="0.25">
      <c r="B471"/>
      <c r="C471"/>
      <c r="D471"/>
      <c r="E471"/>
      <c r="F471"/>
      <c r="G471"/>
      <c r="H471"/>
      <c r="I471"/>
      <c r="J471"/>
      <c r="K471"/>
      <c r="L471"/>
      <c r="M471"/>
      <c r="N471"/>
      <c r="O471"/>
      <c r="P471"/>
      <c r="Q471"/>
    </row>
    <row r="472" spans="2:17" x14ac:dyDescent="0.25">
      <c r="B472"/>
      <c r="C472"/>
      <c r="D472"/>
      <c r="E472"/>
      <c r="F472"/>
      <c r="G472"/>
      <c r="H472"/>
      <c r="I472"/>
      <c r="J472"/>
      <c r="K472"/>
      <c r="L472"/>
      <c r="M472"/>
      <c r="N472"/>
      <c r="O472"/>
      <c r="P472"/>
      <c r="Q472"/>
    </row>
    <row r="473" spans="2:17" x14ac:dyDescent="0.25">
      <c r="B473"/>
      <c r="C473"/>
      <c r="D473"/>
      <c r="E473"/>
      <c r="F473"/>
      <c r="G473"/>
      <c r="H473"/>
      <c r="I473"/>
      <c r="J473"/>
      <c r="K473"/>
      <c r="L473"/>
      <c r="M473"/>
      <c r="N473"/>
      <c r="O473"/>
      <c r="P473"/>
      <c r="Q473"/>
    </row>
    <row r="474" spans="2:17" x14ac:dyDescent="0.25">
      <c r="B474"/>
      <c r="C474"/>
      <c r="D474"/>
      <c r="E474"/>
      <c r="F474"/>
      <c r="G474"/>
      <c r="H474"/>
      <c r="I474"/>
      <c r="J474"/>
      <c r="K474"/>
      <c r="L474"/>
      <c r="M474"/>
      <c r="N474"/>
      <c r="O474"/>
      <c r="P474"/>
      <c r="Q474"/>
    </row>
    <row r="475" spans="2:17" x14ac:dyDescent="0.25">
      <c r="B475"/>
      <c r="C475"/>
      <c r="D475"/>
      <c r="E475"/>
      <c r="F475"/>
      <c r="G475"/>
      <c r="H475"/>
      <c r="I475"/>
      <c r="J475"/>
      <c r="K475"/>
      <c r="L475"/>
      <c r="M475"/>
      <c r="N475"/>
      <c r="O475"/>
      <c r="P475"/>
      <c r="Q475"/>
    </row>
    <row r="476" spans="2:17" x14ac:dyDescent="0.25">
      <c r="B476"/>
      <c r="C476"/>
      <c r="D476"/>
      <c r="E476"/>
      <c r="F476"/>
      <c r="G476"/>
      <c r="H476"/>
      <c r="I476"/>
      <c r="J476"/>
      <c r="K476"/>
      <c r="L476"/>
      <c r="M476"/>
      <c r="N476"/>
      <c r="O476"/>
      <c r="P476"/>
      <c r="Q476"/>
    </row>
    <row r="477" spans="2:17" x14ac:dyDescent="0.25">
      <c r="B477"/>
      <c r="C477"/>
      <c r="D477"/>
      <c r="E477"/>
      <c r="F477"/>
      <c r="G477"/>
      <c r="H477"/>
      <c r="I477"/>
      <c r="J477"/>
      <c r="K477"/>
      <c r="L477"/>
      <c r="M477"/>
      <c r="N477"/>
      <c r="O477"/>
      <c r="P477"/>
      <c r="Q477"/>
    </row>
    <row r="478" spans="2:17" x14ac:dyDescent="0.25">
      <c r="B478"/>
      <c r="C478"/>
      <c r="D478"/>
      <c r="E478"/>
      <c r="F478"/>
      <c r="G478"/>
      <c r="H478"/>
      <c r="I478"/>
      <c r="J478"/>
      <c r="K478"/>
      <c r="L478"/>
      <c r="M478"/>
      <c r="N478"/>
      <c r="O478"/>
      <c r="P478"/>
      <c r="Q478"/>
    </row>
    <row r="479" spans="2:17" x14ac:dyDescent="0.25">
      <c r="B479"/>
      <c r="C479"/>
      <c r="D479"/>
      <c r="E479"/>
      <c r="F479"/>
      <c r="G479"/>
      <c r="H479"/>
      <c r="I479"/>
      <c r="J479"/>
      <c r="K479"/>
      <c r="L479"/>
      <c r="M479"/>
      <c r="N479"/>
      <c r="O479"/>
      <c r="P479"/>
      <c r="Q479"/>
    </row>
    <row r="480" spans="2:17" x14ac:dyDescent="0.25">
      <c r="B480"/>
      <c r="C480"/>
      <c r="D480"/>
      <c r="E480"/>
      <c r="F480"/>
      <c r="G480"/>
      <c r="H480"/>
      <c r="I480"/>
      <c r="J480"/>
      <c r="K480"/>
      <c r="L480"/>
      <c r="M480"/>
      <c r="N480"/>
      <c r="O480"/>
      <c r="P480"/>
      <c r="Q480"/>
    </row>
    <row r="481" spans="2:17" x14ac:dyDescent="0.25">
      <c r="B481"/>
      <c r="C481"/>
      <c r="D481"/>
      <c r="E481"/>
      <c r="F481"/>
      <c r="G481"/>
      <c r="H481"/>
      <c r="I481"/>
      <c r="J481"/>
      <c r="K481"/>
      <c r="L481"/>
      <c r="M481"/>
      <c r="N481"/>
      <c r="O481"/>
      <c r="P481"/>
      <c r="Q481"/>
    </row>
    <row r="482" spans="2:17" x14ac:dyDescent="0.25">
      <c r="B482"/>
      <c r="C482"/>
      <c r="D482"/>
      <c r="E482"/>
      <c r="F482"/>
      <c r="G482"/>
      <c r="H482"/>
      <c r="I482"/>
      <c r="J482"/>
      <c r="K482"/>
      <c r="L482"/>
      <c r="M482"/>
      <c r="N482"/>
      <c r="O482"/>
      <c r="P482"/>
      <c r="Q482"/>
    </row>
    <row r="483" spans="2:17" x14ac:dyDescent="0.25">
      <c r="B483"/>
      <c r="C483"/>
      <c r="D483"/>
      <c r="E483"/>
      <c r="F483"/>
      <c r="G483"/>
      <c r="H483"/>
      <c r="I483"/>
      <c r="J483"/>
      <c r="K483"/>
      <c r="L483"/>
      <c r="M483"/>
      <c r="N483"/>
      <c r="O483"/>
      <c r="P483"/>
      <c r="Q483"/>
    </row>
    <row r="484" spans="2:17" x14ac:dyDescent="0.25">
      <c r="B484"/>
      <c r="C484"/>
      <c r="D484"/>
      <c r="E484"/>
      <c r="F484"/>
      <c r="G484"/>
      <c r="H484"/>
      <c r="I484"/>
      <c r="J484"/>
      <c r="K484"/>
      <c r="L484"/>
      <c r="M484"/>
      <c r="N484"/>
      <c r="O484"/>
      <c r="P484"/>
      <c r="Q484"/>
    </row>
    <row r="485" spans="2:17" x14ac:dyDescent="0.25">
      <c r="B485"/>
      <c r="C485"/>
      <c r="D485"/>
      <c r="E485"/>
      <c r="F485"/>
      <c r="G485"/>
      <c r="H485"/>
      <c r="I485"/>
      <c r="J485"/>
      <c r="K485"/>
      <c r="L485"/>
      <c r="M485"/>
      <c r="N485"/>
      <c r="O485"/>
      <c r="P485"/>
      <c r="Q485"/>
    </row>
    <row r="486" spans="2:17" x14ac:dyDescent="0.25">
      <c r="B486"/>
      <c r="C486"/>
      <c r="D486"/>
      <c r="E486"/>
      <c r="F486"/>
      <c r="G486"/>
      <c r="H486"/>
      <c r="I486"/>
      <c r="J486"/>
      <c r="K486"/>
      <c r="L486"/>
      <c r="M486"/>
      <c r="N486"/>
      <c r="O486"/>
      <c r="P486"/>
      <c r="Q486"/>
    </row>
    <row r="487" spans="2:17" x14ac:dyDescent="0.25">
      <c r="B487"/>
      <c r="C487"/>
      <c r="D487"/>
      <c r="E487"/>
      <c r="F487"/>
      <c r="G487"/>
      <c r="H487"/>
      <c r="I487"/>
      <c r="J487"/>
      <c r="K487"/>
      <c r="L487"/>
      <c r="M487"/>
      <c r="N487"/>
      <c r="O487"/>
      <c r="P487"/>
      <c r="Q487"/>
    </row>
    <row r="488" spans="2:17" x14ac:dyDescent="0.25">
      <c r="B488"/>
      <c r="C488"/>
      <c r="D488"/>
      <c r="E488"/>
      <c r="F488"/>
      <c r="G488"/>
      <c r="H488"/>
      <c r="I488"/>
      <c r="J488"/>
      <c r="K488"/>
      <c r="L488"/>
      <c r="M488"/>
      <c r="N488"/>
      <c r="O488"/>
      <c r="P488"/>
      <c r="Q488"/>
    </row>
    <row r="489" spans="2:17" x14ac:dyDescent="0.25">
      <c r="B489"/>
      <c r="C489"/>
      <c r="D489"/>
      <c r="E489"/>
      <c r="F489"/>
      <c r="G489"/>
      <c r="H489"/>
      <c r="I489"/>
      <c r="J489"/>
      <c r="K489"/>
      <c r="L489"/>
      <c r="M489"/>
      <c r="N489"/>
      <c r="O489"/>
      <c r="P489"/>
      <c r="Q489"/>
    </row>
    <row r="490" spans="2:17" x14ac:dyDescent="0.25">
      <c r="B490"/>
      <c r="C490"/>
      <c r="D490"/>
      <c r="E490"/>
      <c r="F490"/>
      <c r="G490"/>
      <c r="H490"/>
      <c r="I490"/>
      <c r="J490"/>
      <c r="K490"/>
      <c r="L490"/>
      <c r="M490"/>
      <c r="N490"/>
      <c r="O490"/>
      <c r="P490"/>
      <c r="Q490"/>
    </row>
    <row r="491" spans="2:17" x14ac:dyDescent="0.25">
      <c r="B491"/>
      <c r="C491"/>
      <c r="D491"/>
      <c r="E491"/>
      <c r="F491"/>
      <c r="G491"/>
      <c r="H491"/>
      <c r="I491"/>
      <c r="J491"/>
      <c r="K491"/>
      <c r="L491"/>
      <c r="M491"/>
      <c r="N491"/>
      <c r="O491"/>
      <c r="P491"/>
      <c r="Q491"/>
    </row>
    <row r="492" spans="2:17" x14ac:dyDescent="0.25">
      <c r="B492"/>
      <c r="C492"/>
      <c r="D492"/>
      <c r="E492"/>
      <c r="F492"/>
      <c r="G492"/>
      <c r="H492"/>
      <c r="I492"/>
      <c r="J492"/>
      <c r="K492"/>
      <c r="L492"/>
      <c r="M492"/>
      <c r="N492"/>
      <c r="O492"/>
      <c r="P492"/>
      <c r="Q492"/>
    </row>
    <row r="493" spans="2:17" x14ac:dyDescent="0.25">
      <c r="B493"/>
      <c r="C493"/>
      <c r="D493"/>
      <c r="E493"/>
      <c r="F493"/>
      <c r="G493"/>
      <c r="H493"/>
      <c r="I493"/>
      <c r="J493"/>
      <c r="K493"/>
      <c r="L493"/>
      <c r="M493"/>
      <c r="N493"/>
      <c r="O493"/>
      <c r="P493"/>
      <c r="Q493"/>
    </row>
    <row r="494" spans="2:17" x14ac:dyDescent="0.25">
      <c r="B494"/>
      <c r="C494"/>
      <c r="D494"/>
      <c r="E494"/>
      <c r="F494"/>
      <c r="G494"/>
      <c r="H494"/>
      <c r="I494"/>
      <c r="J494"/>
      <c r="K494"/>
      <c r="L494"/>
      <c r="M494"/>
      <c r="N494"/>
      <c r="O494"/>
      <c r="P494"/>
      <c r="Q494"/>
    </row>
    <row r="495" spans="2:17" x14ac:dyDescent="0.25">
      <c r="B495"/>
      <c r="C495"/>
      <c r="D495"/>
      <c r="E495"/>
      <c r="F495"/>
      <c r="G495"/>
      <c r="H495"/>
      <c r="I495"/>
      <c r="J495"/>
      <c r="K495"/>
      <c r="L495"/>
      <c r="M495"/>
      <c r="N495"/>
      <c r="O495"/>
      <c r="P495"/>
      <c r="Q495"/>
    </row>
    <row r="496" spans="2:17" x14ac:dyDescent="0.25">
      <c r="B496"/>
      <c r="C496"/>
      <c r="D496"/>
      <c r="E496"/>
      <c r="F496"/>
      <c r="G496"/>
      <c r="H496"/>
      <c r="I496"/>
      <c r="J496"/>
      <c r="K496"/>
      <c r="L496"/>
      <c r="M496"/>
      <c r="N496"/>
      <c r="O496"/>
      <c r="P496"/>
      <c r="Q496"/>
    </row>
    <row r="497" spans="2:17" x14ac:dyDescent="0.25">
      <c r="B497"/>
      <c r="C497"/>
      <c r="D497"/>
      <c r="E497"/>
      <c r="F497"/>
      <c r="G497"/>
      <c r="H497"/>
      <c r="I497"/>
      <c r="J497"/>
      <c r="K497"/>
      <c r="L497"/>
      <c r="M497"/>
      <c r="N497"/>
      <c r="O497"/>
      <c r="P497"/>
      <c r="Q497"/>
    </row>
    <row r="498" spans="2:17" x14ac:dyDescent="0.25">
      <c r="B498"/>
      <c r="C498"/>
      <c r="D498"/>
      <c r="E498"/>
      <c r="F498"/>
      <c r="G498"/>
      <c r="H498"/>
      <c r="I498"/>
      <c r="J498"/>
      <c r="K498"/>
      <c r="L498"/>
      <c r="M498"/>
      <c r="N498"/>
      <c r="O498"/>
      <c r="P498"/>
      <c r="Q498"/>
    </row>
    <row r="499" spans="2:17" x14ac:dyDescent="0.25">
      <c r="B499"/>
      <c r="C499"/>
      <c r="D499"/>
      <c r="E499"/>
      <c r="F499"/>
      <c r="G499"/>
      <c r="H499"/>
      <c r="I499"/>
      <c r="J499"/>
      <c r="K499"/>
      <c r="L499"/>
      <c r="M499"/>
      <c r="N499"/>
      <c r="O499"/>
      <c r="P499"/>
      <c r="Q499"/>
    </row>
    <row r="500" spans="2:17" x14ac:dyDescent="0.25">
      <c r="B500"/>
      <c r="C500"/>
      <c r="D500"/>
      <c r="E500"/>
      <c r="F500"/>
      <c r="G500"/>
      <c r="H500"/>
      <c r="I500"/>
      <c r="J500"/>
      <c r="K500"/>
      <c r="L500"/>
      <c r="M500"/>
      <c r="N500"/>
      <c r="O500"/>
      <c r="P500"/>
      <c r="Q500"/>
    </row>
    <row r="501" spans="2:17" x14ac:dyDescent="0.25">
      <c r="B501"/>
      <c r="C501"/>
      <c r="D501"/>
      <c r="E501"/>
      <c r="F501"/>
      <c r="G501"/>
      <c r="H501"/>
      <c r="I501"/>
      <c r="J501"/>
      <c r="K501"/>
      <c r="L501"/>
      <c r="M501"/>
      <c r="N501"/>
      <c r="O501"/>
      <c r="P501"/>
      <c r="Q501"/>
    </row>
    <row r="502" spans="2:17" x14ac:dyDescent="0.25">
      <c r="B502"/>
      <c r="C502"/>
      <c r="D502"/>
      <c r="E502"/>
      <c r="F502"/>
      <c r="G502"/>
      <c r="H502"/>
      <c r="I502"/>
      <c r="J502"/>
      <c r="K502"/>
      <c r="L502"/>
      <c r="M502"/>
      <c r="N502"/>
      <c r="O502"/>
      <c r="P502"/>
      <c r="Q502"/>
    </row>
    <row r="503" spans="2:17" x14ac:dyDescent="0.25">
      <c r="B503"/>
      <c r="C503"/>
      <c r="D503"/>
      <c r="E503"/>
      <c r="F503"/>
      <c r="G503"/>
      <c r="H503"/>
      <c r="I503"/>
      <c r="J503"/>
      <c r="K503"/>
      <c r="L503"/>
      <c r="M503"/>
      <c r="N503"/>
      <c r="O503"/>
      <c r="P503"/>
      <c r="Q503"/>
    </row>
    <row r="504" spans="2:17" x14ac:dyDescent="0.25">
      <c r="B504"/>
      <c r="C504"/>
      <c r="D504"/>
      <c r="E504"/>
      <c r="F504"/>
      <c r="G504"/>
      <c r="H504"/>
      <c r="I504"/>
      <c r="J504"/>
      <c r="K504"/>
      <c r="L504"/>
      <c r="M504"/>
      <c r="N504"/>
      <c r="O504"/>
      <c r="P504"/>
      <c r="Q504"/>
    </row>
    <row r="505" spans="2:17" x14ac:dyDescent="0.25">
      <c r="B505"/>
      <c r="C505"/>
      <c r="D505"/>
      <c r="E505"/>
      <c r="F505"/>
      <c r="G505"/>
      <c r="H505"/>
      <c r="I505"/>
      <c r="J505"/>
      <c r="K505"/>
      <c r="L505"/>
      <c r="M505"/>
      <c r="N505"/>
      <c r="O505"/>
      <c r="P505"/>
      <c r="Q505"/>
    </row>
    <row r="506" spans="2:17" x14ac:dyDescent="0.25">
      <c r="B506"/>
      <c r="C506"/>
      <c r="D506"/>
      <c r="E506"/>
      <c r="F506"/>
      <c r="G506"/>
      <c r="H506"/>
      <c r="I506"/>
      <c r="J506"/>
      <c r="K506"/>
      <c r="L506"/>
      <c r="M506"/>
      <c r="N506"/>
      <c r="O506"/>
      <c r="P506"/>
      <c r="Q506"/>
    </row>
    <row r="507" spans="2:17" x14ac:dyDescent="0.25">
      <c r="B507"/>
      <c r="C507"/>
      <c r="D507"/>
      <c r="E507"/>
      <c r="F507"/>
      <c r="G507"/>
      <c r="H507"/>
      <c r="I507"/>
      <c r="J507"/>
      <c r="K507"/>
      <c r="L507"/>
      <c r="M507"/>
      <c r="N507"/>
      <c r="O507"/>
      <c r="P507"/>
      <c r="Q507"/>
    </row>
    <row r="508" spans="2:17" x14ac:dyDescent="0.25">
      <c r="B508"/>
      <c r="C508"/>
      <c r="D508"/>
      <c r="E508"/>
      <c r="F508"/>
      <c r="G508"/>
      <c r="H508"/>
      <c r="I508"/>
      <c r="J508"/>
      <c r="K508"/>
      <c r="L508"/>
      <c r="M508"/>
      <c r="N508"/>
      <c r="O508"/>
      <c r="P508"/>
      <c r="Q508"/>
    </row>
    <row r="509" spans="2:17" x14ac:dyDescent="0.25">
      <c r="B509"/>
      <c r="C509"/>
      <c r="D509"/>
      <c r="E509"/>
      <c r="F509"/>
      <c r="G509"/>
      <c r="H509"/>
      <c r="I509"/>
      <c r="J509"/>
      <c r="K509"/>
      <c r="L509"/>
      <c r="M509"/>
      <c r="N509"/>
      <c r="O509"/>
      <c r="P509"/>
      <c r="Q509"/>
    </row>
    <row r="510" spans="2:17" x14ac:dyDescent="0.25">
      <c r="B510"/>
      <c r="C510"/>
      <c r="D510"/>
      <c r="E510"/>
      <c r="F510"/>
      <c r="G510"/>
      <c r="H510"/>
      <c r="I510"/>
      <c r="J510"/>
      <c r="K510"/>
      <c r="L510"/>
      <c r="M510"/>
      <c r="N510"/>
      <c r="O510"/>
      <c r="P510"/>
      <c r="Q510"/>
    </row>
    <row r="511" spans="2:17" x14ac:dyDescent="0.25">
      <c r="B511"/>
      <c r="C511"/>
      <c r="D511"/>
      <c r="E511"/>
      <c r="F511"/>
      <c r="G511"/>
      <c r="H511"/>
      <c r="I511"/>
      <c r="J511"/>
      <c r="K511"/>
      <c r="L511"/>
      <c r="M511"/>
      <c r="N511"/>
      <c r="O511"/>
      <c r="P511"/>
      <c r="Q511"/>
    </row>
    <row r="512" spans="2:17" x14ac:dyDescent="0.25">
      <c r="B512"/>
      <c r="C512"/>
      <c r="D512"/>
      <c r="E512"/>
      <c r="F512"/>
      <c r="G512"/>
      <c r="H512"/>
      <c r="I512"/>
      <c r="J512"/>
      <c r="K512"/>
      <c r="L512"/>
      <c r="M512"/>
      <c r="N512"/>
      <c r="O512"/>
      <c r="P512"/>
      <c r="Q512"/>
    </row>
    <row r="513" spans="2:17" x14ac:dyDescent="0.25">
      <c r="B513"/>
      <c r="C513"/>
      <c r="D513"/>
      <c r="E513"/>
      <c r="F513"/>
      <c r="G513"/>
      <c r="H513"/>
      <c r="I513"/>
      <c r="J513"/>
      <c r="K513"/>
      <c r="L513"/>
      <c r="M513"/>
      <c r="N513"/>
      <c r="O513"/>
      <c r="P513"/>
      <c r="Q513"/>
    </row>
    <row r="514" spans="2:17" x14ac:dyDescent="0.25">
      <c r="B514"/>
      <c r="C514"/>
      <c r="D514"/>
      <c r="E514"/>
      <c r="F514"/>
      <c r="G514"/>
      <c r="H514"/>
      <c r="I514"/>
      <c r="J514"/>
      <c r="K514"/>
      <c r="L514"/>
      <c r="M514"/>
      <c r="N514"/>
      <c r="O514"/>
      <c r="P514"/>
      <c r="Q514"/>
    </row>
    <row r="515" spans="2:17" x14ac:dyDescent="0.25">
      <c r="B515"/>
      <c r="C515"/>
      <c r="D515"/>
      <c r="E515"/>
      <c r="F515"/>
      <c r="G515"/>
      <c r="H515"/>
      <c r="I515"/>
      <c r="J515"/>
      <c r="K515"/>
      <c r="L515"/>
      <c r="M515"/>
      <c r="N515"/>
      <c r="O515"/>
      <c r="P515"/>
      <c r="Q515"/>
    </row>
    <row r="516" spans="2:17" x14ac:dyDescent="0.25">
      <c r="B516"/>
      <c r="C516"/>
      <c r="D516"/>
      <c r="E516"/>
      <c r="F516"/>
      <c r="G516"/>
      <c r="H516"/>
      <c r="I516"/>
      <c r="J516"/>
      <c r="K516"/>
      <c r="L516"/>
      <c r="M516"/>
      <c r="N516"/>
      <c r="O516"/>
      <c r="P516"/>
      <c r="Q516"/>
    </row>
    <row r="517" spans="2:17" x14ac:dyDescent="0.25">
      <c r="B517"/>
      <c r="C517"/>
      <c r="D517"/>
      <c r="E517"/>
      <c r="F517"/>
      <c r="G517"/>
      <c r="H517"/>
      <c r="I517"/>
      <c r="J517"/>
      <c r="K517"/>
      <c r="L517"/>
      <c r="M517"/>
      <c r="N517"/>
      <c r="O517"/>
      <c r="P517"/>
      <c r="Q517"/>
    </row>
    <row r="518" spans="2:17" x14ac:dyDescent="0.25">
      <c r="B518"/>
      <c r="C518"/>
      <c r="D518"/>
      <c r="E518"/>
      <c r="F518"/>
      <c r="G518"/>
      <c r="H518"/>
      <c r="I518"/>
      <c r="J518"/>
      <c r="K518"/>
      <c r="L518"/>
      <c r="M518"/>
      <c r="N518"/>
      <c r="O518"/>
      <c r="P518"/>
      <c r="Q518"/>
    </row>
    <row r="519" spans="2:17" x14ac:dyDescent="0.25">
      <c r="B519"/>
      <c r="C519"/>
      <c r="D519"/>
      <c r="E519"/>
      <c r="F519"/>
      <c r="G519"/>
      <c r="H519"/>
      <c r="I519"/>
      <c r="J519"/>
      <c r="K519"/>
      <c r="L519"/>
      <c r="M519"/>
      <c r="N519"/>
      <c r="O519"/>
      <c r="P519"/>
      <c r="Q519"/>
    </row>
    <row r="520" spans="2:17" x14ac:dyDescent="0.25">
      <c r="B520"/>
      <c r="C520"/>
      <c r="D520"/>
      <c r="E520"/>
      <c r="F520"/>
      <c r="G520"/>
      <c r="H520"/>
      <c r="I520"/>
      <c r="J520"/>
      <c r="K520"/>
      <c r="L520"/>
      <c r="M520"/>
      <c r="N520"/>
      <c r="O520"/>
      <c r="P520"/>
      <c r="Q520"/>
    </row>
    <row r="521" spans="2:17" x14ac:dyDescent="0.25">
      <c r="B521"/>
      <c r="C521"/>
      <c r="D521"/>
      <c r="E521"/>
      <c r="F521"/>
      <c r="G521"/>
      <c r="H521"/>
      <c r="I521"/>
      <c r="J521"/>
      <c r="K521"/>
      <c r="L521"/>
      <c r="M521"/>
      <c r="N521"/>
      <c r="O521"/>
      <c r="P521"/>
      <c r="Q521"/>
    </row>
    <row r="522" spans="2:17" x14ac:dyDescent="0.25">
      <c r="B522"/>
      <c r="C522"/>
      <c r="D522"/>
      <c r="E522"/>
      <c r="F522"/>
      <c r="G522"/>
      <c r="H522"/>
      <c r="I522"/>
      <c r="J522"/>
      <c r="K522"/>
      <c r="L522"/>
      <c r="M522"/>
      <c r="N522"/>
      <c r="O522"/>
      <c r="P522"/>
      <c r="Q522"/>
    </row>
    <row r="523" spans="2:17" x14ac:dyDescent="0.25">
      <c r="B523"/>
      <c r="C523"/>
      <c r="D523"/>
      <c r="E523"/>
      <c r="F523"/>
      <c r="G523"/>
      <c r="H523"/>
      <c r="I523"/>
      <c r="J523"/>
      <c r="K523"/>
      <c r="L523"/>
      <c r="M523"/>
      <c r="N523"/>
      <c r="O523"/>
      <c r="P523"/>
      <c r="Q523"/>
    </row>
    <row r="524" spans="2:17" x14ac:dyDescent="0.25">
      <c r="B524"/>
      <c r="C524"/>
      <c r="D524"/>
      <c r="E524"/>
      <c r="F524"/>
      <c r="G524"/>
      <c r="H524"/>
      <c r="I524"/>
      <c r="J524"/>
      <c r="K524"/>
      <c r="L524"/>
      <c r="M524"/>
      <c r="N524"/>
      <c r="O524"/>
      <c r="P524"/>
      <c r="Q524"/>
    </row>
    <row r="525" spans="2:17" x14ac:dyDescent="0.25">
      <c r="B525"/>
      <c r="C525"/>
      <c r="D525"/>
      <c r="E525"/>
      <c r="F525"/>
      <c r="G525"/>
      <c r="H525"/>
      <c r="I525"/>
      <c r="J525"/>
      <c r="K525"/>
      <c r="L525"/>
      <c r="M525"/>
      <c r="N525"/>
      <c r="O525"/>
      <c r="P525"/>
      <c r="Q525"/>
    </row>
    <row r="526" spans="2:17" x14ac:dyDescent="0.25">
      <c r="B526"/>
      <c r="C526"/>
      <c r="D526"/>
      <c r="E526"/>
      <c r="F526"/>
      <c r="G526"/>
      <c r="H526"/>
      <c r="I526"/>
      <c r="J526"/>
      <c r="K526"/>
      <c r="L526"/>
      <c r="M526"/>
      <c r="N526"/>
      <c r="O526"/>
      <c r="P526"/>
      <c r="Q526"/>
    </row>
    <row r="527" spans="2:17" x14ac:dyDescent="0.25">
      <c r="B527"/>
      <c r="C527"/>
      <c r="D527"/>
      <c r="E527"/>
      <c r="F527"/>
      <c r="G527"/>
      <c r="H527"/>
      <c r="I527"/>
      <c r="J527"/>
      <c r="K527"/>
      <c r="L527"/>
      <c r="M527"/>
      <c r="N527"/>
      <c r="O527"/>
      <c r="P527"/>
      <c r="Q527"/>
    </row>
    <row r="528" spans="2:17" x14ac:dyDescent="0.25">
      <c r="B528"/>
      <c r="C528"/>
      <c r="D528"/>
      <c r="E528"/>
      <c r="F528"/>
      <c r="G528"/>
      <c r="H528"/>
      <c r="I528"/>
      <c r="J528"/>
      <c r="K528"/>
      <c r="L528"/>
      <c r="M528"/>
      <c r="N528"/>
      <c r="O528"/>
      <c r="P528"/>
      <c r="Q528"/>
    </row>
    <row r="529" spans="2:17" x14ac:dyDescent="0.25">
      <c r="B529"/>
      <c r="C529"/>
      <c r="D529"/>
      <c r="E529"/>
      <c r="F529"/>
      <c r="G529"/>
      <c r="H529"/>
      <c r="I529"/>
      <c r="J529"/>
      <c r="K529"/>
      <c r="L529"/>
      <c r="M529"/>
      <c r="N529"/>
      <c r="O529"/>
      <c r="P529"/>
      <c r="Q529"/>
    </row>
    <row r="530" spans="2:17" x14ac:dyDescent="0.25">
      <c r="B530"/>
      <c r="C530"/>
      <c r="D530"/>
      <c r="E530"/>
      <c r="F530"/>
      <c r="G530"/>
      <c r="H530"/>
      <c r="I530"/>
      <c r="J530"/>
      <c r="K530"/>
      <c r="L530"/>
      <c r="M530"/>
      <c r="N530"/>
      <c r="O530"/>
      <c r="P530"/>
      <c r="Q530"/>
    </row>
    <row r="531" spans="2:17" x14ac:dyDescent="0.25">
      <c r="B531"/>
      <c r="C531"/>
      <c r="D531"/>
      <c r="E531"/>
      <c r="F531"/>
      <c r="G531"/>
      <c r="H531"/>
      <c r="I531"/>
      <c r="J531"/>
      <c r="K531"/>
      <c r="L531"/>
      <c r="M531"/>
      <c r="N531"/>
      <c r="O531"/>
      <c r="P531"/>
      <c r="Q531"/>
    </row>
    <row r="532" spans="2:17" x14ac:dyDescent="0.25">
      <c r="B532"/>
      <c r="C532"/>
      <c r="D532"/>
      <c r="E532"/>
      <c r="F532"/>
      <c r="G532"/>
      <c r="H532"/>
      <c r="I532"/>
      <c r="J532"/>
      <c r="K532"/>
      <c r="L532"/>
      <c r="M532"/>
      <c r="N532"/>
      <c r="O532"/>
      <c r="P532"/>
      <c r="Q532"/>
    </row>
    <row r="533" spans="2:17" x14ac:dyDescent="0.25">
      <c r="B533"/>
      <c r="C533"/>
      <c r="D533"/>
      <c r="E533"/>
      <c r="F533"/>
      <c r="G533"/>
      <c r="H533"/>
      <c r="I533"/>
      <c r="J533"/>
      <c r="K533"/>
      <c r="L533"/>
      <c r="M533"/>
      <c r="N533"/>
      <c r="O533"/>
      <c r="P533"/>
      <c r="Q533"/>
    </row>
    <row r="534" spans="2:17" x14ac:dyDescent="0.25">
      <c r="B534"/>
      <c r="C534"/>
      <c r="D534"/>
      <c r="E534"/>
      <c r="F534"/>
      <c r="G534"/>
      <c r="H534"/>
      <c r="I534"/>
      <c r="J534"/>
      <c r="K534"/>
      <c r="L534"/>
      <c r="M534"/>
      <c r="N534"/>
      <c r="O534"/>
      <c r="P534"/>
      <c r="Q534"/>
    </row>
    <row r="535" spans="2:17" x14ac:dyDescent="0.25">
      <c r="B535"/>
      <c r="C535"/>
      <c r="D535"/>
      <c r="E535"/>
      <c r="F535"/>
      <c r="G535"/>
      <c r="H535"/>
      <c r="I535"/>
      <c r="J535"/>
      <c r="K535"/>
      <c r="L535"/>
      <c r="M535"/>
      <c r="N535"/>
      <c r="O535"/>
      <c r="P535"/>
      <c r="Q535"/>
    </row>
    <row r="536" spans="2:17" x14ac:dyDescent="0.25">
      <c r="B536"/>
      <c r="C536"/>
      <c r="D536"/>
      <c r="E536"/>
      <c r="F536"/>
      <c r="G536"/>
      <c r="H536"/>
      <c r="I536"/>
      <c r="J536"/>
      <c r="K536"/>
      <c r="L536"/>
      <c r="M536"/>
      <c r="N536"/>
      <c r="O536"/>
      <c r="P536"/>
      <c r="Q536"/>
    </row>
    <row r="537" spans="2:17" x14ac:dyDescent="0.25">
      <c r="B537"/>
      <c r="C537"/>
      <c r="D537"/>
      <c r="E537"/>
      <c r="F537"/>
      <c r="G537"/>
      <c r="H537"/>
      <c r="I537"/>
      <c r="J537"/>
      <c r="K537"/>
      <c r="L537"/>
      <c r="M537"/>
      <c r="N537"/>
      <c r="O537"/>
      <c r="P537"/>
      <c r="Q537"/>
    </row>
    <row r="538" spans="2:17" x14ac:dyDescent="0.25">
      <c r="B538"/>
      <c r="C538"/>
      <c r="D538"/>
      <c r="E538"/>
      <c r="F538"/>
      <c r="G538"/>
      <c r="H538"/>
      <c r="I538"/>
      <c r="J538"/>
      <c r="K538"/>
      <c r="L538"/>
      <c r="M538"/>
      <c r="N538"/>
      <c r="O538"/>
      <c r="P538"/>
      <c r="Q538"/>
    </row>
    <row r="539" spans="2:17" x14ac:dyDescent="0.25">
      <c r="B539"/>
      <c r="C539"/>
      <c r="D539"/>
      <c r="E539"/>
      <c r="F539"/>
      <c r="G539"/>
      <c r="H539"/>
      <c r="I539"/>
      <c r="J539"/>
      <c r="K539"/>
      <c r="L539"/>
      <c r="M539"/>
      <c r="N539"/>
      <c r="O539"/>
      <c r="P539"/>
      <c r="Q539"/>
    </row>
    <row r="540" spans="2:17" x14ac:dyDescent="0.25">
      <c r="B540"/>
      <c r="C540"/>
      <c r="D540"/>
      <c r="E540"/>
      <c r="F540"/>
      <c r="G540"/>
      <c r="H540"/>
      <c r="I540"/>
      <c r="J540"/>
      <c r="K540"/>
      <c r="L540"/>
      <c r="M540"/>
      <c r="N540"/>
      <c r="O540"/>
      <c r="P540"/>
      <c r="Q540"/>
    </row>
    <row r="541" spans="2:17" x14ac:dyDescent="0.25">
      <c r="B541"/>
      <c r="C541"/>
      <c r="D541"/>
      <c r="E541"/>
      <c r="F541"/>
      <c r="G541"/>
      <c r="H541"/>
      <c r="I541"/>
      <c r="J541"/>
      <c r="K541"/>
      <c r="L541"/>
      <c r="M541"/>
      <c r="N541"/>
      <c r="O541"/>
      <c r="P541"/>
      <c r="Q541"/>
    </row>
    <row r="542" spans="2:17" x14ac:dyDescent="0.25">
      <c r="B542"/>
      <c r="C542"/>
      <c r="D542"/>
      <c r="E542"/>
      <c r="F542"/>
      <c r="G542"/>
      <c r="H542"/>
      <c r="I542"/>
      <c r="J542"/>
      <c r="K542"/>
      <c r="L542"/>
      <c r="M542"/>
      <c r="N542"/>
      <c r="O542"/>
      <c r="P542"/>
      <c r="Q542"/>
    </row>
    <row r="543" spans="2:17" x14ac:dyDescent="0.25">
      <c r="B543"/>
      <c r="C543"/>
      <c r="D543"/>
      <c r="E543"/>
      <c r="F543"/>
      <c r="G543"/>
      <c r="H543"/>
      <c r="I543"/>
      <c r="J543"/>
      <c r="K543"/>
      <c r="L543"/>
      <c r="M543"/>
      <c r="N543"/>
      <c r="O543"/>
      <c r="P543"/>
      <c r="Q543"/>
    </row>
    <row r="544" spans="2:17" x14ac:dyDescent="0.25">
      <c r="B544"/>
      <c r="C544"/>
      <c r="D544"/>
      <c r="E544"/>
      <c r="F544"/>
      <c r="G544"/>
      <c r="H544"/>
      <c r="I544"/>
      <c r="J544"/>
      <c r="K544"/>
      <c r="L544"/>
      <c r="M544"/>
      <c r="N544"/>
      <c r="O544"/>
      <c r="P544"/>
      <c r="Q544"/>
    </row>
    <row r="545" spans="2:17" x14ac:dyDescent="0.25">
      <c r="B545"/>
      <c r="C545"/>
      <c r="D545"/>
      <c r="E545"/>
      <c r="F545"/>
      <c r="G545"/>
      <c r="H545"/>
      <c r="I545"/>
      <c r="J545"/>
      <c r="K545"/>
      <c r="L545"/>
      <c r="M545"/>
      <c r="N545"/>
      <c r="O545"/>
      <c r="P545"/>
      <c r="Q545"/>
    </row>
    <row r="546" spans="2:17" x14ac:dyDescent="0.25">
      <c r="B546"/>
      <c r="C546"/>
      <c r="D546"/>
      <c r="E546"/>
      <c r="F546"/>
      <c r="G546"/>
      <c r="H546"/>
      <c r="I546"/>
      <c r="J546"/>
      <c r="K546"/>
      <c r="L546"/>
      <c r="M546"/>
      <c r="N546"/>
      <c r="O546"/>
      <c r="P546"/>
      <c r="Q546"/>
    </row>
    <row r="547" spans="2:17" x14ac:dyDescent="0.25">
      <c r="B547"/>
      <c r="C547"/>
      <c r="D547"/>
      <c r="E547"/>
      <c r="F547"/>
      <c r="G547"/>
      <c r="H547"/>
      <c r="I547"/>
      <c r="J547"/>
      <c r="K547"/>
      <c r="L547"/>
      <c r="M547"/>
      <c r="N547"/>
      <c r="O547"/>
      <c r="P547"/>
      <c r="Q547"/>
    </row>
    <row r="548" spans="2:17" x14ac:dyDescent="0.25">
      <c r="B548"/>
      <c r="C548"/>
      <c r="D548"/>
      <c r="E548"/>
      <c r="F548"/>
      <c r="G548"/>
      <c r="H548"/>
      <c r="I548"/>
      <c r="J548"/>
      <c r="K548"/>
      <c r="L548"/>
      <c r="M548"/>
      <c r="N548"/>
      <c r="O548"/>
      <c r="P548"/>
      <c r="Q548"/>
    </row>
    <row r="549" spans="2:17" x14ac:dyDescent="0.25">
      <c r="B549"/>
      <c r="C549"/>
      <c r="D549"/>
      <c r="E549"/>
      <c r="F549"/>
      <c r="G549"/>
      <c r="H549"/>
      <c r="I549"/>
      <c r="J549"/>
      <c r="K549"/>
      <c r="L549"/>
      <c r="M549"/>
      <c r="N549"/>
      <c r="O549"/>
      <c r="P549"/>
      <c r="Q549"/>
    </row>
    <row r="550" spans="2:17" x14ac:dyDescent="0.25">
      <c r="B550"/>
      <c r="C550"/>
      <c r="D550"/>
      <c r="E550"/>
      <c r="F550"/>
      <c r="G550"/>
      <c r="H550"/>
      <c r="I550"/>
      <c r="J550"/>
      <c r="K550"/>
      <c r="L550"/>
      <c r="M550"/>
      <c r="N550"/>
      <c r="O550"/>
      <c r="P550"/>
      <c r="Q550"/>
    </row>
    <row r="551" spans="2:17" x14ac:dyDescent="0.25">
      <c r="B551"/>
      <c r="C551"/>
      <c r="D551"/>
      <c r="E551"/>
      <c r="F551"/>
      <c r="G551"/>
      <c r="H551"/>
      <c r="I551"/>
      <c r="J551"/>
      <c r="K551"/>
      <c r="L551"/>
      <c r="M551"/>
      <c r="N551"/>
      <c r="O551"/>
      <c r="P551"/>
      <c r="Q551"/>
    </row>
    <row r="552" spans="2:17" x14ac:dyDescent="0.25">
      <c r="B552"/>
      <c r="C552"/>
      <c r="D552"/>
      <c r="E552"/>
      <c r="F552"/>
      <c r="G552"/>
      <c r="H552"/>
      <c r="I552"/>
      <c r="J552"/>
      <c r="K552"/>
      <c r="L552"/>
      <c r="M552"/>
      <c r="N552"/>
      <c r="O552"/>
      <c r="P552"/>
      <c r="Q552"/>
    </row>
    <row r="553" spans="2:17" x14ac:dyDescent="0.25">
      <c r="B553"/>
      <c r="C553"/>
      <c r="D553"/>
      <c r="E553"/>
      <c r="F553"/>
      <c r="G553"/>
      <c r="H553"/>
      <c r="I553"/>
      <c r="J553"/>
      <c r="K553"/>
      <c r="L553"/>
      <c r="M553"/>
      <c r="N553"/>
      <c r="O553"/>
      <c r="P553"/>
      <c r="Q553"/>
    </row>
    <row r="554" spans="2:17" x14ac:dyDescent="0.25">
      <c r="B554"/>
      <c r="C554"/>
      <c r="D554"/>
      <c r="E554"/>
      <c r="F554"/>
      <c r="G554"/>
      <c r="H554"/>
      <c r="I554"/>
      <c r="J554"/>
      <c r="K554"/>
      <c r="L554"/>
      <c r="M554"/>
      <c r="N554"/>
      <c r="O554"/>
      <c r="P554"/>
      <c r="Q554"/>
    </row>
    <row r="555" spans="2:17" x14ac:dyDescent="0.25">
      <c r="B555"/>
      <c r="C555"/>
      <c r="D555"/>
      <c r="E555"/>
      <c r="F555"/>
      <c r="G555"/>
      <c r="H555"/>
      <c r="I555"/>
      <c r="J555"/>
      <c r="K555"/>
      <c r="L555"/>
      <c r="M555"/>
      <c r="N555"/>
      <c r="O555"/>
      <c r="P555"/>
      <c r="Q555"/>
    </row>
    <row r="556" spans="2:17" x14ac:dyDescent="0.25">
      <c r="B556"/>
      <c r="C556"/>
      <c r="D556"/>
      <c r="E556"/>
      <c r="F556"/>
      <c r="G556"/>
      <c r="H556"/>
      <c r="I556"/>
      <c r="J556"/>
      <c r="K556"/>
      <c r="L556"/>
      <c r="M556"/>
      <c r="N556"/>
      <c r="O556"/>
      <c r="P556"/>
      <c r="Q556"/>
    </row>
    <row r="557" spans="2:17" x14ac:dyDescent="0.25">
      <c r="B557"/>
      <c r="C557"/>
      <c r="D557"/>
      <c r="E557"/>
      <c r="F557"/>
      <c r="G557"/>
      <c r="H557"/>
      <c r="I557"/>
      <c r="J557"/>
      <c r="K557"/>
      <c r="L557"/>
      <c r="M557"/>
      <c r="N557"/>
      <c r="O557"/>
      <c r="P557"/>
      <c r="Q557"/>
    </row>
    <row r="558" spans="2:17" x14ac:dyDescent="0.25">
      <c r="B558"/>
      <c r="C558"/>
      <c r="D558"/>
      <c r="E558"/>
      <c r="F558"/>
      <c r="G558"/>
      <c r="H558"/>
      <c r="I558"/>
      <c r="J558"/>
      <c r="K558"/>
      <c r="L558"/>
      <c r="M558"/>
      <c r="N558"/>
      <c r="O558"/>
      <c r="P558"/>
      <c r="Q558"/>
    </row>
    <row r="559" spans="2:17" x14ac:dyDescent="0.25">
      <c r="B559"/>
      <c r="C559"/>
      <c r="D559"/>
      <c r="E559"/>
      <c r="F559"/>
      <c r="G559"/>
      <c r="H559"/>
      <c r="I559"/>
      <c r="J559"/>
      <c r="K559"/>
      <c r="L559"/>
      <c r="M559"/>
      <c r="N559"/>
      <c r="O559"/>
      <c r="P559"/>
      <c r="Q559"/>
    </row>
    <row r="560" spans="2:17" x14ac:dyDescent="0.25">
      <c r="B560"/>
      <c r="C560"/>
      <c r="D560"/>
      <c r="E560"/>
      <c r="F560"/>
      <c r="G560"/>
      <c r="H560"/>
      <c r="I560"/>
      <c r="J560"/>
      <c r="K560"/>
      <c r="L560"/>
      <c r="M560"/>
      <c r="N560"/>
      <c r="O560"/>
      <c r="P560"/>
      <c r="Q560"/>
    </row>
    <row r="561" spans="2:17" x14ac:dyDescent="0.25">
      <c r="B561"/>
      <c r="C561"/>
      <c r="D561"/>
      <c r="E561"/>
      <c r="F561"/>
      <c r="G561"/>
      <c r="H561"/>
      <c r="I561"/>
      <c r="J561"/>
      <c r="K561"/>
      <c r="L561"/>
      <c r="M561"/>
      <c r="N561"/>
      <c r="O561"/>
      <c r="P561"/>
      <c r="Q561"/>
    </row>
    <row r="562" spans="2:17" x14ac:dyDescent="0.25">
      <c r="B562"/>
      <c r="C562"/>
      <c r="D562"/>
      <c r="E562"/>
      <c r="F562"/>
      <c r="G562"/>
      <c r="H562"/>
      <c r="I562"/>
      <c r="J562"/>
      <c r="K562"/>
      <c r="L562"/>
      <c r="M562"/>
      <c r="N562"/>
      <c r="O562"/>
      <c r="P562"/>
      <c r="Q562"/>
    </row>
    <row r="563" spans="2:17" x14ac:dyDescent="0.25">
      <c r="B563"/>
      <c r="C563"/>
      <c r="D563"/>
      <c r="E563"/>
      <c r="F563"/>
      <c r="G563"/>
      <c r="H563"/>
      <c r="I563"/>
      <c r="J563"/>
      <c r="K563"/>
      <c r="L563"/>
      <c r="M563"/>
      <c r="N563"/>
      <c r="O563"/>
      <c r="P563"/>
      <c r="Q563"/>
    </row>
    <row r="564" spans="2:17" x14ac:dyDescent="0.25">
      <c r="B564"/>
      <c r="C564"/>
      <c r="D564"/>
      <c r="E564"/>
      <c r="F564"/>
      <c r="G564"/>
      <c r="H564"/>
      <c r="I564"/>
      <c r="J564"/>
      <c r="K564"/>
      <c r="L564"/>
      <c r="M564"/>
      <c r="N564"/>
      <c r="O564"/>
      <c r="P564"/>
      <c r="Q564"/>
    </row>
    <row r="565" spans="2:17" x14ac:dyDescent="0.25">
      <c r="B565"/>
      <c r="C565"/>
      <c r="D565"/>
      <c r="E565"/>
      <c r="F565"/>
      <c r="G565"/>
      <c r="H565"/>
      <c r="I565"/>
      <c r="J565"/>
      <c r="K565"/>
      <c r="L565"/>
      <c r="M565"/>
      <c r="N565"/>
      <c r="O565"/>
      <c r="P565"/>
      <c r="Q565"/>
    </row>
    <row r="566" spans="2:17" x14ac:dyDescent="0.25">
      <c r="B566"/>
      <c r="C566"/>
      <c r="D566"/>
      <c r="E566"/>
      <c r="F566"/>
      <c r="G566"/>
      <c r="H566"/>
      <c r="I566"/>
      <c r="J566"/>
      <c r="K566"/>
      <c r="L566"/>
      <c r="M566"/>
      <c r="N566"/>
      <c r="O566"/>
      <c r="P566"/>
      <c r="Q566"/>
    </row>
    <row r="567" spans="2:17" x14ac:dyDescent="0.25">
      <c r="B567"/>
      <c r="C567"/>
      <c r="D567"/>
      <c r="E567"/>
      <c r="F567"/>
      <c r="G567"/>
      <c r="H567"/>
      <c r="I567"/>
      <c r="J567"/>
      <c r="K567"/>
      <c r="L567"/>
      <c r="M567"/>
      <c r="N567"/>
      <c r="O567"/>
      <c r="P567"/>
      <c r="Q567"/>
    </row>
    <row r="568" spans="2:17" x14ac:dyDescent="0.25">
      <c r="B568"/>
      <c r="C568"/>
      <c r="D568"/>
      <c r="E568"/>
      <c r="F568"/>
      <c r="G568"/>
      <c r="H568"/>
      <c r="I568"/>
      <c r="J568"/>
      <c r="K568"/>
      <c r="L568"/>
      <c r="M568"/>
      <c r="N568"/>
      <c r="O568"/>
      <c r="P568"/>
      <c r="Q568"/>
    </row>
    <row r="569" spans="2:17" x14ac:dyDescent="0.25">
      <c r="B569"/>
      <c r="C569"/>
      <c r="D569"/>
      <c r="E569"/>
      <c r="F569"/>
      <c r="G569"/>
      <c r="H569"/>
      <c r="I569"/>
      <c r="J569"/>
      <c r="K569"/>
      <c r="L569"/>
      <c r="M569"/>
      <c r="N569"/>
      <c r="O569"/>
      <c r="P569"/>
      <c r="Q569"/>
    </row>
    <row r="570" spans="2:17" x14ac:dyDescent="0.25">
      <c r="B570"/>
      <c r="C570"/>
      <c r="D570"/>
      <c r="E570"/>
      <c r="F570"/>
      <c r="G570"/>
      <c r="H570"/>
      <c r="I570"/>
      <c r="J570"/>
      <c r="K570"/>
      <c r="L570"/>
      <c r="M570"/>
      <c r="N570"/>
      <c r="O570"/>
      <c r="P570"/>
      <c r="Q570"/>
    </row>
    <row r="571" spans="2:17" x14ac:dyDescent="0.25">
      <c r="B571"/>
      <c r="C571"/>
      <c r="D571"/>
      <c r="E571"/>
      <c r="F571"/>
      <c r="G571"/>
      <c r="H571"/>
      <c r="I571"/>
      <c r="J571"/>
      <c r="K571"/>
      <c r="L571"/>
      <c r="M571"/>
      <c r="N571"/>
      <c r="O571"/>
      <c r="P571"/>
      <c r="Q571"/>
    </row>
    <row r="572" spans="2:17" x14ac:dyDescent="0.25">
      <c r="B572"/>
      <c r="C572"/>
      <c r="D572"/>
      <c r="E572"/>
      <c r="F572"/>
      <c r="G572"/>
      <c r="H572"/>
      <c r="I572"/>
      <c r="J572"/>
      <c r="K572"/>
      <c r="L572"/>
      <c r="M572"/>
      <c r="N572"/>
      <c r="O572"/>
      <c r="P572"/>
      <c r="Q572"/>
    </row>
    <row r="573" spans="2:17" x14ac:dyDescent="0.25">
      <c r="B573"/>
      <c r="C573"/>
      <c r="D573"/>
      <c r="E573"/>
      <c r="F573"/>
      <c r="G573"/>
      <c r="H573"/>
      <c r="I573"/>
      <c r="J573"/>
      <c r="K573"/>
      <c r="L573"/>
      <c r="M573"/>
      <c r="N573"/>
      <c r="O573"/>
      <c r="P573"/>
      <c r="Q573"/>
    </row>
    <row r="574" spans="2:17" x14ac:dyDescent="0.25">
      <c r="B574"/>
      <c r="C574"/>
      <c r="D574"/>
      <c r="E574"/>
      <c r="F574"/>
      <c r="G574"/>
      <c r="H574"/>
      <c r="I574"/>
      <c r="J574"/>
      <c r="K574"/>
      <c r="L574"/>
      <c r="M574"/>
      <c r="N574"/>
      <c r="O574"/>
      <c r="P574"/>
      <c r="Q574"/>
    </row>
    <row r="575" spans="2:17" x14ac:dyDescent="0.25">
      <c r="B575"/>
      <c r="C575"/>
      <c r="D575"/>
      <c r="E575"/>
      <c r="F575"/>
      <c r="G575"/>
      <c r="H575"/>
      <c r="I575"/>
      <c r="J575"/>
      <c r="K575"/>
      <c r="L575"/>
      <c r="M575"/>
      <c r="N575"/>
      <c r="O575"/>
      <c r="P575"/>
      <c r="Q575"/>
    </row>
    <row r="576" spans="2:17" x14ac:dyDescent="0.25">
      <c r="B576"/>
      <c r="C576"/>
      <c r="D576"/>
      <c r="E576"/>
      <c r="F576"/>
      <c r="G576"/>
      <c r="H576"/>
      <c r="I576"/>
      <c r="J576"/>
      <c r="K576"/>
      <c r="L576"/>
      <c r="M576"/>
      <c r="N576"/>
      <c r="O576"/>
      <c r="P576"/>
      <c r="Q576"/>
    </row>
    <row r="577" spans="2:17" x14ac:dyDescent="0.25">
      <c r="B577"/>
      <c r="C577"/>
      <c r="D577"/>
      <c r="E577"/>
      <c r="F577"/>
      <c r="G577"/>
      <c r="H577"/>
      <c r="I577"/>
      <c r="J577"/>
      <c r="K577"/>
      <c r="L577"/>
      <c r="M577"/>
      <c r="N577"/>
      <c r="O577"/>
      <c r="P577"/>
      <c r="Q577"/>
    </row>
    <row r="578" spans="2:17" x14ac:dyDescent="0.25">
      <c r="B578"/>
      <c r="C578"/>
      <c r="D578"/>
      <c r="E578"/>
      <c r="F578"/>
      <c r="G578"/>
      <c r="H578"/>
      <c r="I578"/>
      <c r="J578"/>
      <c r="K578"/>
      <c r="L578"/>
      <c r="M578"/>
      <c r="N578"/>
      <c r="O578"/>
      <c r="P578"/>
      <c r="Q578"/>
    </row>
    <row r="579" spans="2:17" x14ac:dyDescent="0.25">
      <c r="B579"/>
      <c r="C579"/>
      <c r="D579"/>
      <c r="E579"/>
      <c r="F579"/>
      <c r="G579"/>
      <c r="H579"/>
      <c r="I579"/>
      <c r="J579"/>
      <c r="K579"/>
      <c r="L579"/>
      <c r="M579"/>
      <c r="N579"/>
      <c r="O579"/>
      <c r="P579"/>
      <c r="Q579"/>
    </row>
    <row r="580" spans="2:17" x14ac:dyDescent="0.25">
      <c r="B580"/>
      <c r="C580"/>
      <c r="D580"/>
      <c r="E580"/>
      <c r="F580"/>
      <c r="G580"/>
      <c r="H580"/>
      <c r="I580"/>
      <c r="J580"/>
      <c r="K580"/>
      <c r="L580"/>
      <c r="M580"/>
      <c r="N580"/>
      <c r="O580"/>
      <c r="P580"/>
      <c r="Q580"/>
    </row>
    <row r="581" spans="2:17" x14ac:dyDescent="0.25">
      <c r="B581"/>
      <c r="C581"/>
      <c r="D581"/>
      <c r="E581"/>
      <c r="F581"/>
      <c r="G581"/>
      <c r="H581"/>
      <c r="I581"/>
      <c r="J581"/>
      <c r="K581"/>
      <c r="L581"/>
      <c r="M581"/>
      <c r="N581"/>
      <c r="O581"/>
      <c r="P581"/>
      <c r="Q581"/>
    </row>
    <row r="582" spans="2:17" x14ac:dyDescent="0.25">
      <c r="B582"/>
      <c r="C582"/>
      <c r="D582"/>
      <c r="E582"/>
      <c r="F582"/>
      <c r="G582"/>
      <c r="H582"/>
      <c r="I582"/>
      <c r="J582"/>
      <c r="K582"/>
      <c r="L582"/>
      <c r="M582"/>
      <c r="N582"/>
      <c r="O582"/>
      <c r="P582"/>
      <c r="Q582"/>
    </row>
    <row r="583" spans="2:17" x14ac:dyDescent="0.25">
      <c r="B583"/>
      <c r="C583"/>
      <c r="D583"/>
      <c r="E583"/>
      <c r="F583"/>
      <c r="G583"/>
      <c r="H583"/>
      <c r="I583"/>
      <c r="J583"/>
      <c r="K583"/>
      <c r="L583"/>
      <c r="M583"/>
      <c r="N583"/>
      <c r="O583"/>
      <c r="P583"/>
      <c r="Q583"/>
    </row>
    <row r="584" spans="2:17" x14ac:dyDescent="0.25">
      <c r="B584"/>
      <c r="C584"/>
      <c r="D584"/>
      <c r="E584"/>
      <c r="F584"/>
      <c r="G584"/>
      <c r="H584"/>
      <c r="I584"/>
      <c r="J584"/>
      <c r="K584"/>
      <c r="L584"/>
      <c r="M584"/>
      <c r="N584"/>
      <c r="O584"/>
      <c r="P584"/>
      <c r="Q584"/>
    </row>
    <row r="585" spans="2:17" x14ac:dyDescent="0.25">
      <c r="B585"/>
      <c r="C585"/>
      <c r="D585"/>
      <c r="E585"/>
      <c r="F585"/>
      <c r="G585"/>
      <c r="H585"/>
      <c r="I585"/>
      <c r="J585"/>
      <c r="K585"/>
      <c r="L585"/>
      <c r="M585"/>
      <c r="N585"/>
      <c r="O585"/>
      <c r="P585"/>
      <c r="Q585"/>
    </row>
    <row r="586" spans="2:17" x14ac:dyDescent="0.25">
      <c r="B586"/>
      <c r="C586"/>
      <c r="D586"/>
      <c r="E586"/>
      <c r="F586"/>
      <c r="G586"/>
      <c r="H586"/>
      <c r="I586"/>
      <c r="J586"/>
      <c r="K586"/>
      <c r="L586"/>
      <c r="M586"/>
      <c r="N586"/>
      <c r="O586"/>
      <c r="P586"/>
      <c r="Q586"/>
    </row>
    <row r="587" spans="2:17" x14ac:dyDescent="0.25">
      <c r="B587"/>
      <c r="C587"/>
      <c r="D587"/>
      <c r="E587"/>
      <c r="F587"/>
      <c r="G587"/>
      <c r="H587"/>
      <c r="I587"/>
      <c r="J587"/>
      <c r="K587"/>
      <c r="L587"/>
      <c r="M587"/>
      <c r="N587"/>
      <c r="O587"/>
      <c r="P587"/>
      <c r="Q587"/>
    </row>
    <row r="588" spans="2:17" x14ac:dyDescent="0.25">
      <c r="B588"/>
      <c r="C588"/>
      <c r="D588"/>
      <c r="E588"/>
      <c r="F588"/>
      <c r="G588"/>
      <c r="H588"/>
      <c r="I588"/>
      <c r="J588"/>
      <c r="K588"/>
      <c r="L588"/>
      <c r="M588"/>
      <c r="N588"/>
      <c r="O588"/>
      <c r="P588"/>
      <c r="Q588"/>
    </row>
    <row r="589" spans="2:17" x14ac:dyDescent="0.25">
      <c r="B589"/>
      <c r="C589"/>
      <c r="D589"/>
      <c r="E589"/>
      <c r="F589"/>
      <c r="G589"/>
      <c r="H589"/>
      <c r="I589"/>
      <c r="J589"/>
      <c r="K589"/>
      <c r="L589"/>
      <c r="M589"/>
      <c r="N589"/>
      <c r="O589"/>
      <c r="P589"/>
      <c r="Q589"/>
    </row>
    <row r="590" spans="2:17" x14ac:dyDescent="0.25">
      <c r="B590"/>
      <c r="C590"/>
      <c r="D590"/>
      <c r="E590"/>
      <c r="F590"/>
      <c r="G590"/>
      <c r="H590"/>
      <c r="I590"/>
      <c r="J590"/>
      <c r="K590"/>
      <c r="L590"/>
      <c r="M590"/>
      <c r="N590"/>
      <c r="O590"/>
      <c r="P590"/>
      <c r="Q590"/>
    </row>
    <row r="591" spans="2:17" x14ac:dyDescent="0.25">
      <c r="B591"/>
      <c r="C591"/>
      <c r="D591"/>
      <c r="E591"/>
      <c r="F591"/>
      <c r="G591"/>
      <c r="H591"/>
      <c r="I591"/>
      <c r="J591"/>
      <c r="K591"/>
      <c r="L591"/>
      <c r="M591"/>
      <c r="N591"/>
      <c r="O591"/>
      <c r="P591"/>
      <c r="Q591"/>
    </row>
    <row r="592" spans="2:17" x14ac:dyDescent="0.25">
      <c r="B592"/>
      <c r="C592"/>
      <c r="D592"/>
      <c r="E592"/>
      <c r="F592"/>
      <c r="G592"/>
      <c r="H592"/>
      <c r="I592"/>
      <c r="J592"/>
      <c r="K592"/>
      <c r="L592"/>
      <c r="M592"/>
      <c r="N592"/>
      <c r="O592"/>
      <c r="P592"/>
      <c r="Q592"/>
    </row>
    <row r="593" spans="2:17" x14ac:dyDescent="0.25">
      <c r="B593"/>
      <c r="C593"/>
      <c r="D593"/>
      <c r="E593"/>
      <c r="F593"/>
      <c r="G593"/>
      <c r="H593"/>
      <c r="I593"/>
      <c r="J593"/>
      <c r="K593"/>
      <c r="L593"/>
      <c r="M593"/>
      <c r="N593"/>
      <c r="O593"/>
      <c r="P593"/>
      <c r="Q593"/>
    </row>
    <row r="594" spans="2:17" x14ac:dyDescent="0.25">
      <c r="B594"/>
      <c r="C594"/>
      <c r="D594"/>
      <c r="E594"/>
      <c r="F594"/>
      <c r="G594"/>
      <c r="H594"/>
      <c r="I594"/>
      <c r="J594"/>
      <c r="K594"/>
      <c r="L594"/>
      <c r="M594"/>
      <c r="N594"/>
      <c r="O594"/>
      <c r="P594"/>
      <c r="Q594"/>
    </row>
    <row r="595" spans="2:17" x14ac:dyDescent="0.25">
      <c r="B595"/>
      <c r="C595"/>
      <c r="D595"/>
      <c r="E595"/>
      <c r="F595"/>
      <c r="G595"/>
      <c r="H595"/>
      <c r="I595"/>
      <c r="J595"/>
      <c r="K595"/>
      <c r="L595"/>
      <c r="M595"/>
      <c r="N595"/>
      <c r="O595"/>
      <c r="P595"/>
      <c r="Q595"/>
    </row>
    <row r="596" spans="2:17" x14ac:dyDescent="0.25">
      <c r="B596"/>
      <c r="C596"/>
      <c r="D596"/>
      <c r="E596"/>
      <c r="F596"/>
      <c r="G596"/>
      <c r="H596"/>
      <c r="I596"/>
      <c r="J596"/>
      <c r="K596"/>
      <c r="L596"/>
      <c r="M596"/>
      <c r="N596"/>
      <c r="O596"/>
      <c r="P596"/>
      <c r="Q596"/>
    </row>
    <row r="597" spans="2:17" x14ac:dyDescent="0.25">
      <c r="B597"/>
      <c r="C597"/>
      <c r="D597"/>
      <c r="E597"/>
      <c r="F597"/>
      <c r="G597"/>
      <c r="H597"/>
      <c r="I597"/>
      <c r="J597"/>
      <c r="K597"/>
      <c r="L597"/>
      <c r="M597"/>
      <c r="N597"/>
      <c r="O597"/>
      <c r="P597"/>
      <c r="Q597"/>
    </row>
    <row r="598" spans="2:17" x14ac:dyDescent="0.25">
      <c r="B598"/>
      <c r="C598"/>
      <c r="D598"/>
      <c r="E598"/>
      <c r="F598"/>
      <c r="G598"/>
      <c r="H598"/>
      <c r="I598"/>
      <c r="J598"/>
      <c r="K598"/>
      <c r="L598"/>
      <c r="M598"/>
      <c r="N598"/>
      <c r="O598"/>
      <c r="P598"/>
      <c r="Q598"/>
    </row>
    <row r="599" spans="2:17" x14ac:dyDescent="0.25">
      <c r="B599"/>
      <c r="C599"/>
      <c r="D599"/>
      <c r="E599"/>
      <c r="F599"/>
      <c r="G599"/>
      <c r="H599"/>
      <c r="I599"/>
      <c r="J599"/>
      <c r="K599"/>
      <c r="L599"/>
      <c r="M599"/>
      <c r="N599"/>
      <c r="O599"/>
      <c r="P599"/>
      <c r="Q599"/>
    </row>
    <row r="600" spans="2:17" x14ac:dyDescent="0.25">
      <c r="B600"/>
      <c r="C600"/>
      <c r="D600"/>
      <c r="E600"/>
      <c r="F600"/>
      <c r="G600"/>
      <c r="H600"/>
      <c r="I600"/>
      <c r="J600"/>
      <c r="K600"/>
      <c r="L600"/>
      <c r="M600"/>
      <c r="N600"/>
      <c r="O600"/>
      <c r="P600"/>
      <c r="Q600"/>
    </row>
    <row r="601" spans="2:17" x14ac:dyDescent="0.25">
      <c r="B601"/>
      <c r="C601"/>
      <c r="D601"/>
      <c r="E601"/>
      <c r="F601"/>
      <c r="G601"/>
      <c r="H601"/>
      <c r="I601"/>
      <c r="J601"/>
      <c r="K601"/>
      <c r="L601"/>
      <c r="M601"/>
      <c r="N601"/>
      <c r="O601"/>
      <c r="P601"/>
      <c r="Q601"/>
    </row>
    <row r="602" spans="2:17" x14ac:dyDescent="0.25">
      <c r="B602"/>
      <c r="C602"/>
      <c r="D602"/>
      <c r="E602"/>
      <c r="F602"/>
      <c r="G602"/>
      <c r="H602"/>
      <c r="I602"/>
      <c r="J602"/>
      <c r="K602"/>
      <c r="L602"/>
      <c r="M602"/>
      <c r="N602"/>
      <c r="O602"/>
      <c r="P602"/>
      <c r="Q602"/>
    </row>
    <row r="603" spans="2:17" x14ac:dyDescent="0.25">
      <c r="B603"/>
      <c r="C603"/>
      <c r="D603"/>
      <c r="E603"/>
      <c r="F603"/>
      <c r="G603"/>
      <c r="H603"/>
      <c r="I603"/>
      <c r="J603"/>
      <c r="K603"/>
      <c r="L603"/>
      <c r="M603"/>
      <c r="N603"/>
      <c r="O603"/>
      <c r="P603"/>
      <c r="Q603"/>
    </row>
    <row r="604" spans="2:17" x14ac:dyDescent="0.25">
      <c r="B604"/>
      <c r="C604"/>
      <c r="D604"/>
      <c r="E604"/>
      <c r="F604"/>
      <c r="G604"/>
      <c r="H604"/>
      <c r="I604"/>
      <c r="J604"/>
      <c r="K604"/>
      <c r="L604"/>
      <c r="M604"/>
      <c r="N604"/>
      <c r="O604"/>
      <c r="P604"/>
      <c r="Q604"/>
    </row>
    <row r="605" spans="2:17" x14ac:dyDescent="0.25">
      <c r="B605"/>
      <c r="C605"/>
      <c r="D605"/>
      <c r="E605"/>
      <c r="F605"/>
      <c r="G605"/>
      <c r="H605"/>
      <c r="I605"/>
      <c r="J605"/>
      <c r="K605"/>
      <c r="L605"/>
      <c r="M605"/>
      <c r="N605"/>
      <c r="O605"/>
      <c r="P605"/>
      <c r="Q605"/>
    </row>
    <row r="606" spans="2:17" x14ac:dyDescent="0.25">
      <c r="B606"/>
      <c r="C606"/>
      <c r="D606"/>
      <c r="E606"/>
      <c r="F606"/>
      <c r="G606"/>
      <c r="H606"/>
      <c r="I606"/>
      <c r="J606"/>
      <c r="K606"/>
      <c r="L606"/>
      <c r="M606"/>
      <c r="N606"/>
      <c r="O606"/>
      <c r="P606"/>
      <c r="Q606"/>
    </row>
    <row r="607" spans="2:17" x14ac:dyDescent="0.25">
      <c r="B607"/>
      <c r="C607"/>
      <c r="D607"/>
      <c r="E607"/>
      <c r="F607"/>
      <c r="G607"/>
      <c r="H607"/>
      <c r="I607"/>
      <c r="J607"/>
      <c r="K607"/>
      <c r="L607"/>
      <c r="M607"/>
      <c r="N607"/>
      <c r="O607"/>
      <c r="P607"/>
      <c r="Q607"/>
    </row>
    <row r="608" spans="2:17" x14ac:dyDescent="0.25">
      <c r="B608"/>
      <c r="C608"/>
      <c r="D608"/>
      <c r="E608"/>
      <c r="F608"/>
      <c r="G608"/>
      <c r="H608"/>
      <c r="I608"/>
      <c r="J608"/>
      <c r="K608"/>
      <c r="L608"/>
      <c r="M608"/>
      <c r="N608"/>
      <c r="O608"/>
      <c r="P608"/>
      <c r="Q608"/>
    </row>
    <row r="609" spans="2:17" x14ac:dyDescent="0.25">
      <c r="B609"/>
      <c r="C609"/>
      <c r="D609"/>
      <c r="E609"/>
      <c r="F609"/>
      <c r="G609"/>
      <c r="H609"/>
      <c r="I609"/>
      <c r="J609"/>
      <c r="K609"/>
      <c r="L609"/>
      <c r="M609"/>
      <c r="N609"/>
      <c r="O609"/>
      <c r="P609"/>
      <c r="Q609"/>
    </row>
    <row r="610" spans="2:17" x14ac:dyDescent="0.25">
      <c r="B610"/>
      <c r="C610"/>
      <c r="D610"/>
      <c r="E610"/>
      <c r="F610"/>
      <c r="G610"/>
      <c r="H610"/>
      <c r="I610"/>
      <c r="J610"/>
      <c r="K610"/>
      <c r="L610"/>
      <c r="M610"/>
      <c r="N610"/>
      <c r="O610"/>
      <c r="P610"/>
      <c r="Q610"/>
    </row>
    <row r="611" spans="2:17" x14ac:dyDescent="0.25">
      <c r="B611"/>
      <c r="C611"/>
      <c r="D611"/>
      <c r="E611"/>
      <c r="F611"/>
      <c r="G611"/>
      <c r="H611"/>
      <c r="I611"/>
      <c r="J611"/>
      <c r="K611"/>
      <c r="L611"/>
      <c r="M611"/>
      <c r="N611"/>
      <c r="O611"/>
      <c r="P611"/>
      <c r="Q611"/>
    </row>
    <row r="612" spans="2:17" x14ac:dyDescent="0.25">
      <c r="B612"/>
      <c r="C612"/>
      <c r="D612"/>
      <c r="E612"/>
      <c r="F612"/>
      <c r="G612"/>
      <c r="H612"/>
      <c r="I612"/>
      <c r="J612"/>
      <c r="K612"/>
      <c r="L612"/>
      <c r="M612"/>
      <c r="N612"/>
      <c r="O612"/>
      <c r="P612"/>
      <c r="Q612"/>
    </row>
    <row r="613" spans="2:17" x14ac:dyDescent="0.25">
      <c r="B613"/>
      <c r="C613"/>
      <c r="D613"/>
      <c r="E613"/>
      <c r="F613"/>
      <c r="G613"/>
      <c r="H613"/>
      <c r="I613"/>
      <c r="J613"/>
      <c r="K613"/>
      <c r="L613"/>
      <c r="M613"/>
      <c r="N613"/>
      <c r="O613"/>
      <c r="P613"/>
      <c r="Q613"/>
    </row>
    <row r="614" spans="2:17" x14ac:dyDescent="0.25">
      <c r="B614"/>
      <c r="C614"/>
      <c r="D614"/>
      <c r="E614"/>
      <c r="F614"/>
      <c r="G614"/>
      <c r="H614"/>
      <c r="I614"/>
      <c r="J614"/>
      <c r="K614"/>
      <c r="L614"/>
      <c r="M614"/>
      <c r="N614"/>
      <c r="O614"/>
      <c r="P614"/>
      <c r="Q614"/>
    </row>
    <row r="615" spans="2:17" x14ac:dyDescent="0.25">
      <c r="B615"/>
      <c r="C615"/>
      <c r="D615"/>
      <c r="E615"/>
      <c r="F615"/>
      <c r="G615"/>
      <c r="H615"/>
      <c r="I615"/>
      <c r="J615"/>
      <c r="K615"/>
      <c r="L615"/>
      <c r="M615"/>
      <c r="N615"/>
      <c r="O615"/>
      <c r="P615"/>
      <c r="Q615"/>
    </row>
    <row r="616" spans="2:17" x14ac:dyDescent="0.25">
      <c r="B616"/>
      <c r="C616"/>
      <c r="D616"/>
      <c r="E616"/>
      <c r="F616"/>
      <c r="G616"/>
      <c r="H616"/>
      <c r="I616"/>
      <c r="J616"/>
      <c r="K616"/>
      <c r="L616"/>
      <c r="M616"/>
      <c r="N616"/>
      <c r="O616"/>
      <c r="P616"/>
      <c r="Q616"/>
    </row>
    <row r="617" spans="2:17" x14ac:dyDescent="0.25">
      <c r="B617"/>
      <c r="C617"/>
      <c r="D617"/>
      <c r="E617"/>
      <c r="F617"/>
      <c r="G617"/>
      <c r="H617"/>
      <c r="I617"/>
      <c r="J617"/>
      <c r="K617"/>
      <c r="L617"/>
      <c r="M617"/>
      <c r="N617"/>
      <c r="O617"/>
      <c r="P617"/>
      <c r="Q617"/>
    </row>
    <row r="618" spans="2:17" x14ac:dyDescent="0.25">
      <c r="B618"/>
      <c r="C618"/>
      <c r="D618"/>
      <c r="E618"/>
      <c r="F618"/>
      <c r="G618"/>
      <c r="H618"/>
      <c r="I618"/>
      <c r="J618"/>
      <c r="K618"/>
      <c r="L618"/>
      <c r="M618"/>
      <c r="N618"/>
      <c r="O618"/>
      <c r="P618"/>
      <c r="Q618"/>
    </row>
    <row r="619" spans="2:17" x14ac:dyDescent="0.25">
      <c r="B619"/>
      <c r="C619"/>
      <c r="D619"/>
      <c r="E619"/>
      <c r="F619"/>
      <c r="G619"/>
      <c r="H619"/>
      <c r="I619"/>
      <c r="J619"/>
      <c r="K619"/>
      <c r="L619"/>
      <c r="M619"/>
      <c r="N619"/>
      <c r="O619"/>
      <c r="P619"/>
      <c r="Q619"/>
    </row>
    <row r="620" spans="2:17" x14ac:dyDescent="0.25">
      <c r="B620"/>
      <c r="C620"/>
      <c r="D620"/>
      <c r="E620"/>
      <c r="F620"/>
      <c r="G620"/>
      <c r="H620"/>
      <c r="I620"/>
      <c r="J620"/>
      <c r="K620"/>
      <c r="L620"/>
      <c r="M620"/>
      <c r="N620"/>
      <c r="O620"/>
      <c r="P620"/>
      <c r="Q620"/>
    </row>
    <row r="621" spans="2:17" x14ac:dyDescent="0.25">
      <c r="B621"/>
      <c r="C621"/>
      <c r="D621"/>
      <c r="E621"/>
      <c r="F621"/>
      <c r="G621"/>
      <c r="H621"/>
      <c r="I621"/>
      <c r="J621"/>
      <c r="K621"/>
      <c r="L621"/>
      <c r="M621"/>
      <c r="N621"/>
      <c r="O621"/>
      <c r="P621"/>
      <c r="Q621"/>
    </row>
    <row r="622" spans="2:17" x14ac:dyDescent="0.25">
      <c r="B622"/>
      <c r="C622"/>
      <c r="D622"/>
      <c r="E622"/>
      <c r="F622"/>
      <c r="G622"/>
      <c r="H622"/>
      <c r="I622"/>
      <c r="J622"/>
      <c r="K622"/>
      <c r="L622"/>
      <c r="M622"/>
      <c r="N622"/>
      <c r="O622"/>
      <c r="P622"/>
      <c r="Q622"/>
    </row>
    <row r="623" spans="2:17" x14ac:dyDescent="0.25">
      <c r="B623"/>
      <c r="C623"/>
      <c r="D623"/>
      <c r="E623"/>
      <c r="F623"/>
      <c r="G623"/>
      <c r="H623"/>
      <c r="I623"/>
      <c r="J623"/>
      <c r="K623"/>
      <c r="L623"/>
      <c r="M623"/>
      <c r="N623"/>
      <c r="O623"/>
      <c r="P623"/>
      <c r="Q623"/>
    </row>
    <row r="624" spans="2:17" x14ac:dyDescent="0.25">
      <c r="B624"/>
      <c r="C624"/>
      <c r="D624"/>
      <c r="E624"/>
      <c r="F624"/>
      <c r="G624"/>
      <c r="H624"/>
      <c r="I624"/>
      <c r="J624"/>
      <c r="K624"/>
      <c r="L624"/>
      <c r="M624"/>
      <c r="N624"/>
      <c r="O624"/>
      <c r="P624"/>
      <c r="Q624"/>
    </row>
    <row r="625" spans="2:17" x14ac:dyDescent="0.25">
      <c r="B625"/>
      <c r="C625"/>
      <c r="D625"/>
      <c r="E625"/>
      <c r="F625"/>
      <c r="G625"/>
      <c r="H625"/>
      <c r="I625"/>
      <c r="J625"/>
      <c r="K625"/>
      <c r="L625"/>
      <c r="M625"/>
      <c r="N625"/>
      <c r="O625"/>
      <c r="P625"/>
      <c r="Q625"/>
    </row>
    <row r="626" spans="2:17" x14ac:dyDescent="0.25">
      <c r="B626"/>
      <c r="C626"/>
      <c r="D626"/>
      <c r="E626"/>
      <c r="F626"/>
      <c r="G626"/>
      <c r="H626"/>
      <c r="I626"/>
      <c r="J626"/>
      <c r="K626"/>
      <c r="L626"/>
      <c r="M626"/>
      <c r="N626"/>
      <c r="O626"/>
      <c r="P626"/>
      <c r="Q626"/>
    </row>
    <row r="627" spans="2:17" x14ac:dyDescent="0.25">
      <c r="B627"/>
      <c r="C627"/>
      <c r="D627"/>
      <c r="E627"/>
      <c r="F627"/>
      <c r="G627"/>
      <c r="H627"/>
      <c r="I627"/>
      <c r="J627"/>
      <c r="K627"/>
      <c r="L627"/>
      <c r="M627"/>
      <c r="N627"/>
      <c r="O627"/>
      <c r="P627"/>
      <c r="Q627"/>
    </row>
    <row r="628" spans="2:17" x14ac:dyDescent="0.25">
      <c r="B628"/>
      <c r="C628"/>
      <c r="D628"/>
      <c r="E628"/>
      <c r="F628"/>
      <c r="G628"/>
      <c r="H628"/>
      <c r="I628"/>
      <c r="J628"/>
      <c r="K628"/>
      <c r="L628"/>
      <c r="M628"/>
      <c r="N628"/>
      <c r="O628"/>
      <c r="P628"/>
      <c r="Q628"/>
    </row>
    <row r="629" spans="2:17" x14ac:dyDescent="0.25">
      <c r="B629"/>
      <c r="C629"/>
      <c r="D629"/>
      <c r="E629"/>
      <c r="F629"/>
      <c r="G629"/>
      <c r="H629"/>
      <c r="I629"/>
      <c r="J629"/>
      <c r="K629"/>
      <c r="L629"/>
      <c r="M629"/>
      <c r="N629"/>
      <c r="O629"/>
      <c r="P629"/>
      <c r="Q629"/>
    </row>
    <row r="630" spans="2:17" x14ac:dyDescent="0.25">
      <c r="B630"/>
      <c r="C630"/>
      <c r="D630"/>
      <c r="E630"/>
      <c r="F630"/>
      <c r="G630"/>
      <c r="H630"/>
      <c r="I630"/>
      <c r="J630"/>
      <c r="K630"/>
      <c r="L630"/>
      <c r="M630"/>
      <c r="N630"/>
      <c r="O630"/>
      <c r="P630"/>
      <c r="Q630"/>
    </row>
    <row r="631" spans="2:17" x14ac:dyDescent="0.25">
      <c r="B631"/>
      <c r="C631"/>
      <c r="D631"/>
      <c r="E631"/>
      <c r="F631"/>
      <c r="G631"/>
      <c r="H631"/>
      <c r="I631"/>
      <c r="J631"/>
      <c r="K631"/>
      <c r="L631"/>
      <c r="M631"/>
      <c r="N631"/>
      <c r="O631"/>
      <c r="P631"/>
      <c r="Q631"/>
    </row>
    <row r="632" spans="2:17" x14ac:dyDescent="0.25">
      <c r="B632"/>
      <c r="C632"/>
      <c r="D632"/>
      <c r="E632"/>
      <c r="F632"/>
      <c r="G632"/>
      <c r="H632"/>
      <c r="I632"/>
      <c r="J632"/>
      <c r="K632"/>
      <c r="L632"/>
      <c r="M632"/>
      <c r="N632"/>
      <c r="O632"/>
      <c r="P632"/>
      <c r="Q632"/>
    </row>
    <row r="633" spans="2:17" x14ac:dyDescent="0.25">
      <c r="B633"/>
      <c r="C633"/>
      <c r="D633"/>
      <c r="E633"/>
      <c r="F633"/>
      <c r="G633"/>
      <c r="H633"/>
      <c r="I633"/>
      <c r="J633"/>
      <c r="K633"/>
      <c r="L633"/>
      <c r="M633"/>
      <c r="N633"/>
      <c r="O633"/>
      <c r="P633"/>
      <c r="Q633"/>
    </row>
    <row r="634" spans="2:17" x14ac:dyDescent="0.25">
      <c r="B634"/>
      <c r="C634"/>
      <c r="D634"/>
      <c r="E634"/>
      <c r="F634"/>
      <c r="G634"/>
      <c r="H634"/>
      <c r="I634"/>
      <c r="J634"/>
      <c r="K634"/>
      <c r="L634"/>
      <c r="M634"/>
      <c r="N634"/>
      <c r="O634"/>
      <c r="P634"/>
      <c r="Q634"/>
    </row>
    <row r="635" spans="2:17" x14ac:dyDescent="0.25">
      <c r="B635"/>
      <c r="C635"/>
      <c r="D635"/>
      <c r="E635"/>
      <c r="F635"/>
      <c r="G635"/>
      <c r="H635"/>
      <c r="I635"/>
      <c r="J635"/>
      <c r="K635"/>
      <c r="L635"/>
      <c r="M635"/>
      <c r="N635"/>
      <c r="O635"/>
      <c r="P635"/>
      <c r="Q635"/>
    </row>
    <row r="636" spans="2:17" x14ac:dyDescent="0.25">
      <c r="B636"/>
      <c r="C636"/>
      <c r="D636"/>
      <c r="E636"/>
      <c r="F636"/>
      <c r="G636"/>
      <c r="H636"/>
      <c r="I636"/>
      <c r="J636"/>
      <c r="K636"/>
      <c r="L636"/>
      <c r="M636"/>
      <c r="N636"/>
      <c r="O636"/>
      <c r="P636"/>
      <c r="Q636"/>
    </row>
    <row r="637" spans="2:17" x14ac:dyDescent="0.25">
      <c r="B637"/>
      <c r="C637"/>
      <c r="D637"/>
      <c r="E637"/>
      <c r="F637"/>
      <c r="G637"/>
      <c r="H637"/>
      <c r="I637"/>
      <c r="J637"/>
      <c r="K637"/>
      <c r="L637"/>
      <c r="M637"/>
      <c r="N637"/>
      <c r="O637"/>
      <c r="P637"/>
      <c r="Q637"/>
    </row>
    <row r="638" spans="2:17" x14ac:dyDescent="0.25">
      <c r="B638"/>
      <c r="C638"/>
      <c r="D638"/>
      <c r="E638"/>
      <c r="F638"/>
      <c r="G638"/>
      <c r="H638"/>
      <c r="I638"/>
      <c r="J638"/>
      <c r="K638"/>
      <c r="L638"/>
      <c r="M638"/>
      <c r="N638"/>
      <c r="O638"/>
      <c r="P638"/>
      <c r="Q638"/>
    </row>
    <row r="639" spans="2:17" x14ac:dyDescent="0.25">
      <c r="B639"/>
      <c r="C639"/>
      <c r="D639"/>
      <c r="E639"/>
      <c r="F639"/>
      <c r="G639"/>
      <c r="H639"/>
      <c r="I639"/>
      <c r="J639"/>
      <c r="K639"/>
      <c r="L639"/>
      <c r="M639"/>
      <c r="N639"/>
      <c r="O639"/>
      <c r="P639"/>
      <c r="Q639"/>
    </row>
    <row r="640" spans="2:17" x14ac:dyDescent="0.25">
      <c r="B640"/>
      <c r="C640"/>
      <c r="D640"/>
      <c r="E640"/>
      <c r="F640"/>
      <c r="G640"/>
      <c r="H640"/>
      <c r="I640"/>
      <c r="J640"/>
      <c r="K640"/>
      <c r="L640"/>
      <c r="M640"/>
      <c r="N640"/>
      <c r="O640"/>
      <c r="P640"/>
      <c r="Q640"/>
    </row>
    <row r="641" spans="2:17" x14ac:dyDescent="0.25">
      <c r="B641"/>
      <c r="C641"/>
      <c r="D641"/>
      <c r="E641"/>
      <c r="F641"/>
      <c r="G641"/>
      <c r="H641"/>
      <c r="I641"/>
      <c r="J641"/>
      <c r="K641"/>
      <c r="L641"/>
      <c r="M641"/>
      <c r="N641"/>
      <c r="O641"/>
      <c r="P641"/>
      <c r="Q641"/>
    </row>
    <row r="642" spans="2:17" x14ac:dyDescent="0.25">
      <c r="B642"/>
      <c r="C642"/>
      <c r="D642"/>
      <c r="E642"/>
      <c r="F642"/>
      <c r="G642"/>
      <c r="H642"/>
      <c r="I642"/>
      <c r="J642"/>
      <c r="K642"/>
      <c r="L642"/>
      <c r="M642"/>
      <c r="N642"/>
      <c r="O642"/>
      <c r="P642"/>
      <c r="Q642"/>
    </row>
    <row r="643" spans="2:17" x14ac:dyDescent="0.25">
      <c r="B643"/>
      <c r="C643"/>
      <c r="D643"/>
      <c r="E643"/>
      <c r="F643"/>
      <c r="G643"/>
      <c r="H643"/>
      <c r="I643"/>
      <c r="J643"/>
      <c r="K643"/>
      <c r="L643"/>
      <c r="M643"/>
      <c r="N643"/>
      <c r="O643"/>
      <c r="P643"/>
      <c r="Q643"/>
    </row>
    <row r="644" spans="2:17" x14ac:dyDescent="0.25">
      <c r="B644"/>
      <c r="C644"/>
      <c r="D644"/>
      <c r="E644"/>
      <c r="F644"/>
      <c r="G644"/>
      <c r="H644"/>
      <c r="I644"/>
      <c r="J644"/>
      <c r="K644"/>
      <c r="L644"/>
      <c r="M644"/>
      <c r="N644"/>
      <c r="O644"/>
      <c r="P644"/>
      <c r="Q644"/>
    </row>
    <row r="645" spans="2:17" x14ac:dyDescent="0.25">
      <c r="B645"/>
      <c r="C645"/>
      <c r="D645"/>
      <c r="E645"/>
      <c r="F645"/>
      <c r="G645"/>
      <c r="H645"/>
      <c r="I645"/>
      <c r="J645"/>
      <c r="K645"/>
      <c r="L645"/>
      <c r="M645"/>
      <c r="N645"/>
      <c r="O645"/>
      <c r="P645"/>
      <c r="Q645"/>
    </row>
    <row r="646" spans="2:17" x14ac:dyDescent="0.25">
      <c r="B646"/>
      <c r="C646"/>
      <c r="D646"/>
      <c r="E646"/>
      <c r="F646"/>
      <c r="G646"/>
      <c r="H646"/>
      <c r="I646"/>
      <c r="J646"/>
      <c r="K646"/>
      <c r="L646"/>
      <c r="M646"/>
      <c r="N646"/>
      <c r="O646"/>
      <c r="P646"/>
      <c r="Q646"/>
    </row>
    <row r="647" spans="2:17" x14ac:dyDescent="0.25">
      <c r="B647"/>
      <c r="C647"/>
      <c r="D647"/>
      <c r="E647"/>
      <c r="F647"/>
      <c r="G647"/>
      <c r="H647"/>
      <c r="I647"/>
      <c r="J647"/>
      <c r="K647"/>
      <c r="L647"/>
      <c r="M647"/>
      <c r="N647"/>
      <c r="O647"/>
      <c r="P647"/>
      <c r="Q647"/>
    </row>
    <row r="648" spans="2:17" x14ac:dyDescent="0.25">
      <c r="B648"/>
      <c r="C648"/>
      <c r="D648"/>
      <c r="E648"/>
      <c r="F648"/>
      <c r="G648"/>
      <c r="H648"/>
      <c r="I648"/>
      <c r="J648"/>
      <c r="K648"/>
      <c r="L648"/>
      <c r="M648"/>
      <c r="N648"/>
      <c r="O648"/>
      <c r="P648"/>
      <c r="Q648"/>
    </row>
    <row r="649" spans="2:17" x14ac:dyDescent="0.25">
      <c r="B649"/>
      <c r="C649"/>
      <c r="D649"/>
      <c r="E649"/>
      <c r="F649"/>
      <c r="G649"/>
      <c r="H649"/>
      <c r="I649"/>
      <c r="J649"/>
      <c r="K649"/>
      <c r="L649"/>
      <c r="M649"/>
      <c r="N649"/>
      <c r="O649"/>
      <c r="P649"/>
      <c r="Q649"/>
    </row>
    <row r="650" spans="2:17" x14ac:dyDescent="0.25">
      <c r="B650"/>
      <c r="C650"/>
      <c r="D650"/>
      <c r="E650"/>
      <c r="F650"/>
      <c r="G650"/>
      <c r="H650"/>
      <c r="I650"/>
      <c r="J650"/>
      <c r="K650"/>
      <c r="L650"/>
      <c r="M650"/>
      <c r="N650"/>
      <c r="O650"/>
      <c r="P650"/>
      <c r="Q650"/>
    </row>
    <row r="651" spans="2:17" x14ac:dyDescent="0.25">
      <c r="B651"/>
      <c r="C651"/>
      <c r="D651"/>
      <c r="E651"/>
      <c r="F651"/>
      <c r="G651"/>
      <c r="H651"/>
      <c r="I651"/>
      <c r="J651"/>
      <c r="K651"/>
      <c r="L651"/>
      <c r="M651"/>
      <c r="N651"/>
      <c r="O651"/>
      <c r="P651"/>
      <c r="Q651"/>
    </row>
    <row r="652" spans="2:17" x14ac:dyDescent="0.25">
      <c r="B652"/>
      <c r="C652"/>
      <c r="D652"/>
      <c r="E652"/>
      <c r="F652"/>
      <c r="G652"/>
      <c r="H652"/>
      <c r="I652"/>
      <c r="J652"/>
      <c r="K652"/>
      <c r="L652"/>
      <c r="M652"/>
      <c r="N652"/>
      <c r="O652"/>
      <c r="P652"/>
      <c r="Q652"/>
    </row>
    <row r="653" spans="2:17" x14ac:dyDescent="0.25">
      <c r="B653"/>
      <c r="C653"/>
      <c r="D653"/>
      <c r="E653"/>
      <c r="F653"/>
      <c r="G653"/>
      <c r="H653"/>
      <c r="I653"/>
      <c r="J653"/>
      <c r="K653"/>
      <c r="L653"/>
      <c r="M653"/>
      <c r="N653"/>
      <c r="O653"/>
      <c r="P653"/>
      <c r="Q653"/>
    </row>
    <row r="654" spans="2:17" x14ac:dyDescent="0.25">
      <c r="B654"/>
      <c r="C654"/>
      <c r="D654"/>
      <c r="E654"/>
      <c r="F654"/>
      <c r="G654"/>
      <c r="H654"/>
      <c r="I654"/>
      <c r="J654"/>
      <c r="K654"/>
      <c r="L654"/>
      <c r="M654"/>
      <c r="N654"/>
      <c r="O654"/>
      <c r="P654"/>
      <c r="Q654"/>
    </row>
    <row r="655" spans="2:17" x14ac:dyDescent="0.25">
      <c r="B655"/>
      <c r="C655"/>
      <c r="D655"/>
      <c r="E655"/>
      <c r="F655"/>
      <c r="G655"/>
      <c r="H655"/>
      <c r="I655"/>
      <c r="J655"/>
      <c r="K655"/>
      <c r="L655"/>
      <c r="M655"/>
      <c r="N655"/>
      <c r="O655"/>
      <c r="P655"/>
      <c r="Q655"/>
    </row>
    <row r="656" spans="2:17" x14ac:dyDescent="0.25">
      <c r="B656"/>
      <c r="C656"/>
      <c r="D656"/>
      <c r="E656"/>
      <c r="F656"/>
      <c r="G656"/>
      <c r="H656"/>
      <c r="I656"/>
      <c r="J656"/>
      <c r="K656"/>
      <c r="L656"/>
      <c r="M656"/>
      <c r="N656"/>
      <c r="O656"/>
      <c r="P656"/>
      <c r="Q656"/>
    </row>
    <row r="657" spans="2:17" x14ac:dyDescent="0.25">
      <c r="B657"/>
      <c r="C657"/>
      <c r="D657"/>
      <c r="E657"/>
      <c r="F657"/>
      <c r="G657"/>
      <c r="H657"/>
      <c r="I657"/>
      <c r="J657"/>
      <c r="K657"/>
      <c r="L657"/>
      <c r="M657"/>
      <c r="N657"/>
      <c r="O657"/>
      <c r="P657"/>
      <c r="Q657"/>
    </row>
    <row r="658" spans="2:17" x14ac:dyDescent="0.25">
      <c r="B658"/>
      <c r="C658"/>
      <c r="D658"/>
      <c r="E658"/>
      <c r="F658"/>
      <c r="G658"/>
      <c r="H658"/>
      <c r="I658"/>
      <c r="J658"/>
      <c r="K658"/>
      <c r="L658"/>
      <c r="M658"/>
      <c r="N658"/>
      <c r="O658"/>
      <c r="P658"/>
      <c r="Q658"/>
    </row>
    <row r="659" spans="2:17" x14ac:dyDescent="0.25">
      <c r="B659"/>
      <c r="C659"/>
      <c r="D659"/>
      <c r="E659"/>
      <c r="F659"/>
      <c r="G659"/>
      <c r="H659"/>
      <c r="I659"/>
      <c r="J659"/>
      <c r="K659"/>
      <c r="L659"/>
      <c r="M659"/>
      <c r="N659"/>
      <c r="O659"/>
      <c r="P659"/>
      <c r="Q659"/>
    </row>
    <row r="660" spans="2:17" x14ac:dyDescent="0.25">
      <c r="B660"/>
      <c r="C660"/>
      <c r="D660"/>
      <c r="E660"/>
      <c r="F660"/>
      <c r="G660"/>
      <c r="H660"/>
      <c r="I660"/>
      <c r="J660"/>
      <c r="K660"/>
      <c r="L660"/>
      <c r="M660"/>
      <c r="N660"/>
      <c r="O660"/>
      <c r="P660"/>
      <c r="Q660"/>
    </row>
    <row r="661" spans="2:17" x14ac:dyDescent="0.25">
      <c r="B661"/>
      <c r="C661"/>
      <c r="D661"/>
      <c r="E661"/>
      <c r="F661"/>
      <c r="G661"/>
      <c r="H661"/>
      <c r="I661"/>
      <c r="J661"/>
      <c r="K661"/>
      <c r="L661"/>
      <c r="M661"/>
      <c r="N661"/>
      <c r="O661"/>
      <c r="P661"/>
      <c r="Q661"/>
    </row>
    <row r="662" spans="2:17" x14ac:dyDescent="0.25">
      <c r="B662"/>
      <c r="C662"/>
      <c r="D662"/>
      <c r="E662"/>
      <c r="F662"/>
      <c r="G662"/>
      <c r="H662"/>
      <c r="I662"/>
      <c r="J662"/>
      <c r="K662"/>
      <c r="L662"/>
      <c r="M662"/>
      <c r="N662"/>
      <c r="O662"/>
      <c r="P662"/>
      <c r="Q662"/>
    </row>
    <row r="663" spans="2:17" x14ac:dyDescent="0.25">
      <c r="B663"/>
      <c r="C663"/>
      <c r="D663"/>
      <c r="E663"/>
      <c r="F663"/>
      <c r="G663"/>
      <c r="H663"/>
      <c r="I663"/>
      <c r="J663"/>
      <c r="K663"/>
      <c r="L663"/>
      <c r="M663"/>
      <c r="N663"/>
      <c r="O663"/>
      <c r="P663"/>
      <c r="Q663"/>
    </row>
    <row r="664" spans="2:17" x14ac:dyDescent="0.25">
      <c r="B664"/>
      <c r="C664"/>
      <c r="D664"/>
      <c r="E664"/>
      <c r="F664"/>
      <c r="G664"/>
      <c r="H664"/>
      <c r="I664"/>
      <c r="J664"/>
      <c r="K664"/>
      <c r="L664"/>
      <c r="M664"/>
      <c r="N664"/>
      <c r="O664"/>
      <c r="P664"/>
      <c r="Q664"/>
    </row>
    <row r="665" spans="2:17" x14ac:dyDescent="0.25">
      <c r="B665"/>
      <c r="C665"/>
      <c r="D665"/>
      <c r="E665"/>
      <c r="F665"/>
      <c r="G665"/>
      <c r="H665"/>
      <c r="I665"/>
      <c r="J665"/>
      <c r="K665"/>
      <c r="L665"/>
      <c r="M665"/>
      <c r="N665"/>
      <c r="O665"/>
      <c r="P665"/>
      <c r="Q665"/>
    </row>
    <row r="666" spans="2:17" x14ac:dyDescent="0.25">
      <c r="B666"/>
      <c r="C666"/>
      <c r="D666"/>
      <c r="E666"/>
      <c r="F666"/>
      <c r="G666"/>
      <c r="H666"/>
      <c r="I666"/>
      <c r="J666"/>
      <c r="K666"/>
      <c r="L666"/>
      <c r="M666"/>
      <c r="N666"/>
      <c r="O666"/>
      <c r="P666"/>
      <c r="Q666"/>
    </row>
    <row r="667" spans="2:17" x14ac:dyDescent="0.25">
      <c r="B667"/>
      <c r="C667"/>
      <c r="D667"/>
      <c r="E667"/>
      <c r="F667"/>
      <c r="G667"/>
      <c r="H667"/>
      <c r="I667"/>
      <c r="J667"/>
      <c r="K667"/>
      <c r="L667"/>
      <c r="M667"/>
      <c r="N667"/>
      <c r="O667"/>
      <c r="P667"/>
      <c r="Q667"/>
    </row>
    <row r="668" spans="2:17" x14ac:dyDescent="0.25">
      <c r="B668"/>
      <c r="C668"/>
      <c r="D668"/>
      <c r="E668"/>
      <c r="F668"/>
      <c r="G668"/>
      <c r="H668"/>
      <c r="I668"/>
      <c r="J668"/>
      <c r="K668"/>
      <c r="L668"/>
      <c r="M668"/>
      <c r="N668"/>
      <c r="O668"/>
      <c r="P668"/>
      <c r="Q668"/>
    </row>
    <row r="669" spans="2:17" x14ac:dyDescent="0.25">
      <c r="B669"/>
      <c r="C669"/>
      <c r="D669"/>
      <c r="E669"/>
      <c r="F669"/>
      <c r="G669"/>
      <c r="H669"/>
      <c r="I669"/>
      <c r="J669"/>
      <c r="K669"/>
      <c r="L669"/>
      <c r="M669"/>
      <c r="N669"/>
      <c r="O669"/>
      <c r="P669"/>
      <c r="Q669"/>
    </row>
    <row r="670" spans="2:17" x14ac:dyDescent="0.25">
      <c r="B670"/>
      <c r="C670"/>
      <c r="D670"/>
      <c r="E670"/>
      <c r="F670"/>
      <c r="G670"/>
      <c r="H670"/>
      <c r="I670"/>
      <c r="J670"/>
      <c r="K670"/>
      <c r="L670"/>
      <c r="M670"/>
      <c r="N670"/>
      <c r="O670"/>
      <c r="P670"/>
      <c r="Q670"/>
    </row>
    <row r="671" spans="2:17" x14ac:dyDescent="0.25">
      <c r="B671"/>
      <c r="C671"/>
      <c r="D671"/>
      <c r="E671"/>
      <c r="F671"/>
      <c r="G671"/>
      <c r="H671"/>
      <c r="I671"/>
      <c r="J671"/>
      <c r="K671"/>
      <c r="L671"/>
      <c r="M671"/>
      <c r="N671"/>
      <c r="O671"/>
      <c r="P671"/>
      <c r="Q671"/>
    </row>
    <row r="672" spans="2:17" x14ac:dyDescent="0.25">
      <c r="B672"/>
      <c r="C672"/>
      <c r="D672"/>
      <c r="E672"/>
      <c r="F672"/>
      <c r="G672"/>
      <c r="H672"/>
      <c r="I672"/>
      <c r="J672"/>
      <c r="K672"/>
      <c r="L672"/>
      <c r="M672"/>
      <c r="N672"/>
      <c r="O672"/>
      <c r="P672"/>
      <c r="Q672"/>
    </row>
    <row r="673" spans="2:17" x14ac:dyDescent="0.25">
      <c r="B673"/>
      <c r="C673"/>
      <c r="D673"/>
      <c r="E673"/>
      <c r="F673"/>
      <c r="G673"/>
      <c r="H673"/>
      <c r="I673"/>
      <c r="J673"/>
      <c r="K673"/>
      <c r="L673"/>
      <c r="M673"/>
      <c r="N673"/>
      <c r="O673"/>
      <c r="P673"/>
      <c r="Q673"/>
    </row>
    <row r="674" spans="2:17" x14ac:dyDescent="0.25">
      <c r="B674"/>
      <c r="C674"/>
      <c r="D674"/>
      <c r="E674"/>
      <c r="F674"/>
      <c r="G674"/>
      <c r="H674"/>
      <c r="I674"/>
      <c r="J674"/>
      <c r="K674"/>
      <c r="L674"/>
      <c r="M674"/>
      <c r="N674"/>
      <c r="O674"/>
      <c r="P674"/>
      <c r="Q674"/>
    </row>
    <row r="675" spans="2:17" x14ac:dyDescent="0.25">
      <c r="B675"/>
      <c r="C675"/>
      <c r="D675"/>
      <c r="E675"/>
      <c r="F675"/>
      <c r="G675"/>
      <c r="H675"/>
      <c r="I675"/>
      <c r="J675"/>
      <c r="K675"/>
      <c r="L675"/>
      <c r="M675"/>
      <c r="N675"/>
      <c r="O675"/>
      <c r="P675"/>
      <c r="Q675"/>
    </row>
    <row r="676" spans="2:17" x14ac:dyDescent="0.25">
      <c r="B676"/>
      <c r="C676"/>
      <c r="D676"/>
      <c r="E676"/>
      <c r="F676"/>
      <c r="G676"/>
      <c r="H676"/>
      <c r="I676"/>
      <c r="J676"/>
      <c r="K676"/>
      <c r="L676"/>
      <c r="M676"/>
      <c r="N676"/>
      <c r="O676"/>
      <c r="P676"/>
      <c r="Q676"/>
    </row>
    <row r="677" spans="2:17" x14ac:dyDescent="0.25">
      <c r="B677"/>
      <c r="C677"/>
      <c r="D677"/>
      <c r="E677"/>
      <c r="F677"/>
      <c r="G677"/>
      <c r="H677"/>
      <c r="I677"/>
      <c r="J677"/>
      <c r="K677"/>
      <c r="L677"/>
      <c r="M677"/>
      <c r="N677"/>
      <c r="O677"/>
      <c r="P677"/>
      <c r="Q677"/>
    </row>
    <row r="678" spans="2:17" x14ac:dyDescent="0.25">
      <c r="B678"/>
      <c r="C678"/>
      <c r="D678"/>
      <c r="E678"/>
      <c r="F678"/>
      <c r="G678"/>
      <c r="H678"/>
      <c r="I678"/>
      <c r="J678"/>
      <c r="K678"/>
      <c r="L678"/>
      <c r="M678"/>
      <c r="N678"/>
      <c r="O678"/>
      <c r="P678"/>
      <c r="Q678"/>
    </row>
    <row r="679" spans="2:17" x14ac:dyDescent="0.25">
      <c r="B679"/>
      <c r="C679"/>
      <c r="D679"/>
      <c r="E679"/>
      <c r="F679"/>
      <c r="G679"/>
      <c r="H679"/>
      <c r="I679"/>
      <c r="J679"/>
      <c r="K679"/>
      <c r="L679"/>
      <c r="M679"/>
      <c r="N679"/>
      <c r="O679"/>
      <c r="P679"/>
      <c r="Q679"/>
    </row>
    <row r="680" spans="2:17" x14ac:dyDescent="0.25">
      <c r="B680"/>
      <c r="C680"/>
      <c r="D680"/>
      <c r="E680"/>
      <c r="F680"/>
      <c r="G680"/>
      <c r="H680"/>
      <c r="I680"/>
      <c r="J680"/>
      <c r="K680"/>
      <c r="L680"/>
      <c r="M680"/>
      <c r="N680"/>
      <c r="O680"/>
      <c r="P680"/>
      <c r="Q680"/>
    </row>
    <row r="681" spans="2:17" x14ac:dyDescent="0.25">
      <c r="B681"/>
      <c r="C681"/>
      <c r="D681"/>
      <c r="E681"/>
      <c r="F681"/>
      <c r="G681"/>
      <c r="H681"/>
      <c r="I681"/>
      <c r="J681"/>
      <c r="K681"/>
      <c r="L681"/>
      <c r="M681"/>
      <c r="N681"/>
      <c r="O681"/>
      <c r="P681"/>
      <c r="Q681"/>
    </row>
    <row r="682" spans="2:17" x14ac:dyDescent="0.25">
      <c r="B682"/>
      <c r="C682"/>
      <c r="D682"/>
      <c r="E682"/>
      <c r="F682"/>
      <c r="G682"/>
      <c r="H682"/>
      <c r="I682"/>
      <c r="J682"/>
      <c r="K682"/>
      <c r="L682"/>
      <c r="M682"/>
      <c r="N682"/>
      <c r="O682"/>
      <c r="P682"/>
      <c r="Q682"/>
    </row>
    <row r="683" spans="2:17" x14ac:dyDescent="0.25">
      <c r="B683"/>
      <c r="C683"/>
      <c r="D683"/>
      <c r="E683"/>
      <c r="F683"/>
      <c r="G683"/>
      <c r="H683"/>
      <c r="I683"/>
      <c r="J683"/>
      <c r="K683"/>
      <c r="L683"/>
      <c r="M683"/>
      <c r="N683"/>
      <c r="O683"/>
      <c r="P683"/>
      <c r="Q683"/>
    </row>
    <row r="684" spans="2:17" x14ac:dyDescent="0.25">
      <c r="B684"/>
      <c r="C684"/>
      <c r="D684"/>
      <c r="E684"/>
      <c r="F684"/>
      <c r="G684"/>
      <c r="H684"/>
      <c r="I684"/>
      <c r="J684"/>
      <c r="K684"/>
      <c r="L684"/>
      <c r="M684"/>
      <c r="N684"/>
      <c r="O684"/>
      <c r="P684"/>
      <c r="Q684"/>
    </row>
    <row r="685" spans="2:17" x14ac:dyDescent="0.25">
      <c r="B685"/>
      <c r="C685"/>
      <c r="D685"/>
      <c r="E685"/>
      <c r="F685"/>
      <c r="G685"/>
      <c r="H685"/>
      <c r="I685"/>
      <c r="J685"/>
      <c r="K685"/>
      <c r="L685"/>
      <c r="M685"/>
      <c r="N685"/>
      <c r="O685"/>
      <c r="P685"/>
      <c r="Q685"/>
    </row>
    <row r="686" spans="2:17" x14ac:dyDescent="0.25">
      <c r="B686"/>
      <c r="C686"/>
      <c r="D686"/>
      <c r="E686"/>
      <c r="F686"/>
      <c r="G686"/>
      <c r="H686"/>
      <c r="I686"/>
      <c r="J686"/>
      <c r="K686"/>
      <c r="L686"/>
      <c r="M686"/>
      <c r="N686"/>
      <c r="O686"/>
      <c r="P686"/>
      <c r="Q686"/>
    </row>
    <row r="687" spans="2:17" x14ac:dyDescent="0.25">
      <c r="B687"/>
      <c r="C687"/>
      <c r="D687"/>
      <c r="E687"/>
      <c r="F687"/>
      <c r="G687"/>
      <c r="H687"/>
      <c r="I687"/>
      <c r="J687"/>
      <c r="K687"/>
      <c r="L687"/>
      <c r="M687"/>
      <c r="N687"/>
      <c r="O687"/>
      <c r="P687"/>
      <c r="Q687"/>
    </row>
    <row r="688" spans="2:17" x14ac:dyDescent="0.25">
      <c r="B688"/>
      <c r="C688"/>
      <c r="D688"/>
      <c r="E688"/>
      <c r="F688"/>
      <c r="G688"/>
      <c r="H688"/>
      <c r="I688"/>
      <c r="J688"/>
      <c r="K688"/>
      <c r="L688"/>
      <c r="M688"/>
      <c r="N688"/>
      <c r="O688"/>
      <c r="P688"/>
      <c r="Q688"/>
    </row>
    <row r="689" spans="2:17" x14ac:dyDescent="0.25">
      <c r="B689"/>
      <c r="C689"/>
      <c r="D689"/>
      <c r="E689"/>
      <c r="F689"/>
      <c r="G689"/>
      <c r="H689"/>
      <c r="I689"/>
      <c r="J689"/>
      <c r="K689"/>
      <c r="L689"/>
      <c r="M689"/>
      <c r="N689"/>
      <c r="O689"/>
      <c r="P689"/>
      <c r="Q689"/>
    </row>
    <row r="690" spans="2:17" x14ac:dyDescent="0.25">
      <c r="B690"/>
      <c r="C690"/>
      <c r="D690"/>
      <c r="E690"/>
      <c r="F690"/>
      <c r="G690"/>
      <c r="H690"/>
      <c r="I690"/>
      <c r="J690"/>
      <c r="K690"/>
      <c r="L690"/>
      <c r="M690"/>
      <c r="N690"/>
      <c r="O690"/>
      <c r="P690"/>
      <c r="Q690"/>
    </row>
    <row r="691" spans="2:17" x14ac:dyDescent="0.25">
      <c r="B691"/>
      <c r="C691"/>
      <c r="D691"/>
      <c r="E691"/>
      <c r="F691"/>
      <c r="G691"/>
      <c r="H691"/>
      <c r="I691"/>
      <c r="J691"/>
      <c r="K691"/>
      <c r="L691"/>
      <c r="M691"/>
      <c r="N691"/>
      <c r="O691"/>
      <c r="P691"/>
      <c r="Q691"/>
    </row>
    <row r="692" spans="2:17" x14ac:dyDescent="0.25">
      <c r="B692"/>
      <c r="C692"/>
      <c r="D692"/>
      <c r="E692"/>
      <c r="F692"/>
      <c r="G692"/>
      <c r="H692"/>
      <c r="I692"/>
      <c r="J692"/>
      <c r="K692"/>
      <c r="L692"/>
      <c r="M692"/>
      <c r="N692"/>
      <c r="O692"/>
      <c r="P692"/>
      <c r="Q692"/>
    </row>
    <row r="693" spans="2:17" x14ac:dyDescent="0.25">
      <c r="B693"/>
      <c r="C693"/>
      <c r="D693"/>
      <c r="E693"/>
      <c r="F693"/>
      <c r="G693"/>
      <c r="H693"/>
      <c r="I693"/>
      <c r="J693"/>
      <c r="K693"/>
      <c r="L693"/>
      <c r="M693"/>
      <c r="N693"/>
      <c r="O693"/>
      <c r="P693"/>
      <c r="Q693"/>
    </row>
    <row r="694" spans="2:17" x14ac:dyDescent="0.25">
      <c r="B694"/>
      <c r="C694"/>
      <c r="D694"/>
      <c r="E694"/>
      <c r="F694"/>
      <c r="G694"/>
      <c r="H694"/>
      <c r="I694"/>
      <c r="J694"/>
      <c r="K694"/>
      <c r="L694"/>
      <c r="M694"/>
      <c r="N694"/>
      <c r="O694"/>
      <c r="P694"/>
      <c r="Q694"/>
    </row>
    <row r="695" spans="2:17" x14ac:dyDescent="0.25">
      <c r="B695"/>
      <c r="C695"/>
      <c r="D695"/>
      <c r="E695"/>
      <c r="F695"/>
      <c r="G695"/>
      <c r="H695"/>
      <c r="I695"/>
      <c r="J695"/>
      <c r="K695"/>
      <c r="L695"/>
      <c r="M695"/>
      <c r="N695"/>
      <c r="O695"/>
      <c r="P695"/>
      <c r="Q695"/>
    </row>
    <row r="696" spans="2:17" x14ac:dyDescent="0.25">
      <c r="B696"/>
      <c r="C696"/>
      <c r="D696"/>
      <c r="E696"/>
      <c r="F696"/>
      <c r="G696"/>
      <c r="H696"/>
      <c r="I696"/>
      <c r="J696"/>
      <c r="K696"/>
      <c r="L696"/>
      <c r="M696"/>
      <c r="N696"/>
      <c r="O696"/>
      <c r="P696"/>
      <c r="Q696"/>
    </row>
    <row r="697" spans="2:17" x14ac:dyDescent="0.25">
      <c r="B697"/>
      <c r="C697"/>
      <c r="D697"/>
      <c r="E697"/>
      <c r="F697"/>
      <c r="G697"/>
      <c r="H697"/>
      <c r="I697"/>
      <c r="J697"/>
      <c r="K697"/>
      <c r="L697"/>
      <c r="M697"/>
      <c r="N697"/>
      <c r="O697"/>
      <c r="P697"/>
      <c r="Q697"/>
    </row>
    <row r="698" spans="2:17" x14ac:dyDescent="0.25">
      <c r="B698"/>
      <c r="C698"/>
      <c r="D698"/>
      <c r="E698"/>
      <c r="F698"/>
      <c r="G698"/>
      <c r="H698"/>
      <c r="I698"/>
      <c r="J698"/>
      <c r="K698"/>
      <c r="L698"/>
      <c r="M698"/>
      <c r="N698"/>
      <c r="O698"/>
      <c r="P698"/>
      <c r="Q698"/>
    </row>
    <row r="699" spans="2:17" x14ac:dyDescent="0.25">
      <c r="B699"/>
      <c r="C699"/>
      <c r="D699"/>
      <c r="E699"/>
      <c r="F699"/>
      <c r="G699"/>
      <c r="H699"/>
      <c r="I699"/>
      <c r="J699"/>
      <c r="K699"/>
      <c r="L699"/>
      <c r="M699"/>
      <c r="N699"/>
      <c r="O699"/>
      <c r="P699"/>
      <c r="Q699"/>
    </row>
    <row r="700" spans="2:17" x14ac:dyDescent="0.25">
      <c r="B700"/>
      <c r="C700"/>
      <c r="D700"/>
      <c r="E700"/>
      <c r="F700"/>
      <c r="G700"/>
      <c r="H700"/>
      <c r="I700"/>
      <c r="J700"/>
      <c r="K700"/>
      <c r="L700"/>
      <c r="M700"/>
      <c r="N700"/>
      <c r="O700"/>
      <c r="P700"/>
      <c r="Q700"/>
    </row>
    <row r="701" spans="2:17" x14ac:dyDescent="0.25">
      <c r="B701"/>
      <c r="C701"/>
      <c r="D701"/>
      <c r="E701"/>
      <c r="F701"/>
      <c r="G701"/>
      <c r="H701"/>
      <c r="I701"/>
      <c r="J701"/>
      <c r="K701"/>
      <c r="L701"/>
      <c r="M701"/>
      <c r="N701"/>
      <c r="O701"/>
      <c r="P701"/>
      <c r="Q701"/>
    </row>
    <row r="702" spans="2:17" x14ac:dyDescent="0.25">
      <c r="B702"/>
      <c r="C702"/>
      <c r="D702"/>
      <c r="E702"/>
      <c r="F702"/>
      <c r="G702"/>
      <c r="H702"/>
      <c r="I702"/>
      <c r="J702"/>
      <c r="K702"/>
      <c r="L702"/>
      <c r="M702"/>
      <c r="N702"/>
      <c r="O702"/>
      <c r="P702"/>
      <c r="Q702"/>
    </row>
    <row r="703" spans="2:17" x14ac:dyDescent="0.25">
      <c r="B703"/>
      <c r="C703"/>
      <c r="D703"/>
      <c r="E703"/>
      <c r="F703"/>
      <c r="G703"/>
      <c r="H703"/>
      <c r="I703"/>
      <c r="J703"/>
      <c r="K703"/>
      <c r="L703"/>
      <c r="M703"/>
      <c r="N703"/>
      <c r="O703"/>
      <c r="P703"/>
      <c r="Q703"/>
    </row>
    <row r="704" spans="2:17" x14ac:dyDescent="0.25">
      <c r="B704"/>
      <c r="C704"/>
      <c r="D704"/>
      <c r="E704"/>
      <c r="F704"/>
      <c r="G704"/>
      <c r="H704"/>
      <c r="I704"/>
      <c r="J704"/>
      <c r="K704"/>
      <c r="L704"/>
      <c r="M704"/>
      <c r="N704"/>
      <c r="O704"/>
      <c r="P704"/>
      <c r="Q704"/>
    </row>
    <row r="705" spans="2:17" x14ac:dyDescent="0.25">
      <c r="B705"/>
      <c r="C705"/>
      <c r="D705"/>
      <c r="E705"/>
      <c r="F705"/>
      <c r="G705"/>
      <c r="H705"/>
      <c r="I705"/>
      <c r="J705"/>
      <c r="K705"/>
      <c r="L705"/>
      <c r="M705"/>
      <c r="N705"/>
      <c r="O705"/>
      <c r="P705"/>
      <c r="Q705"/>
    </row>
    <row r="706" spans="2:17" x14ac:dyDescent="0.25">
      <c r="B706"/>
      <c r="C706"/>
      <c r="D706"/>
      <c r="E706"/>
      <c r="F706"/>
      <c r="G706"/>
      <c r="H706"/>
      <c r="I706"/>
      <c r="J706"/>
      <c r="K706"/>
      <c r="L706"/>
      <c r="M706"/>
      <c r="N706"/>
      <c r="O706"/>
      <c r="P706"/>
      <c r="Q706"/>
    </row>
    <row r="707" spans="2:17" x14ac:dyDescent="0.25">
      <c r="B707"/>
      <c r="C707"/>
      <c r="D707"/>
      <c r="E707"/>
      <c r="F707"/>
      <c r="G707"/>
      <c r="H707"/>
      <c r="I707"/>
      <c r="J707"/>
      <c r="K707"/>
      <c r="L707"/>
      <c r="M707"/>
      <c r="N707"/>
      <c r="O707"/>
      <c r="P707"/>
      <c r="Q707"/>
    </row>
    <row r="708" spans="2:17" x14ac:dyDescent="0.25">
      <c r="B708"/>
      <c r="C708"/>
      <c r="D708"/>
      <c r="E708"/>
      <c r="F708"/>
      <c r="G708"/>
      <c r="H708"/>
      <c r="I708"/>
      <c r="J708"/>
      <c r="K708"/>
      <c r="L708"/>
      <c r="M708"/>
      <c r="N708"/>
      <c r="O708"/>
      <c r="P708"/>
      <c r="Q708"/>
    </row>
    <row r="709" spans="2:17" x14ac:dyDescent="0.25">
      <c r="B709"/>
      <c r="C709"/>
      <c r="D709"/>
      <c r="E709"/>
      <c r="F709"/>
      <c r="G709"/>
      <c r="H709"/>
      <c r="I709"/>
      <c r="J709"/>
      <c r="K709"/>
      <c r="L709"/>
      <c r="M709"/>
      <c r="N709"/>
      <c r="O709"/>
      <c r="P709"/>
      <c r="Q709"/>
    </row>
    <row r="710" spans="2:17" x14ac:dyDescent="0.25">
      <c r="B710"/>
      <c r="C710"/>
      <c r="D710"/>
      <c r="E710"/>
      <c r="F710"/>
      <c r="G710"/>
      <c r="H710"/>
      <c r="I710"/>
      <c r="J710"/>
      <c r="K710"/>
      <c r="L710"/>
      <c r="M710"/>
      <c r="N710"/>
      <c r="O710"/>
      <c r="P710"/>
      <c r="Q710"/>
    </row>
    <row r="711" spans="2:17" x14ac:dyDescent="0.25">
      <c r="B711"/>
      <c r="C711"/>
      <c r="D711"/>
      <c r="E711"/>
      <c r="F711"/>
      <c r="G711"/>
      <c r="H711"/>
      <c r="I711"/>
      <c r="J711"/>
      <c r="K711"/>
      <c r="L711"/>
      <c r="M711"/>
      <c r="N711"/>
      <c r="O711"/>
      <c r="P711"/>
      <c r="Q711"/>
    </row>
    <row r="712" spans="2:17" x14ac:dyDescent="0.25">
      <c r="B712"/>
      <c r="C712"/>
      <c r="D712"/>
      <c r="E712"/>
      <c r="F712"/>
      <c r="G712"/>
      <c r="H712"/>
      <c r="I712"/>
      <c r="J712"/>
      <c r="K712"/>
      <c r="L712"/>
      <c r="M712"/>
      <c r="N712"/>
      <c r="O712"/>
      <c r="P712"/>
      <c r="Q712"/>
    </row>
    <row r="713" spans="2:17" x14ac:dyDescent="0.25">
      <c r="B713"/>
      <c r="C713"/>
      <c r="D713"/>
      <c r="E713"/>
      <c r="F713"/>
      <c r="G713"/>
      <c r="H713"/>
      <c r="I713"/>
      <c r="J713"/>
      <c r="K713"/>
      <c r="L713"/>
      <c r="M713"/>
      <c r="N713"/>
      <c r="O713"/>
      <c r="P713"/>
      <c r="Q713"/>
    </row>
    <row r="714" spans="2:17" x14ac:dyDescent="0.25">
      <c r="B714"/>
      <c r="C714"/>
      <c r="D714"/>
      <c r="E714"/>
      <c r="F714"/>
      <c r="G714"/>
      <c r="H714"/>
      <c r="I714"/>
      <c r="J714"/>
      <c r="K714"/>
      <c r="L714"/>
      <c r="M714"/>
      <c r="N714"/>
      <c r="O714"/>
      <c r="P714"/>
      <c r="Q714"/>
    </row>
    <row r="715" spans="2:17" x14ac:dyDescent="0.25">
      <c r="B715"/>
      <c r="C715"/>
      <c r="D715"/>
      <c r="E715"/>
      <c r="F715"/>
      <c r="G715"/>
      <c r="H715"/>
      <c r="I715"/>
      <c r="J715"/>
      <c r="K715"/>
      <c r="L715"/>
      <c r="M715"/>
      <c r="N715"/>
      <c r="O715"/>
      <c r="P715"/>
      <c r="Q715"/>
    </row>
    <row r="716" spans="2:17" x14ac:dyDescent="0.25">
      <c r="B716"/>
      <c r="C716"/>
      <c r="D716"/>
      <c r="E716"/>
      <c r="F716"/>
      <c r="G716"/>
      <c r="H716"/>
      <c r="I716"/>
      <c r="J716"/>
      <c r="K716"/>
      <c r="L716"/>
      <c r="M716"/>
      <c r="N716"/>
      <c r="O716"/>
      <c r="P716"/>
      <c r="Q716"/>
    </row>
    <row r="717" spans="2:17" x14ac:dyDescent="0.25">
      <c r="B717"/>
      <c r="C717"/>
      <c r="D717"/>
      <c r="E717"/>
      <c r="F717"/>
      <c r="G717"/>
      <c r="H717"/>
      <c r="I717"/>
      <c r="J717"/>
      <c r="K717"/>
      <c r="L717"/>
      <c r="M717"/>
      <c r="N717"/>
      <c r="O717"/>
      <c r="P717"/>
      <c r="Q717"/>
    </row>
    <row r="718" spans="2:17" x14ac:dyDescent="0.25">
      <c r="B718"/>
      <c r="C718"/>
      <c r="D718"/>
      <c r="E718"/>
      <c r="F718"/>
      <c r="G718"/>
      <c r="H718"/>
      <c r="I718"/>
      <c r="J718"/>
      <c r="K718"/>
      <c r="L718"/>
      <c r="M718"/>
      <c r="N718"/>
      <c r="O718"/>
      <c r="P718"/>
      <c r="Q718"/>
    </row>
    <row r="719" spans="2:17" x14ac:dyDescent="0.25">
      <c r="B719"/>
      <c r="C719"/>
      <c r="D719"/>
      <c r="E719"/>
      <c r="F719"/>
      <c r="G719"/>
      <c r="H719"/>
      <c r="I719"/>
      <c r="J719"/>
      <c r="K719"/>
      <c r="L719"/>
      <c r="M719"/>
      <c r="N719"/>
      <c r="O719"/>
      <c r="P719"/>
      <c r="Q719"/>
    </row>
    <row r="720" spans="2:17" x14ac:dyDescent="0.25">
      <c r="B720"/>
      <c r="C720"/>
      <c r="D720"/>
      <c r="E720"/>
      <c r="F720"/>
      <c r="G720"/>
      <c r="H720"/>
      <c r="I720"/>
      <c r="J720"/>
      <c r="K720"/>
      <c r="L720"/>
      <c r="M720"/>
      <c r="N720"/>
      <c r="O720"/>
      <c r="P720"/>
      <c r="Q720"/>
    </row>
    <row r="721" spans="2:17" x14ac:dyDescent="0.25">
      <c r="B721"/>
      <c r="C721"/>
      <c r="D721"/>
      <c r="E721"/>
      <c r="F721"/>
      <c r="G721"/>
      <c r="H721"/>
      <c r="I721"/>
      <c r="J721"/>
      <c r="K721"/>
      <c r="L721"/>
      <c r="M721"/>
      <c r="N721"/>
      <c r="O721"/>
      <c r="P721"/>
      <c r="Q721"/>
    </row>
    <row r="722" spans="2:17" x14ac:dyDescent="0.25">
      <c r="B722"/>
      <c r="C722"/>
      <c r="D722"/>
      <c r="E722"/>
      <c r="F722"/>
      <c r="G722"/>
      <c r="H722"/>
      <c r="I722"/>
      <c r="J722"/>
      <c r="K722"/>
      <c r="L722"/>
      <c r="M722"/>
      <c r="N722"/>
      <c r="O722"/>
      <c r="P722"/>
      <c r="Q722"/>
    </row>
    <row r="723" spans="2:17" x14ac:dyDescent="0.25">
      <c r="B723"/>
      <c r="C723"/>
      <c r="D723"/>
      <c r="E723"/>
      <c r="F723"/>
      <c r="G723"/>
      <c r="H723"/>
      <c r="I723"/>
      <c r="J723"/>
      <c r="K723"/>
      <c r="L723"/>
      <c r="M723"/>
      <c r="N723"/>
      <c r="O723"/>
      <c r="P723"/>
      <c r="Q723"/>
    </row>
    <row r="724" spans="2:17" x14ac:dyDescent="0.25">
      <c r="B724"/>
      <c r="C724"/>
      <c r="D724"/>
      <c r="E724"/>
      <c r="F724"/>
      <c r="G724"/>
      <c r="H724"/>
      <c r="I724"/>
      <c r="J724"/>
      <c r="K724"/>
      <c r="L724"/>
      <c r="M724"/>
      <c r="N724"/>
      <c r="O724"/>
      <c r="P724"/>
      <c r="Q724"/>
    </row>
    <row r="725" spans="2:17" x14ac:dyDescent="0.25">
      <c r="B725"/>
      <c r="C725"/>
      <c r="D725"/>
      <c r="E725"/>
      <c r="F725"/>
      <c r="G725"/>
      <c r="H725"/>
      <c r="I725"/>
      <c r="J725"/>
      <c r="K725"/>
      <c r="L725"/>
      <c r="M725"/>
      <c r="N725"/>
      <c r="O725"/>
      <c r="P725"/>
      <c r="Q725"/>
    </row>
    <row r="726" spans="2:17" x14ac:dyDescent="0.25">
      <c r="B726"/>
      <c r="C726"/>
      <c r="D726"/>
      <c r="E726"/>
      <c r="F726"/>
      <c r="G726"/>
      <c r="H726"/>
      <c r="I726"/>
      <c r="J726"/>
      <c r="K726"/>
      <c r="L726"/>
      <c r="M726"/>
      <c r="N726"/>
      <c r="O726"/>
      <c r="P726"/>
      <c r="Q726"/>
    </row>
    <row r="727" spans="2:17" x14ac:dyDescent="0.25">
      <c r="B727"/>
      <c r="C727"/>
      <c r="D727"/>
      <c r="E727"/>
      <c r="F727"/>
      <c r="G727"/>
      <c r="H727"/>
      <c r="I727"/>
      <c r="J727"/>
      <c r="K727"/>
      <c r="L727"/>
      <c r="M727"/>
      <c r="N727"/>
      <c r="O727"/>
      <c r="P727"/>
      <c r="Q727"/>
    </row>
    <row r="728" spans="2:17" x14ac:dyDescent="0.25">
      <c r="B728"/>
      <c r="C728"/>
      <c r="D728"/>
      <c r="E728"/>
      <c r="F728"/>
      <c r="G728"/>
      <c r="H728"/>
      <c r="I728"/>
      <c r="J728"/>
      <c r="K728"/>
      <c r="L728"/>
      <c r="M728"/>
      <c r="N728"/>
      <c r="O728"/>
      <c r="P728"/>
      <c r="Q728"/>
    </row>
    <row r="729" spans="2:17" x14ac:dyDescent="0.25">
      <c r="B729"/>
      <c r="C729"/>
      <c r="D729"/>
      <c r="E729"/>
      <c r="F729"/>
      <c r="G729"/>
      <c r="H729"/>
      <c r="I729"/>
      <c r="J729"/>
      <c r="K729"/>
      <c r="L729"/>
      <c r="M729"/>
      <c r="N729"/>
      <c r="O729"/>
      <c r="P729"/>
      <c r="Q729"/>
    </row>
    <row r="730" spans="2:17" x14ac:dyDescent="0.25">
      <c r="B730"/>
      <c r="C730"/>
      <c r="D730"/>
      <c r="E730"/>
      <c r="F730"/>
      <c r="G730"/>
      <c r="H730"/>
      <c r="I730"/>
      <c r="J730"/>
      <c r="K730"/>
      <c r="L730"/>
      <c r="M730"/>
      <c r="N730"/>
      <c r="O730"/>
      <c r="P730"/>
      <c r="Q730"/>
    </row>
    <row r="731" spans="2:17" x14ac:dyDescent="0.25">
      <c r="B731"/>
      <c r="C731"/>
      <c r="D731"/>
      <c r="E731"/>
      <c r="F731"/>
      <c r="G731"/>
      <c r="H731"/>
      <c r="I731"/>
      <c r="J731"/>
      <c r="K731"/>
      <c r="L731"/>
      <c r="M731"/>
      <c r="N731"/>
      <c r="O731"/>
      <c r="P731"/>
      <c r="Q731"/>
    </row>
    <row r="732" spans="2:17" x14ac:dyDescent="0.25">
      <c r="B732"/>
      <c r="C732"/>
      <c r="D732"/>
      <c r="E732"/>
      <c r="F732"/>
      <c r="G732"/>
      <c r="H732"/>
      <c r="I732"/>
      <c r="J732"/>
      <c r="K732"/>
      <c r="L732"/>
      <c r="M732"/>
      <c r="N732"/>
      <c r="O732"/>
      <c r="P732"/>
      <c r="Q732"/>
    </row>
    <row r="733" spans="2:17" x14ac:dyDescent="0.25">
      <c r="B733"/>
      <c r="C733"/>
      <c r="D733"/>
      <c r="E733"/>
      <c r="F733"/>
      <c r="G733"/>
      <c r="H733"/>
      <c r="I733"/>
      <c r="J733"/>
      <c r="K733"/>
      <c r="L733"/>
      <c r="M733"/>
      <c r="N733"/>
      <c r="O733"/>
      <c r="P733"/>
      <c r="Q733"/>
    </row>
    <row r="734" spans="2:17" x14ac:dyDescent="0.25">
      <c r="B734"/>
      <c r="C734"/>
      <c r="D734"/>
      <c r="E734"/>
      <c r="F734"/>
      <c r="G734"/>
      <c r="H734"/>
      <c r="I734"/>
      <c r="J734"/>
      <c r="K734"/>
      <c r="L734"/>
      <c r="M734"/>
      <c r="N734"/>
      <c r="O734"/>
      <c r="P734"/>
      <c r="Q734"/>
    </row>
    <row r="735" spans="2:17" x14ac:dyDescent="0.25">
      <c r="B735"/>
      <c r="C735"/>
      <c r="D735"/>
      <c r="E735"/>
      <c r="F735"/>
      <c r="G735"/>
      <c r="H735"/>
      <c r="I735"/>
      <c r="J735"/>
      <c r="K735"/>
      <c r="L735"/>
      <c r="M735"/>
      <c r="N735"/>
      <c r="O735"/>
      <c r="P735"/>
      <c r="Q735"/>
    </row>
    <row r="736" spans="2:17" x14ac:dyDescent="0.25">
      <c r="B736"/>
      <c r="C736"/>
      <c r="D736"/>
      <c r="E736"/>
      <c r="F736"/>
      <c r="G736"/>
      <c r="H736"/>
      <c r="I736"/>
      <c r="J736"/>
      <c r="K736"/>
      <c r="L736"/>
      <c r="M736"/>
      <c r="N736"/>
      <c r="O736"/>
      <c r="P736"/>
      <c r="Q736"/>
    </row>
    <row r="737" spans="2:17" x14ac:dyDescent="0.25">
      <c r="B737"/>
      <c r="C737"/>
      <c r="D737"/>
      <c r="E737"/>
      <c r="F737"/>
      <c r="G737"/>
      <c r="H737"/>
      <c r="I737"/>
      <c r="J737"/>
      <c r="K737"/>
      <c r="L737"/>
      <c r="M737"/>
      <c r="N737"/>
      <c r="O737"/>
      <c r="P737"/>
      <c r="Q737"/>
    </row>
    <row r="738" spans="2:17" x14ac:dyDescent="0.25">
      <c r="B738"/>
      <c r="C738"/>
      <c r="D738"/>
      <c r="E738"/>
      <c r="F738"/>
      <c r="G738"/>
      <c r="H738"/>
      <c r="I738"/>
      <c r="J738"/>
      <c r="K738"/>
      <c r="L738"/>
      <c r="M738"/>
      <c r="N738"/>
      <c r="O738"/>
      <c r="P738"/>
      <c r="Q738"/>
    </row>
    <row r="739" spans="2:17" x14ac:dyDescent="0.25">
      <c r="B739"/>
      <c r="C739"/>
      <c r="D739"/>
      <c r="E739"/>
      <c r="F739"/>
      <c r="G739"/>
      <c r="H739"/>
      <c r="I739"/>
      <c r="J739"/>
      <c r="K739"/>
      <c r="L739"/>
      <c r="M739"/>
      <c r="N739"/>
      <c r="O739"/>
      <c r="P739"/>
      <c r="Q739"/>
    </row>
    <row r="740" spans="2:17" x14ac:dyDescent="0.25">
      <c r="B740"/>
      <c r="C740"/>
      <c r="D740"/>
      <c r="E740"/>
      <c r="F740"/>
      <c r="G740"/>
      <c r="H740"/>
      <c r="I740"/>
      <c r="J740"/>
      <c r="K740"/>
      <c r="L740"/>
      <c r="M740"/>
      <c r="N740"/>
      <c r="O740"/>
      <c r="P740"/>
      <c r="Q740"/>
    </row>
    <row r="741" spans="2:17" x14ac:dyDescent="0.25">
      <c r="B741"/>
      <c r="C741"/>
      <c r="D741"/>
      <c r="E741"/>
      <c r="F741"/>
      <c r="G741"/>
      <c r="H741"/>
      <c r="I741"/>
      <c r="J741"/>
      <c r="K741"/>
      <c r="L741"/>
      <c r="M741"/>
      <c r="N741"/>
      <c r="O741"/>
      <c r="P741"/>
      <c r="Q741"/>
    </row>
    <row r="742" spans="2:17" x14ac:dyDescent="0.25">
      <c r="B742"/>
      <c r="C742"/>
      <c r="D742"/>
      <c r="E742"/>
      <c r="F742"/>
      <c r="G742"/>
      <c r="H742"/>
      <c r="I742"/>
      <c r="J742"/>
      <c r="K742"/>
      <c r="L742"/>
      <c r="M742"/>
      <c r="N742"/>
      <c r="O742"/>
      <c r="P742"/>
      <c r="Q742"/>
    </row>
    <row r="743" spans="2:17" x14ac:dyDescent="0.25">
      <c r="B743"/>
      <c r="C743"/>
      <c r="D743"/>
      <c r="E743"/>
      <c r="F743"/>
      <c r="G743"/>
      <c r="H743"/>
      <c r="I743"/>
      <c r="J743"/>
      <c r="K743"/>
      <c r="L743"/>
      <c r="M743"/>
      <c r="N743"/>
      <c r="O743"/>
      <c r="P743"/>
      <c r="Q743"/>
    </row>
    <row r="744" spans="2:17" x14ac:dyDescent="0.25">
      <c r="B744"/>
      <c r="C744"/>
      <c r="D744"/>
      <c r="E744"/>
      <c r="F744"/>
      <c r="G744"/>
      <c r="H744"/>
      <c r="I744"/>
      <c r="J744"/>
      <c r="K744"/>
      <c r="L744"/>
      <c r="M744"/>
      <c r="N744"/>
      <c r="O744"/>
      <c r="P744"/>
      <c r="Q744"/>
    </row>
    <row r="745" spans="2:17" x14ac:dyDescent="0.25">
      <c r="B745"/>
      <c r="C745"/>
      <c r="D745"/>
      <c r="E745"/>
      <c r="F745"/>
      <c r="G745"/>
      <c r="H745"/>
      <c r="I745"/>
      <c r="J745"/>
      <c r="K745"/>
      <c r="L745"/>
      <c r="M745"/>
      <c r="N745"/>
      <c r="O745"/>
      <c r="P745"/>
      <c r="Q745"/>
    </row>
    <row r="746" spans="2:17" x14ac:dyDescent="0.25">
      <c r="B746"/>
      <c r="C746"/>
      <c r="D746"/>
      <c r="E746"/>
      <c r="F746"/>
      <c r="G746"/>
      <c r="H746"/>
      <c r="I746"/>
      <c r="J746"/>
      <c r="K746"/>
      <c r="L746"/>
      <c r="M746"/>
      <c r="N746"/>
      <c r="O746"/>
      <c r="P746"/>
      <c r="Q746"/>
    </row>
    <row r="747" spans="2:17" x14ac:dyDescent="0.25">
      <c r="B747"/>
      <c r="C747"/>
      <c r="D747"/>
      <c r="E747"/>
      <c r="F747"/>
      <c r="G747"/>
      <c r="H747"/>
      <c r="I747"/>
      <c r="J747"/>
      <c r="K747"/>
      <c r="L747"/>
      <c r="M747"/>
      <c r="N747"/>
      <c r="O747"/>
      <c r="P747"/>
      <c r="Q747"/>
    </row>
    <row r="748" spans="2:17" x14ac:dyDescent="0.25">
      <c r="B748"/>
      <c r="C748"/>
      <c r="D748"/>
      <c r="E748"/>
      <c r="F748"/>
      <c r="G748"/>
      <c r="H748"/>
      <c r="I748"/>
      <c r="J748"/>
      <c r="K748"/>
      <c r="L748"/>
      <c r="M748"/>
      <c r="N748"/>
      <c r="O748"/>
      <c r="P748"/>
      <c r="Q748"/>
    </row>
    <row r="749" spans="2:17" x14ac:dyDescent="0.25">
      <c r="B749"/>
      <c r="C749"/>
      <c r="D749"/>
      <c r="E749"/>
      <c r="F749"/>
      <c r="G749"/>
      <c r="H749"/>
      <c r="I749"/>
      <c r="J749"/>
      <c r="K749"/>
      <c r="L749"/>
      <c r="M749"/>
      <c r="N749"/>
      <c r="O749"/>
      <c r="P749"/>
      <c r="Q749"/>
    </row>
    <row r="750" spans="2:17" x14ac:dyDescent="0.25">
      <c r="B750"/>
      <c r="C750"/>
      <c r="D750"/>
      <c r="E750"/>
      <c r="F750"/>
      <c r="G750"/>
      <c r="H750"/>
      <c r="I750"/>
      <c r="J750"/>
      <c r="K750"/>
      <c r="L750"/>
      <c r="M750"/>
      <c r="N750"/>
      <c r="O750"/>
      <c r="P750"/>
      <c r="Q750"/>
    </row>
    <row r="751" spans="2:17" x14ac:dyDescent="0.25">
      <c r="B751"/>
      <c r="C751"/>
      <c r="D751"/>
      <c r="E751"/>
      <c r="F751"/>
      <c r="G751"/>
      <c r="H751"/>
      <c r="I751"/>
      <c r="J751"/>
      <c r="K751"/>
      <c r="L751"/>
      <c r="M751"/>
      <c r="N751"/>
      <c r="O751"/>
      <c r="P751"/>
      <c r="Q751"/>
    </row>
    <row r="752" spans="2:17" x14ac:dyDescent="0.25">
      <c r="B752"/>
      <c r="C752"/>
      <c r="D752"/>
      <c r="E752"/>
      <c r="F752"/>
      <c r="G752"/>
      <c r="H752"/>
      <c r="I752"/>
      <c r="J752"/>
      <c r="K752"/>
      <c r="L752"/>
      <c r="M752"/>
      <c r="N752"/>
      <c r="O752"/>
      <c r="P752"/>
      <c r="Q752"/>
    </row>
    <row r="753" spans="2:17" x14ac:dyDescent="0.25">
      <c r="B753"/>
      <c r="C753"/>
      <c r="D753"/>
      <c r="E753"/>
      <c r="F753"/>
      <c r="G753"/>
      <c r="H753"/>
      <c r="I753"/>
      <c r="J753"/>
      <c r="K753"/>
      <c r="L753"/>
      <c r="M753"/>
      <c r="N753"/>
      <c r="O753"/>
      <c r="P753"/>
      <c r="Q753"/>
    </row>
    <row r="754" spans="2:17" x14ac:dyDescent="0.25">
      <c r="B754"/>
      <c r="C754"/>
      <c r="D754"/>
      <c r="E754"/>
      <c r="F754"/>
      <c r="G754"/>
      <c r="H754"/>
      <c r="I754"/>
      <c r="J754"/>
      <c r="K754"/>
      <c r="L754"/>
      <c r="M754"/>
      <c r="N754"/>
      <c r="O754"/>
      <c r="P754"/>
      <c r="Q754"/>
    </row>
    <row r="755" spans="2:17" x14ac:dyDescent="0.25">
      <c r="B755"/>
      <c r="C755"/>
      <c r="D755"/>
      <c r="E755"/>
      <c r="F755"/>
      <c r="G755"/>
      <c r="H755"/>
      <c r="I755"/>
      <c r="J755"/>
      <c r="K755"/>
      <c r="L755"/>
      <c r="M755"/>
      <c r="N755"/>
      <c r="O755"/>
      <c r="P755"/>
      <c r="Q755"/>
    </row>
    <row r="756" spans="2:17" x14ac:dyDescent="0.25">
      <c r="B756"/>
      <c r="C756"/>
      <c r="D756"/>
      <c r="E756"/>
      <c r="F756"/>
      <c r="G756"/>
      <c r="H756"/>
      <c r="I756"/>
      <c r="J756"/>
      <c r="K756"/>
      <c r="L756"/>
      <c r="M756"/>
      <c r="N756"/>
      <c r="O756"/>
      <c r="P756"/>
      <c r="Q756"/>
    </row>
    <row r="757" spans="2:17" x14ac:dyDescent="0.25">
      <c r="B757"/>
      <c r="C757"/>
      <c r="D757"/>
      <c r="E757"/>
      <c r="F757"/>
      <c r="G757"/>
      <c r="H757"/>
      <c r="I757"/>
      <c r="J757"/>
      <c r="K757"/>
      <c r="L757"/>
      <c r="M757"/>
      <c r="N757"/>
      <c r="O757"/>
      <c r="P757"/>
      <c r="Q757"/>
    </row>
    <row r="758" spans="2:17" x14ac:dyDescent="0.25">
      <c r="B758"/>
      <c r="C758"/>
      <c r="D758"/>
      <c r="E758"/>
      <c r="F758"/>
      <c r="G758"/>
      <c r="H758"/>
      <c r="I758"/>
      <c r="J758"/>
      <c r="K758"/>
      <c r="L758"/>
      <c r="M758"/>
      <c r="N758"/>
      <c r="O758"/>
      <c r="P758"/>
      <c r="Q758"/>
    </row>
    <row r="759" spans="2:17" x14ac:dyDescent="0.25">
      <c r="B759"/>
      <c r="C759"/>
      <c r="D759"/>
      <c r="E759"/>
      <c r="F759"/>
      <c r="G759"/>
      <c r="H759"/>
      <c r="I759"/>
      <c r="J759"/>
      <c r="K759"/>
      <c r="L759"/>
      <c r="M759"/>
      <c r="N759"/>
      <c r="O759"/>
      <c r="P759"/>
      <c r="Q759"/>
    </row>
    <row r="760" spans="2:17" x14ac:dyDescent="0.25">
      <c r="B760"/>
      <c r="C760"/>
      <c r="D760"/>
      <c r="E760"/>
      <c r="F760"/>
      <c r="G760"/>
      <c r="H760"/>
      <c r="I760"/>
      <c r="J760"/>
      <c r="K760"/>
      <c r="L760"/>
      <c r="M760"/>
      <c r="N760"/>
      <c r="O760"/>
      <c r="P760"/>
      <c r="Q760"/>
    </row>
    <row r="761" spans="2:17" x14ac:dyDescent="0.25">
      <c r="B761"/>
      <c r="C761"/>
      <c r="D761"/>
      <c r="E761"/>
      <c r="F761"/>
      <c r="G761"/>
      <c r="H761"/>
      <c r="I761"/>
      <c r="J761"/>
      <c r="K761"/>
      <c r="L761"/>
      <c r="M761"/>
      <c r="N761"/>
      <c r="O761"/>
      <c r="P761"/>
      <c r="Q761"/>
    </row>
    <row r="762" spans="2:17" x14ac:dyDescent="0.25">
      <c r="B762"/>
      <c r="C762"/>
      <c r="D762"/>
      <c r="E762"/>
      <c r="F762"/>
      <c r="G762"/>
      <c r="H762"/>
      <c r="I762"/>
      <c r="J762"/>
      <c r="K762"/>
      <c r="L762"/>
      <c r="M762"/>
      <c r="N762"/>
      <c r="O762"/>
      <c r="P762"/>
      <c r="Q762"/>
    </row>
    <row r="763" spans="2:17" x14ac:dyDescent="0.25">
      <c r="B763"/>
      <c r="C763"/>
      <c r="D763"/>
      <c r="E763"/>
      <c r="F763"/>
      <c r="G763"/>
      <c r="H763"/>
      <c r="I763"/>
      <c r="J763"/>
      <c r="K763"/>
      <c r="L763"/>
      <c r="M763"/>
      <c r="N763"/>
      <c r="O763"/>
      <c r="P763"/>
      <c r="Q763"/>
    </row>
    <row r="764" spans="2:17" x14ac:dyDescent="0.25">
      <c r="B764"/>
      <c r="C764"/>
      <c r="D764"/>
      <c r="E764"/>
      <c r="F764"/>
      <c r="G764"/>
      <c r="H764"/>
      <c r="I764"/>
      <c r="J764"/>
      <c r="K764"/>
      <c r="L764"/>
      <c r="M764"/>
      <c r="N764"/>
      <c r="O764"/>
      <c r="P764"/>
      <c r="Q764"/>
    </row>
    <row r="765" spans="2:17" x14ac:dyDescent="0.25">
      <c r="B765"/>
      <c r="C765"/>
      <c r="D765"/>
      <c r="E765"/>
      <c r="F765"/>
      <c r="G765"/>
      <c r="H765"/>
      <c r="I765"/>
      <c r="J765"/>
      <c r="K765"/>
      <c r="L765"/>
      <c r="M765"/>
      <c r="N765"/>
      <c r="O765"/>
      <c r="P765"/>
      <c r="Q765"/>
    </row>
    <row r="766" spans="2:17" x14ac:dyDescent="0.25">
      <c r="B766"/>
      <c r="C766"/>
      <c r="D766"/>
      <c r="E766"/>
      <c r="F766"/>
      <c r="G766"/>
      <c r="H766"/>
      <c r="I766"/>
      <c r="J766"/>
      <c r="K766"/>
      <c r="L766"/>
      <c r="M766"/>
      <c r="N766"/>
      <c r="O766"/>
      <c r="P766"/>
      <c r="Q766"/>
    </row>
    <row r="767" spans="2:17" x14ac:dyDescent="0.25">
      <c r="B767"/>
      <c r="C767"/>
      <c r="D767"/>
      <c r="E767"/>
      <c r="F767"/>
      <c r="G767"/>
      <c r="H767"/>
      <c r="I767"/>
      <c r="J767"/>
      <c r="K767"/>
      <c r="L767"/>
      <c r="M767"/>
      <c r="N767"/>
      <c r="O767"/>
      <c r="P767"/>
      <c r="Q767"/>
    </row>
    <row r="768" spans="2:17" x14ac:dyDescent="0.25">
      <c r="B768"/>
      <c r="C768"/>
      <c r="D768"/>
      <c r="E768"/>
      <c r="F768"/>
      <c r="G768"/>
      <c r="H768"/>
      <c r="I768"/>
      <c r="J768"/>
      <c r="K768"/>
      <c r="L768"/>
      <c r="M768"/>
      <c r="N768"/>
      <c r="O768"/>
      <c r="P768"/>
      <c r="Q768"/>
    </row>
    <row r="769" spans="2:17" x14ac:dyDescent="0.25">
      <c r="B769"/>
      <c r="C769"/>
      <c r="D769"/>
      <c r="E769"/>
      <c r="F769"/>
      <c r="G769"/>
      <c r="H769"/>
      <c r="I769"/>
      <c r="J769"/>
      <c r="K769"/>
      <c r="L769"/>
      <c r="M769"/>
      <c r="N769"/>
      <c r="O769"/>
      <c r="P769"/>
      <c r="Q769"/>
    </row>
    <row r="770" spans="2:17" x14ac:dyDescent="0.25">
      <c r="B770"/>
      <c r="C770"/>
      <c r="D770"/>
      <c r="E770"/>
      <c r="F770"/>
      <c r="G770"/>
      <c r="H770"/>
      <c r="I770"/>
      <c r="J770"/>
      <c r="K770"/>
      <c r="L770"/>
      <c r="M770"/>
      <c r="N770"/>
      <c r="O770"/>
      <c r="P770"/>
      <c r="Q770"/>
    </row>
    <row r="771" spans="2:17" x14ac:dyDescent="0.25">
      <c r="B771"/>
      <c r="C771"/>
      <c r="D771"/>
      <c r="E771"/>
      <c r="F771"/>
      <c r="G771"/>
      <c r="H771"/>
      <c r="I771"/>
      <c r="J771"/>
      <c r="K771"/>
      <c r="L771"/>
      <c r="M771"/>
      <c r="N771"/>
      <c r="O771"/>
      <c r="P771"/>
      <c r="Q771"/>
    </row>
    <row r="772" spans="2:17" x14ac:dyDescent="0.25">
      <c r="B772"/>
      <c r="C772"/>
      <c r="D772"/>
      <c r="E772"/>
      <c r="F772"/>
      <c r="G772"/>
      <c r="H772"/>
      <c r="I772"/>
      <c r="J772"/>
      <c r="K772"/>
      <c r="L772"/>
      <c r="M772"/>
      <c r="N772"/>
      <c r="O772"/>
      <c r="P772"/>
      <c r="Q772"/>
    </row>
    <row r="773" spans="2:17" x14ac:dyDescent="0.25">
      <c r="B773"/>
      <c r="C773"/>
      <c r="D773"/>
      <c r="E773"/>
      <c r="F773"/>
      <c r="G773"/>
      <c r="H773"/>
      <c r="I773"/>
      <c r="J773"/>
      <c r="K773"/>
      <c r="L773"/>
      <c r="M773"/>
      <c r="N773"/>
      <c r="O773"/>
      <c r="P773"/>
      <c r="Q773"/>
    </row>
    <row r="774" spans="2:17" x14ac:dyDescent="0.25">
      <c r="B774"/>
      <c r="C774"/>
      <c r="D774"/>
      <c r="E774"/>
      <c r="F774"/>
      <c r="G774"/>
      <c r="H774"/>
      <c r="I774"/>
      <c r="J774"/>
      <c r="K774"/>
      <c r="L774"/>
      <c r="M774"/>
      <c r="N774"/>
      <c r="O774"/>
      <c r="P774"/>
      <c r="Q774"/>
    </row>
    <row r="775" spans="2:17" x14ac:dyDescent="0.25">
      <c r="B775"/>
      <c r="C775"/>
      <c r="D775"/>
      <c r="E775"/>
      <c r="F775"/>
      <c r="G775"/>
      <c r="H775"/>
      <c r="I775"/>
      <c r="J775"/>
      <c r="K775"/>
      <c r="L775"/>
      <c r="M775"/>
      <c r="N775"/>
      <c r="O775"/>
      <c r="P775"/>
      <c r="Q775"/>
    </row>
    <row r="776" spans="2:17" x14ac:dyDescent="0.25">
      <c r="B776"/>
      <c r="C776"/>
      <c r="D776"/>
      <c r="E776"/>
      <c r="F776"/>
      <c r="G776"/>
      <c r="H776"/>
      <c r="I776"/>
      <c r="J776"/>
      <c r="K776"/>
      <c r="L776"/>
      <c r="M776"/>
      <c r="N776"/>
      <c r="O776"/>
      <c r="P776"/>
      <c r="Q776"/>
    </row>
    <row r="777" spans="2:17" x14ac:dyDescent="0.25">
      <c r="B777"/>
      <c r="C777"/>
      <c r="D777"/>
      <c r="E777"/>
      <c r="F777"/>
      <c r="G777"/>
      <c r="H777"/>
      <c r="I777"/>
      <c r="J777"/>
      <c r="K777"/>
      <c r="L777"/>
      <c r="M777"/>
      <c r="N777"/>
      <c r="O777"/>
      <c r="P777"/>
      <c r="Q777"/>
    </row>
    <row r="778" spans="2:17" x14ac:dyDescent="0.25">
      <c r="B778"/>
      <c r="C778"/>
      <c r="D778"/>
      <c r="E778"/>
      <c r="F778"/>
      <c r="G778"/>
      <c r="H778"/>
      <c r="I778"/>
      <c r="J778"/>
      <c r="K778"/>
      <c r="L778"/>
      <c r="M778"/>
      <c r="N778"/>
      <c r="O778"/>
      <c r="P778"/>
      <c r="Q778"/>
    </row>
    <row r="779" spans="2:17" x14ac:dyDescent="0.25">
      <c r="B779"/>
      <c r="C779"/>
      <c r="D779"/>
      <c r="E779"/>
      <c r="F779"/>
      <c r="G779"/>
      <c r="H779"/>
      <c r="I779"/>
      <c r="J779"/>
      <c r="K779"/>
      <c r="L779"/>
      <c r="M779"/>
      <c r="N779"/>
      <c r="O779"/>
      <c r="P779"/>
      <c r="Q779"/>
    </row>
    <row r="780" spans="2:17" x14ac:dyDescent="0.25">
      <c r="B780"/>
      <c r="C780"/>
      <c r="D780"/>
      <c r="E780"/>
      <c r="F780"/>
      <c r="G780"/>
      <c r="H780"/>
      <c r="I780"/>
      <c r="J780"/>
      <c r="K780"/>
      <c r="L780"/>
      <c r="M780"/>
      <c r="N780"/>
      <c r="O780"/>
      <c r="P780"/>
      <c r="Q780"/>
    </row>
    <row r="781" spans="2:17" x14ac:dyDescent="0.25">
      <c r="B781"/>
      <c r="C781"/>
      <c r="D781"/>
      <c r="E781"/>
      <c r="F781"/>
      <c r="G781"/>
      <c r="H781"/>
      <c r="I781"/>
      <c r="J781"/>
      <c r="K781"/>
      <c r="L781"/>
      <c r="M781"/>
      <c r="N781"/>
      <c r="O781"/>
      <c r="P781"/>
      <c r="Q781"/>
    </row>
    <row r="782" spans="2:17" x14ac:dyDescent="0.25">
      <c r="B782"/>
      <c r="C782"/>
      <c r="D782"/>
      <c r="E782"/>
      <c r="F782"/>
      <c r="G782"/>
      <c r="H782"/>
      <c r="I782"/>
      <c r="J782"/>
      <c r="K782"/>
      <c r="L782"/>
      <c r="M782"/>
      <c r="N782"/>
      <c r="O782"/>
      <c r="P782"/>
      <c r="Q782"/>
    </row>
    <row r="783" spans="2:17" x14ac:dyDescent="0.25">
      <c r="B783"/>
      <c r="C783"/>
      <c r="D783"/>
      <c r="E783"/>
      <c r="F783"/>
      <c r="G783"/>
      <c r="H783"/>
      <c r="I783"/>
      <c r="J783"/>
      <c r="K783"/>
      <c r="L783"/>
      <c r="M783"/>
      <c r="N783"/>
      <c r="O783"/>
      <c r="P783"/>
      <c r="Q783"/>
    </row>
    <row r="784" spans="2:17" x14ac:dyDescent="0.25">
      <c r="B784"/>
      <c r="C784"/>
      <c r="D784"/>
      <c r="E784"/>
      <c r="F784"/>
      <c r="G784"/>
      <c r="H784"/>
      <c r="I784"/>
      <c r="J784"/>
      <c r="K784"/>
      <c r="L784"/>
      <c r="M784"/>
      <c r="N784"/>
      <c r="O784"/>
      <c r="P784"/>
      <c r="Q784"/>
    </row>
    <row r="785" spans="2:17" x14ac:dyDescent="0.25">
      <c r="B785"/>
      <c r="C785"/>
      <c r="D785"/>
      <c r="E785"/>
      <c r="F785"/>
      <c r="G785"/>
      <c r="H785"/>
      <c r="I785"/>
      <c r="J785"/>
      <c r="K785"/>
      <c r="L785"/>
      <c r="M785"/>
      <c r="N785"/>
      <c r="O785"/>
      <c r="P785"/>
      <c r="Q785"/>
    </row>
    <row r="786" spans="2:17" x14ac:dyDescent="0.25">
      <c r="B786"/>
      <c r="C786"/>
      <c r="D786"/>
      <c r="E786"/>
      <c r="F786"/>
      <c r="G786"/>
      <c r="H786"/>
      <c r="I786"/>
      <c r="J786"/>
      <c r="K786"/>
      <c r="L786"/>
      <c r="M786"/>
      <c r="N786"/>
      <c r="O786"/>
      <c r="P786"/>
      <c r="Q786"/>
    </row>
    <row r="787" spans="2:17" x14ac:dyDescent="0.25">
      <c r="B787"/>
      <c r="C787"/>
      <c r="D787"/>
      <c r="E787"/>
      <c r="F787"/>
      <c r="G787"/>
      <c r="H787"/>
      <c r="I787"/>
      <c r="J787"/>
      <c r="K787"/>
      <c r="L787"/>
      <c r="M787"/>
      <c r="N787"/>
      <c r="O787"/>
      <c r="P787"/>
      <c r="Q787"/>
    </row>
    <row r="788" spans="2:17" x14ac:dyDescent="0.25">
      <c r="B788"/>
      <c r="C788"/>
      <c r="D788"/>
      <c r="E788"/>
      <c r="F788"/>
      <c r="G788"/>
      <c r="H788"/>
      <c r="I788"/>
      <c r="J788"/>
      <c r="K788"/>
      <c r="L788"/>
      <c r="M788"/>
      <c r="N788"/>
      <c r="O788"/>
      <c r="P788"/>
      <c r="Q788"/>
    </row>
    <row r="789" spans="2:17" x14ac:dyDescent="0.25">
      <c r="B789"/>
      <c r="C789"/>
      <c r="D789"/>
      <c r="E789"/>
      <c r="F789"/>
      <c r="G789"/>
      <c r="H789"/>
      <c r="I789"/>
      <c r="J789"/>
      <c r="K789"/>
      <c r="L789"/>
      <c r="M789"/>
      <c r="N789"/>
      <c r="O789"/>
      <c r="P789"/>
      <c r="Q789"/>
    </row>
    <row r="790" spans="2:17" x14ac:dyDescent="0.25">
      <c r="B790"/>
      <c r="C790"/>
      <c r="D790"/>
      <c r="E790"/>
      <c r="F790"/>
      <c r="G790"/>
      <c r="H790"/>
      <c r="I790"/>
      <c r="J790"/>
      <c r="K790"/>
      <c r="L790"/>
      <c r="M790"/>
      <c r="N790"/>
      <c r="O790"/>
      <c r="P790"/>
      <c r="Q790"/>
    </row>
    <row r="791" spans="2:17" x14ac:dyDescent="0.25">
      <c r="B791"/>
      <c r="C791"/>
      <c r="D791"/>
      <c r="E791"/>
      <c r="F791"/>
      <c r="G791"/>
      <c r="H791"/>
      <c r="I791"/>
      <c r="J791"/>
      <c r="K791"/>
      <c r="L791"/>
      <c r="M791"/>
      <c r="N791"/>
      <c r="O791"/>
      <c r="P791"/>
      <c r="Q791"/>
    </row>
    <row r="792" spans="2:17" x14ac:dyDescent="0.25">
      <c r="B792"/>
      <c r="C792"/>
      <c r="D792"/>
      <c r="E792"/>
      <c r="F792"/>
      <c r="G792"/>
      <c r="H792"/>
      <c r="I792"/>
      <c r="J792"/>
      <c r="K792"/>
      <c r="L792"/>
      <c r="M792"/>
      <c r="N792"/>
      <c r="O792"/>
      <c r="P792"/>
      <c r="Q792"/>
    </row>
    <row r="793" spans="2:17" x14ac:dyDescent="0.25">
      <c r="B793"/>
      <c r="C793"/>
      <c r="D793"/>
      <c r="E793"/>
      <c r="F793"/>
      <c r="G793"/>
      <c r="H793"/>
      <c r="I793"/>
      <c r="J793"/>
      <c r="K793"/>
      <c r="L793"/>
      <c r="M793"/>
      <c r="N793"/>
      <c r="O793"/>
      <c r="P793"/>
      <c r="Q793"/>
    </row>
    <row r="794" spans="2:17" x14ac:dyDescent="0.25">
      <c r="B794"/>
      <c r="C794"/>
      <c r="D794"/>
      <c r="E794"/>
      <c r="F794"/>
      <c r="G794"/>
      <c r="H794"/>
      <c r="I794"/>
      <c r="J794"/>
      <c r="K794"/>
      <c r="L794"/>
      <c r="M794"/>
      <c r="N794"/>
      <c r="O794"/>
      <c r="P794"/>
      <c r="Q794"/>
    </row>
    <row r="795" spans="2:17" x14ac:dyDescent="0.25">
      <c r="B795"/>
      <c r="C795"/>
      <c r="D795"/>
      <c r="E795"/>
      <c r="F795"/>
      <c r="G795"/>
      <c r="H795"/>
      <c r="I795"/>
      <c r="J795"/>
      <c r="K795"/>
      <c r="L795"/>
      <c r="M795"/>
      <c r="N795"/>
      <c r="O795"/>
      <c r="P795"/>
      <c r="Q795"/>
    </row>
    <row r="796" spans="2:17" x14ac:dyDescent="0.25">
      <c r="B796"/>
      <c r="C796"/>
      <c r="D796"/>
      <c r="E796"/>
      <c r="F796"/>
      <c r="G796"/>
      <c r="H796"/>
      <c r="I796"/>
      <c r="J796"/>
      <c r="K796"/>
      <c r="L796"/>
      <c r="M796"/>
      <c r="N796"/>
      <c r="O796"/>
      <c r="P796"/>
      <c r="Q796"/>
    </row>
    <row r="797" spans="2:17" x14ac:dyDescent="0.25">
      <c r="B797"/>
      <c r="C797"/>
      <c r="D797"/>
      <c r="E797"/>
      <c r="F797"/>
      <c r="G797"/>
      <c r="H797"/>
      <c r="I797"/>
      <c r="J797"/>
      <c r="K797"/>
      <c r="L797"/>
      <c r="M797"/>
      <c r="N797"/>
      <c r="O797"/>
      <c r="P797"/>
      <c r="Q797"/>
    </row>
    <row r="798" spans="2:17" x14ac:dyDescent="0.25">
      <c r="B798"/>
      <c r="C798"/>
      <c r="D798"/>
      <c r="E798"/>
      <c r="F798"/>
      <c r="G798"/>
      <c r="H798"/>
      <c r="I798"/>
      <c r="J798"/>
      <c r="K798"/>
      <c r="L798"/>
      <c r="M798"/>
      <c r="N798"/>
      <c r="O798"/>
      <c r="P798"/>
      <c r="Q798"/>
    </row>
    <row r="799" spans="2:17" x14ac:dyDescent="0.25">
      <c r="B799"/>
      <c r="C799"/>
      <c r="D799"/>
      <c r="E799"/>
      <c r="F799"/>
      <c r="G799"/>
      <c r="H799"/>
      <c r="I799"/>
      <c r="J799"/>
      <c r="K799"/>
      <c r="L799"/>
      <c r="M799"/>
      <c r="N799"/>
      <c r="O799"/>
      <c r="P799"/>
      <c r="Q799"/>
    </row>
    <row r="800" spans="2:17" x14ac:dyDescent="0.25">
      <c r="B800"/>
      <c r="C800"/>
      <c r="D800"/>
      <c r="E800"/>
      <c r="F800"/>
      <c r="G800"/>
      <c r="H800"/>
      <c r="I800"/>
      <c r="J800"/>
      <c r="K800"/>
      <c r="L800"/>
      <c r="M800"/>
      <c r="N800"/>
      <c r="O800"/>
      <c r="P800"/>
      <c r="Q800"/>
    </row>
    <row r="801" spans="2:17" x14ac:dyDescent="0.25">
      <c r="B801"/>
      <c r="C801"/>
      <c r="D801"/>
      <c r="E801"/>
      <c r="F801"/>
      <c r="G801"/>
      <c r="H801"/>
      <c r="I801"/>
      <c r="J801"/>
      <c r="K801"/>
      <c r="L801"/>
      <c r="M801"/>
      <c r="N801"/>
      <c r="O801"/>
      <c r="P801"/>
      <c r="Q801"/>
    </row>
    <row r="802" spans="2:17" x14ac:dyDescent="0.25">
      <c r="B802"/>
      <c r="C802"/>
      <c r="D802"/>
      <c r="E802"/>
      <c r="F802"/>
      <c r="G802"/>
      <c r="H802"/>
      <c r="I802"/>
      <c r="J802"/>
      <c r="K802"/>
      <c r="L802"/>
      <c r="M802"/>
      <c r="N802"/>
      <c r="O802"/>
      <c r="P802"/>
      <c r="Q802"/>
    </row>
    <row r="803" spans="2:17" x14ac:dyDescent="0.25">
      <c r="B803"/>
      <c r="C803"/>
      <c r="D803"/>
      <c r="E803"/>
      <c r="F803"/>
      <c r="G803"/>
      <c r="H803"/>
      <c r="I803"/>
      <c r="J803"/>
      <c r="K803"/>
      <c r="L803"/>
      <c r="M803"/>
      <c r="N803"/>
      <c r="O803"/>
      <c r="P803"/>
      <c r="Q803"/>
    </row>
    <row r="804" spans="2:17" x14ac:dyDescent="0.25">
      <c r="B804"/>
      <c r="C804"/>
      <c r="D804"/>
      <c r="E804"/>
      <c r="F804"/>
      <c r="G804"/>
      <c r="H804"/>
      <c r="I804"/>
      <c r="J804"/>
      <c r="K804"/>
      <c r="L804"/>
      <c r="M804"/>
      <c r="N804"/>
      <c r="O804"/>
      <c r="P804"/>
      <c r="Q804"/>
    </row>
    <row r="805" spans="2:17" x14ac:dyDescent="0.25">
      <c r="B805"/>
      <c r="C805"/>
      <c r="D805"/>
      <c r="E805"/>
      <c r="F805"/>
      <c r="G805"/>
      <c r="H805"/>
      <c r="I805"/>
      <c r="J805"/>
      <c r="K805"/>
      <c r="L805"/>
      <c r="M805"/>
      <c r="N805"/>
      <c r="O805"/>
      <c r="P805"/>
      <c r="Q805"/>
    </row>
    <row r="806" spans="2:17" x14ac:dyDescent="0.25">
      <c r="B806"/>
      <c r="C806"/>
      <c r="D806"/>
      <c r="E806"/>
      <c r="F806"/>
      <c r="G806"/>
      <c r="H806"/>
      <c r="I806"/>
      <c r="J806"/>
      <c r="K806"/>
      <c r="L806"/>
      <c r="M806"/>
      <c r="N806"/>
      <c r="O806"/>
      <c r="P806"/>
      <c r="Q806"/>
    </row>
    <row r="807" spans="2:17" x14ac:dyDescent="0.25">
      <c r="B807"/>
      <c r="C807"/>
      <c r="D807"/>
      <c r="E807"/>
      <c r="F807"/>
      <c r="G807"/>
      <c r="H807"/>
      <c r="I807"/>
      <c r="J807"/>
      <c r="K807"/>
      <c r="L807"/>
      <c r="M807"/>
      <c r="N807"/>
      <c r="O807"/>
      <c r="P807"/>
      <c r="Q807"/>
    </row>
    <row r="808" spans="2:17" x14ac:dyDescent="0.25">
      <c r="B808"/>
      <c r="C808"/>
      <c r="D808"/>
      <c r="E808"/>
      <c r="F808"/>
      <c r="G808"/>
      <c r="H808"/>
      <c r="I808"/>
      <c r="J808"/>
      <c r="K808"/>
      <c r="L808"/>
      <c r="M808"/>
      <c r="N808"/>
      <c r="O808"/>
      <c r="P808"/>
      <c r="Q808"/>
    </row>
    <row r="809" spans="2:17" x14ac:dyDescent="0.25">
      <c r="B809"/>
      <c r="C809"/>
      <c r="D809"/>
      <c r="E809"/>
      <c r="F809"/>
      <c r="G809"/>
      <c r="H809"/>
      <c r="I809"/>
      <c r="J809"/>
      <c r="K809"/>
      <c r="L809"/>
      <c r="M809"/>
      <c r="N809"/>
      <c r="O809"/>
      <c r="P809"/>
      <c r="Q809"/>
    </row>
    <row r="810" spans="2:17" x14ac:dyDescent="0.25">
      <c r="B810"/>
      <c r="C810"/>
      <c r="D810"/>
      <c r="E810"/>
      <c r="F810"/>
      <c r="G810"/>
      <c r="H810"/>
      <c r="I810"/>
      <c r="J810"/>
      <c r="K810"/>
      <c r="L810"/>
      <c r="M810"/>
      <c r="N810"/>
      <c r="O810"/>
      <c r="P810"/>
      <c r="Q810"/>
    </row>
    <row r="811" spans="2:17" x14ac:dyDescent="0.25">
      <c r="B811"/>
      <c r="C811"/>
      <c r="D811"/>
      <c r="E811"/>
      <c r="F811"/>
      <c r="G811"/>
      <c r="H811"/>
      <c r="I811"/>
      <c r="J811"/>
      <c r="K811"/>
      <c r="L811"/>
      <c r="M811"/>
      <c r="N811"/>
      <c r="O811"/>
      <c r="P811"/>
      <c r="Q811"/>
    </row>
    <row r="812" spans="2:17" x14ac:dyDescent="0.25">
      <c r="B812"/>
      <c r="C812"/>
      <c r="D812"/>
      <c r="E812"/>
      <c r="F812"/>
      <c r="G812"/>
      <c r="H812"/>
      <c r="I812"/>
      <c r="J812"/>
      <c r="K812"/>
      <c r="L812"/>
      <c r="M812"/>
      <c r="N812"/>
      <c r="O812"/>
      <c r="P812"/>
      <c r="Q812"/>
    </row>
    <row r="813" spans="2:17" x14ac:dyDescent="0.25">
      <c r="B813"/>
      <c r="C813"/>
      <c r="D813"/>
      <c r="E813"/>
      <c r="F813"/>
      <c r="G813"/>
      <c r="H813"/>
      <c r="I813"/>
      <c r="J813"/>
      <c r="K813"/>
      <c r="L813"/>
      <c r="M813"/>
      <c r="N813"/>
      <c r="O813"/>
      <c r="P813"/>
      <c r="Q813"/>
    </row>
    <row r="814" spans="2:17" x14ac:dyDescent="0.25">
      <c r="B814"/>
      <c r="C814"/>
      <c r="D814"/>
      <c r="E814"/>
      <c r="F814"/>
      <c r="G814"/>
      <c r="H814"/>
      <c r="I814"/>
      <c r="J814"/>
      <c r="K814"/>
      <c r="L814"/>
      <c r="M814"/>
      <c r="N814"/>
      <c r="O814"/>
      <c r="P814"/>
      <c r="Q814"/>
    </row>
    <row r="815" spans="2:17" x14ac:dyDescent="0.25">
      <c r="B815"/>
      <c r="C815"/>
      <c r="D815"/>
      <c r="E815"/>
      <c r="F815"/>
      <c r="G815"/>
      <c r="H815"/>
      <c r="I815"/>
      <c r="J815"/>
      <c r="K815"/>
      <c r="L815"/>
      <c r="M815"/>
      <c r="N815"/>
      <c r="O815"/>
      <c r="P815"/>
      <c r="Q815"/>
    </row>
    <row r="816" spans="2:17" x14ac:dyDescent="0.25">
      <c r="B816"/>
      <c r="C816"/>
      <c r="D816"/>
      <c r="E816"/>
      <c r="F816"/>
      <c r="G816"/>
      <c r="H816"/>
      <c r="I816"/>
      <c r="J816"/>
      <c r="K816"/>
      <c r="L816"/>
      <c r="M816"/>
      <c r="N816"/>
      <c r="O816"/>
      <c r="P816"/>
      <c r="Q816"/>
    </row>
    <row r="817" spans="2:17" x14ac:dyDescent="0.25">
      <c r="B817"/>
      <c r="C817"/>
      <c r="D817"/>
      <c r="E817"/>
      <c r="F817"/>
      <c r="G817"/>
      <c r="H817"/>
      <c r="I817"/>
      <c r="J817"/>
      <c r="K817"/>
      <c r="L817"/>
      <c r="M817"/>
      <c r="N817"/>
      <c r="O817"/>
      <c r="P817"/>
      <c r="Q817"/>
    </row>
    <row r="818" spans="2:17" x14ac:dyDescent="0.25">
      <c r="B818"/>
      <c r="C818"/>
      <c r="D818"/>
      <c r="E818"/>
      <c r="F818"/>
      <c r="G818"/>
      <c r="H818"/>
      <c r="I818"/>
      <c r="J818"/>
      <c r="K818"/>
      <c r="L818"/>
      <c r="M818"/>
      <c r="N818"/>
      <c r="O818"/>
      <c r="P818"/>
      <c r="Q818"/>
    </row>
    <row r="819" spans="2:17" x14ac:dyDescent="0.25">
      <c r="B819"/>
      <c r="C819"/>
      <c r="D819"/>
      <c r="E819"/>
      <c r="F819"/>
      <c r="G819"/>
      <c r="H819"/>
      <c r="I819"/>
      <c r="J819"/>
      <c r="K819"/>
      <c r="L819"/>
      <c r="M819"/>
      <c r="N819"/>
      <c r="O819"/>
      <c r="P819"/>
      <c r="Q819"/>
    </row>
    <row r="820" spans="2:17" x14ac:dyDescent="0.25">
      <c r="B820"/>
      <c r="C820"/>
      <c r="D820"/>
      <c r="E820"/>
      <c r="F820"/>
      <c r="G820"/>
      <c r="H820"/>
      <c r="I820"/>
      <c r="J820"/>
      <c r="K820"/>
      <c r="L820"/>
      <c r="M820"/>
      <c r="N820"/>
      <c r="O820"/>
      <c r="P820"/>
      <c r="Q820"/>
    </row>
    <row r="821" spans="2:17" x14ac:dyDescent="0.25">
      <c r="B821"/>
      <c r="C821"/>
      <c r="D821"/>
      <c r="E821"/>
      <c r="F821"/>
      <c r="G821"/>
      <c r="H821"/>
      <c r="I821"/>
      <c r="J821"/>
      <c r="K821"/>
      <c r="L821"/>
      <c r="M821"/>
      <c r="N821"/>
      <c r="O821"/>
      <c r="P821"/>
      <c r="Q821"/>
    </row>
    <row r="822" spans="2:17" x14ac:dyDescent="0.25">
      <c r="B822"/>
      <c r="C822"/>
      <c r="D822"/>
      <c r="E822"/>
      <c r="F822"/>
      <c r="G822"/>
      <c r="H822"/>
      <c r="I822"/>
      <c r="J822"/>
      <c r="K822"/>
      <c r="L822"/>
      <c r="M822"/>
      <c r="N822"/>
      <c r="O822"/>
      <c r="P822"/>
      <c r="Q822"/>
    </row>
    <row r="823" spans="2:17" x14ac:dyDescent="0.25">
      <c r="B823"/>
      <c r="C823"/>
      <c r="D823"/>
      <c r="E823"/>
      <c r="F823"/>
      <c r="G823"/>
      <c r="H823"/>
      <c r="I823"/>
      <c r="J823"/>
      <c r="K823"/>
      <c r="L823"/>
      <c r="M823"/>
      <c r="N823"/>
      <c r="O823"/>
      <c r="P823"/>
      <c r="Q823"/>
    </row>
    <row r="824" spans="2:17" x14ac:dyDescent="0.25">
      <c r="B824"/>
      <c r="C824"/>
      <c r="D824"/>
      <c r="E824"/>
      <c r="F824"/>
      <c r="G824"/>
      <c r="H824"/>
      <c r="I824"/>
      <c r="J824"/>
      <c r="K824"/>
      <c r="L824"/>
      <c r="M824"/>
      <c r="N824"/>
      <c r="O824"/>
      <c r="P824"/>
      <c r="Q824"/>
    </row>
    <row r="825" spans="2:17" x14ac:dyDescent="0.25">
      <c r="B825"/>
      <c r="C825"/>
      <c r="D825"/>
      <c r="E825"/>
      <c r="F825"/>
      <c r="G825"/>
      <c r="H825"/>
      <c r="I825"/>
      <c r="J825"/>
      <c r="K825"/>
      <c r="L825"/>
      <c r="M825"/>
      <c r="N825"/>
      <c r="O825"/>
      <c r="P825"/>
      <c r="Q825"/>
    </row>
    <row r="826" spans="2:17" x14ac:dyDescent="0.25">
      <c r="B826"/>
      <c r="C826"/>
      <c r="D826"/>
      <c r="E826"/>
      <c r="F826"/>
      <c r="G826"/>
      <c r="H826"/>
      <c r="I826"/>
      <c r="J826"/>
      <c r="K826"/>
      <c r="L826"/>
      <c r="M826"/>
      <c r="N826"/>
      <c r="O826"/>
      <c r="P826"/>
      <c r="Q826"/>
    </row>
    <row r="827" spans="2:17" x14ac:dyDescent="0.25">
      <c r="B827"/>
      <c r="C827"/>
      <c r="D827"/>
      <c r="E827"/>
      <c r="F827"/>
      <c r="G827"/>
      <c r="H827"/>
      <c r="I827"/>
      <c r="J827"/>
      <c r="K827"/>
      <c r="L827"/>
      <c r="M827"/>
      <c r="N827"/>
      <c r="O827"/>
      <c r="P827"/>
      <c r="Q827"/>
    </row>
    <row r="828" spans="2:17" x14ac:dyDescent="0.25">
      <c r="B828"/>
      <c r="C828"/>
      <c r="D828"/>
      <c r="E828"/>
      <c r="F828"/>
      <c r="G828"/>
      <c r="H828"/>
      <c r="I828"/>
      <c r="J828"/>
      <c r="K828"/>
      <c r="L828"/>
      <c r="M828"/>
      <c r="N828"/>
      <c r="O828"/>
      <c r="P828"/>
      <c r="Q828"/>
    </row>
    <row r="829" spans="2:17" x14ac:dyDescent="0.25">
      <c r="B829"/>
      <c r="C829"/>
      <c r="D829"/>
      <c r="E829"/>
      <c r="F829"/>
      <c r="G829"/>
      <c r="H829"/>
      <c r="I829"/>
      <c r="J829"/>
      <c r="K829"/>
      <c r="L829"/>
      <c r="M829"/>
      <c r="N829"/>
      <c r="O829"/>
      <c r="P829"/>
      <c r="Q829"/>
    </row>
    <row r="830" spans="2:17" x14ac:dyDescent="0.25">
      <c r="B830"/>
      <c r="C830"/>
      <c r="D830"/>
      <c r="E830"/>
      <c r="F830"/>
      <c r="G830"/>
      <c r="H830"/>
      <c r="I830"/>
      <c r="J830"/>
      <c r="K830"/>
      <c r="L830"/>
      <c r="M830"/>
      <c r="N830"/>
      <c r="O830"/>
      <c r="P830"/>
      <c r="Q830"/>
    </row>
    <row r="831" spans="2:17" x14ac:dyDescent="0.25">
      <c r="B831"/>
      <c r="C831"/>
      <c r="D831"/>
      <c r="E831"/>
      <c r="F831"/>
      <c r="G831"/>
      <c r="H831"/>
      <c r="I831"/>
      <c r="J831"/>
      <c r="K831"/>
      <c r="L831"/>
      <c r="M831"/>
      <c r="N831"/>
      <c r="O831"/>
      <c r="P831"/>
      <c r="Q831"/>
    </row>
    <row r="832" spans="2:17" x14ac:dyDescent="0.25">
      <c r="B832"/>
      <c r="C832"/>
      <c r="D832"/>
      <c r="E832"/>
      <c r="F832"/>
      <c r="G832"/>
      <c r="H832"/>
      <c r="I832"/>
      <c r="J832"/>
      <c r="K832"/>
      <c r="L832"/>
      <c r="M832"/>
      <c r="N832"/>
      <c r="O832"/>
      <c r="P832"/>
      <c r="Q832"/>
    </row>
    <row r="833" spans="2:17" x14ac:dyDescent="0.25">
      <c r="B833"/>
      <c r="C833"/>
      <c r="D833"/>
      <c r="E833"/>
      <c r="F833"/>
      <c r="G833"/>
      <c r="H833"/>
      <c r="I833"/>
      <c r="J833"/>
      <c r="K833"/>
      <c r="L833"/>
      <c r="M833"/>
      <c r="N833"/>
      <c r="O833"/>
      <c r="P833"/>
      <c r="Q833"/>
    </row>
    <row r="834" spans="2:17" x14ac:dyDescent="0.25">
      <c r="B834"/>
      <c r="C834"/>
      <c r="D834"/>
      <c r="E834"/>
      <c r="F834"/>
      <c r="G834"/>
      <c r="H834"/>
      <c r="I834"/>
      <c r="J834"/>
      <c r="K834"/>
      <c r="L834"/>
      <c r="M834"/>
      <c r="N834"/>
      <c r="O834"/>
      <c r="P834"/>
      <c r="Q834"/>
    </row>
    <row r="835" spans="2:17" x14ac:dyDescent="0.25">
      <c r="B835"/>
      <c r="C835"/>
      <c r="D835"/>
      <c r="E835"/>
      <c r="F835"/>
      <c r="G835"/>
      <c r="H835"/>
      <c r="I835"/>
      <c r="J835"/>
      <c r="K835"/>
      <c r="L835"/>
      <c r="M835"/>
      <c r="N835"/>
      <c r="O835"/>
      <c r="P835"/>
      <c r="Q835"/>
    </row>
    <row r="836" spans="2:17" x14ac:dyDescent="0.25">
      <c r="B836"/>
      <c r="C836"/>
      <c r="D836"/>
      <c r="E836"/>
      <c r="F836"/>
      <c r="G836"/>
      <c r="H836"/>
      <c r="I836"/>
      <c r="J836"/>
      <c r="K836"/>
      <c r="L836"/>
      <c r="M836"/>
      <c r="N836"/>
      <c r="O836"/>
      <c r="P836"/>
      <c r="Q836"/>
    </row>
    <row r="837" spans="2:17" x14ac:dyDescent="0.25">
      <c r="B837"/>
      <c r="C837"/>
      <c r="D837"/>
      <c r="E837"/>
      <c r="F837"/>
      <c r="G837"/>
      <c r="H837"/>
      <c r="I837"/>
      <c r="J837"/>
      <c r="K837"/>
      <c r="L837"/>
      <c r="M837"/>
      <c r="N837"/>
      <c r="O837"/>
      <c r="P837"/>
      <c r="Q837"/>
    </row>
    <row r="838" spans="2:17" x14ac:dyDescent="0.25">
      <c r="B838"/>
      <c r="C838"/>
      <c r="D838"/>
      <c r="E838"/>
      <c r="F838"/>
      <c r="G838"/>
      <c r="H838"/>
      <c r="I838"/>
      <c r="J838"/>
      <c r="K838"/>
      <c r="L838"/>
      <c r="M838"/>
      <c r="N838"/>
      <c r="O838"/>
      <c r="P838"/>
      <c r="Q838"/>
    </row>
    <row r="839" spans="2:17" x14ac:dyDescent="0.25">
      <c r="B839"/>
      <c r="C839"/>
      <c r="D839"/>
      <c r="E839"/>
      <c r="F839"/>
      <c r="G839"/>
      <c r="H839"/>
      <c r="I839"/>
      <c r="J839"/>
      <c r="K839"/>
      <c r="L839"/>
      <c r="M839"/>
      <c r="N839"/>
      <c r="O839"/>
      <c r="P839"/>
      <c r="Q839"/>
    </row>
    <row r="840" spans="2:17" x14ac:dyDescent="0.25">
      <c r="B840"/>
      <c r="C840"/>
      <c r="D840"/>
      <c r="E840"/>
      <c r="F840"/>
      <c r="G840"/>
      <c r="H840"/>
      <c r="I840"/>
      <c r="J840"/>
      <c r="K840"/>
      <c r="L840"/>
      <c r="M840"/>
      <c r="N840"/>
      <c r="O840"/>
      <c r="P840"/>
      <c r="Q840"/>
    </row>
    <row r="841" spans="2:17" x14ac:dyDescent="0.25">
      <c r="B841"/>
      <c r="C841"/>
      <c r="D841"/>
      <c r="E841"/>
      <c r="F841"/>
      <c r="G841"/>
      <c r="H841"/>
      <c r="I841"/>
      <c r="J841"/>
      <c r="K841"/>
      <c r="L841"/>
      <c r="M841"/>
      <c r="N841"/>
      <c r="O841"/>
      <c r="P841"/>
      <c r="Q841"/>
    </row>
    <row r="842" spans="2:17" x14ac:dyDescent="0.25">
      <c r="B842"/>
      <c r="C842"/>
      <c r="D842"/>
      <c r="E842"/>
      <c r="F842"/>
      <c r="G842"/>
      <c r="H842"/>
      <c r="I842"/>
      <c r="J842"/>
      <c r="K842"/>
      <c r="L842"/>
      <c r="M842"/>
      <c r="N842"/>
      <c r="O842"/>
      <c r="P842"/>
      <c r="Q842"/>
    </row>
    <row r="843" spans="2:17" x14ac:dyDescent="0.25">
      <c r="B843"/>
      <c r="C843"/>
      <c r="D843"/>
      <c r="E843"/>
      <c r="F843"/>
      <c r="G843"/>
      <c r="H843"/>
      <c r="I843"/>
      <c r="J843"/>
      <c r="K843"/>
      <c r="L843"/>
      <c r="M843"/>
      <c r="N843"/>
      <c r="O843"/>
      <c r="P843"/>
      <c r="Q843"/>
    </row>
    <row r="844" spans="2:17" x14ac:dyDescent="0.25">
      <c r="B844"/>
      <c r="C844"/>
      <c r="D844"/>
      <c r="E844"/>
      <c r="F844"/>
      <c r="G844"/>
      <c r="H844"/>
      <c r="I844"/>
      <c r="J844"/>
      <c r="K844"/>
      <c r="L844"/>
      <c r="M844"/>
      <c r="N844"/>
      <c r="O844"/>
      <c r="P844"/>
      <c r="Q844"/>
    </row>
    <row r="845" spans="2:17" x14ac:dyDescent="0.25">
      <c r="B845"/>
      <c r="C845"/>
      <c r="D845"/>
      <c r="E845"/>
      <c r="F845"/>
      <c r="G845"/>
      <c r="H845"/>
      <c r="I845"/>
      <c r="J845"/>
      <c r="K845"/>
      <c r="L845"/>
      <c r="M845"/>
      <c r="N845"/>
      <c r="O845"/>
      <c r="P845"/>
      <c r="Q845"/>
    </row>
    <row r="846" spans="2:17" x14ac:dyDescent="0.25">
      <c r="B846"/>
      <c r="C846"/>
      <c r="D846"/>
      <c r="E846"/>
      <c r="F846"/>
      <c r="G846"/>
      <c r="H846"/>
      <c r="I846"/>
      <c r="J846"/>
      <c r="K846"/>
      <c r="L846"/>
      <c r="M846"/>
      <c r="N846"/>
      <c r="O846"/>
      <c r="P846"/>
      <c r="Q846"/>
    </row>
    <row r="847" spans="2:17" x14ac:dyDescent="0.25">
      <c r="B847"/>
      <c r="C847"/>
      <c r="D847"/>
      <c r="E847"/>
      <c r="F847"/>
      <c r="G847"/>
      <c r="H847"/>
      <c r="I847"/>
      <c r="J847"/>
      <c r="K847"/>
      <c r="L847"/>
      <c r="M847"/>
      <c r="N847"/>
      <c r="O847"/>
      <c r="P847"/>
      <c r="Q847"/>
    </row>
    <row r="848" spans="2:17" x14ac:dyDescent="0.25">
      <c r="B848"/>
      <c r="C848"/>
      <c r="D848"/>
      <c r="E848"/>
      <c r="F848"/>
      <c r="G848"/>
      <c r="H848"/>
      <c r="I848"/>
      <c r="J848"/>
      <c r="K848"/>
      <c r="L848"/>
      <c r="M848"/>
      <c r="N848"/>
      <c r="O848"/>
      <c r="P848"/>
      <c r="Q848"/>
    </row>
    <row r="849" spans="2:17" x14ac:dyDescent="0.25">
      <c r="B849"/>
      <c r="C849"/>
      <c r="D849"/>
      <c r="E849"/>
      <c r="F849"/>
      <c r="G849"/>
      <c r="H849"/>
      <c r="I849"/>
      <c r="J849"/>
      <c r="K849"/>
      <c r="L849"/>
      <c r="M849"/>
      <c r="N849"/>
      <c r="O849"/>
      <c r="P849"/>
      <c r="Q849"/>
    </row>
    <row r="850" spans="2:17" x14ac:dyDescent="0.25">
      <c r="B850"/>
      <c r="C850"/>
      <c r="D850"/>
      <c r="E850"/>
      <c r="F850"/>
      <c r="G850"/>
      <c r="H850"/>
      <c r="I850"/>
      <c r="J850"/>
      <c r="K850"/>
      <c r="L850"/>
      <c r="M850"/>
      <c r="N850"/>
      <c r="O850"/>
      <c r="P850"/>
      <c r="Q850"/>
    </row>
    <row r="851" spans="2:17" x14ac:dyDescent="0.25">
      <c r="B851"/>
      <c r="C851"/>
      <c r="D851"/>
      <c r="E851"/>
      <c r="F851"/>
      <c r="G851"/>
      <c r="H851"/>
      <c r="I851"/>
      <c r="J851"/>
      <c r="K851"/>
      <c r="L851"/>
      <c r="M851"/>
      <c r="N851"/>
      <c r="O851"/>
      <c r="P851"/>
      <c r="Q851"/>
    </row>
    <row r="852" spans="2:17" x14ac:dyDescent="0.25">
      <c r="B852"/>
      <c r="C852"/>
      <c r="D852"/>
      <c r="E852"/>
      <c r="F852"/>
      <c r="G852"/>
      <c r="H852"/>
      <c r="I852"/>
      <c r="J852"/>
      <c r="K852"/>
      <c r="L852"/>
      <c r="M852"/>
      <c r="N852"/>
      <c r="O852"/>
      <c r="P852"/>
      <c r="Q852"/>
    </row>
    <row r="853" spans="2:17" x14ac:dyDescent="0.25">
      <c r="B853"/>
      <c r="C853"/>
      <c r="D853"/>
      <c r="E853"/>
      <c r="F853"/>
      <c r="G853"/>
      <c r="H853"/>
      <c r="I853"/>
      <c r="J853"/>
      <c r="K853"/>
      <c r="L853"/>
      <c r="M853"/>
      <c r="N853"/>
      <c r="O853"/>
      <c r="P853"/>
      <c r="Q853"/>
    </row>
    <row r="854" spans="2:17" x14ac:dyDescent="0.25">
      <c r="B854"/>
      <c r="C854"/>
      <c r="D854"/>
      <c r="E854"/>
      <c r="F854"/>
      <c r="G854"/>
      <c r="H854"/>
      <c r="I854"/>
      <c r="J854"/>
      <c r="K854"/>
      <c r="L854"/>
      <c r="M854"/>
      <c r="N854"/>
      <c r="O854"/>
      <c r="P854"/>
      <c r="Q854"/>
    </row>
    <row r="855" spans="2:17" x14ac:dyDescent="0.25">
      <c r="B855"/>
      <c r="C855"/>
      <c r="D855"/>
      <c r="E855"/>
      <c r="F855"/>
      <c r="G855"/>
      <c r="H855"/>
      <c r="I855"/>
      <c r="J855"/>
      <c r="K855"/>
      <c r="L855"/>
      <c r="M855"/>
      <c r="N855"/>
      <c r="O855"/>
      <c r="P855"/>
      <c r="Q855"/>
    </row>
    <row r="856" spans="2:17" x14ac:dyDescent="0.25">
      <c r="B856"/>
      <c r="C856"/>
      <c r="D856"/>
      <c r="E856"/>
      <c r="F856"/>
      <c r="G856"/>
      <c r="H856"/>
      <c r="I856"/>
      <c r="J856"/>
      <c r="K856"/>
      <c r="L856"/>
      <c r="M856"/>
      <c r="N856"/>
      <c r="O856"/>
      <c r="P856"/>
      <c r="Q856"/>
    </row>
    <row r="857" spans="2:17" x14ac:dyDescent="0.25">
      <c r="B857"/>
      <c r="C857"/>
      <c r="D857"/>
      <c r="E857"/>
      <c r="F857"/>
      <c r="G857"/>
      <c r="H857"/>
      <c r="I857"/>
      <c r="J857"/>
      <c r="K857"/>
      <c r="L857"/>
      <c r="M857"/>
      <c r="N857"/>
      <c r="O857"/>
      <c r="P857"/>
      <c r="Q857"/>
    </row>
    <row r="858" spans="2:17" x14ac:dyDescent="0.25">
      <c r="B858"/>
      <c r="C858"/>
      <c r="D858"/>
      <c r="E858"/>
      <c r="F858"/>
      <c r="G858"/>
      <c r="H858"/>
      <c r="I858"/>
      <c r="J858"/>
      <c r="K858"/>
      <c r="L858"/>
      <c r="M858"/>
      <c r="N858"/>
      <c r="O858"/>
      <c r="P858"/>
      <c r="Q858"/>
    </row>
    <row r="859" spans="2:17" x14ac:dyDescent="0.25">
      <c r="B859"/>
      <c r="C859"/>
      <c r="D859"/>
      <c r="E859"/>
      <c r="F859"/>
      <c r="G859"/>
      <c r="H859"/>
      <c r="I859"/>
      <c r="J859"/>
      <c r="K859"/>
      <c r="L859"/>
      <c r="M859"/>
      <c r="N859"/>
      <c r="O859"/>
      <c r="P859"/>
      <c r="Q859"/>
    </row>
    <row r="860" spans="2:17" x14ac:dyDescent="0.25">
      <c r="B860"/>
      <c r="C860"/>
      <c r="D860"/>
      <c r="E860"/>
      <c r="F860"/>
      <c r="G860"/>
      <c r="H860"/>
      <c r="I860"/>
      <c r="J860"/>
      <c r="K860"/>
      <c r="L860"/>
      <c r="M860"/>
      <c r="N860"/>
      <c r="O860"/>
      <c r="P860"/>
      <c r="Q860"/>
    </row>
    <row r="861" spans="2:17" x14ac:dyDescent="0.25">
      <c r="B861"/>
      <c r="C861"/>
      <c r="D861"/>
      <c r="E861"/>
      <c r="F861"/>
      <c r="G861"/>
      <c r="H861"/>
      <c r="I861"/>
      <c r="J861"/>
      <c r="K861"/>
      <c r="L861"/>
      <c r="M861"/>
      <c r="N861"/>
      <c r="O861"/>
      <c r="P861"/>
      <c r="Q861"/>
    </row>
    <row r="862" spans="2:17" x14ac:dyDescent="0.25">
      <c r="B862"/>
      <c r="C862"/>
      <c r="D862"/>
      <c r="E862"/>
      <c r="F862"/>
      <c r="G862"/>
      <c r="H862"/>
      <c r="I862"/>
      <c r="J862"/>
      <c r="K862"/>
      <c r="L862"/>
      <c r="M862"/>
      <c r="N862"/>
      <c r="O862"/>
      <c r="P862"/>
      <c r="Q862"/>
    </row>
    <row r="863" spans="2:17" x14ac:dyDescent="0.25">
      <c r="B863"/>
      <c r="C863"/>
      <c r="D863"/>
      <c r="E863"/>
      <c r="F863"/>
      <c r="G863"/>
      <c r="H863"/>
      <c r="I863"/>
      <c r="J863"/>
      <c r="K863"/>
      <c r="L863"/>
      <c r="M863"/>
      <c r="N863"/>
      <c r="O863"/>
      <c r="P863"/>
      <c r="Q863"/>
    </row>
    <row r="864" spans="2:17" x14ac:dyDescent="0.25">
      <c r="B864"/>
      <c r="C864"/>
      <c r="D864"/>
      <c r="E864"/>
      <c r="F864"/>
      <c r="G864"/>
      <c r="H864"/>
      <c r="I864"/>
      <c r="J864"/>
      <c r="K864"/>
      <c r="L864"/>
      <c r="M864"/>
      <c r="N864"/>
      <c r="O864"/>
      <c r="P864"/>
      <c r="Q864"/>
    </row>
    <row r="865" spans="2:17" x14ac:dyDescent="0.25">
      <c r="B865"/>
      <c r="C865"/>
      <c r="D865"/>
      <c r="E865"/>
      <c r="F865"/>
      <c r="G865"/>
      <c r="H865"/>
      <c r="I865"/>
      <c r="J865"/>
      <c r="K865"/>
      <c r="L865"/>
      <c r="M865"/>
      <c r="N865"/>
      <c r="O865"/>
      <c r="P865"/>
      <c r="Q865"/>
    </row>
    <row r="866" spans="2:17" x14ac:dyDescent="0.25">
      <c r="B866"/>
      <c r="C866"/>
      <c r="D866"/>
      <c r="E866"/>
      <c r="F866"/>
      <c r="G866"/>
      <c r="H866"/>
      <c r="I866"/>
      <c r="J866"/>
      <c r="K866"/>
      <c r="L866"/>
      <c r="M866"/>
      <c r="N866"/>
      <c r="O866"/>
      <c r="P866"/>
      <c r="Q866"/>
    </row>
    <row r="867" spans="2:17" x14ac:dyDescent="0.25">
      <c r="B867"/>
      <c r="C867"/>
      <c r="D867"/>
      <c r="E867"/>
      <c r="F867"/>
      <c r="G867"/>
      <c r="H867"/>
      <c r="I867"/>
      <c r="J867"/>
      <c r="K867"/>
      <c r="L867"/>
      <c r="M867"/>
      <c r="N867"/>
      <c r="O867"/>
      <c r="P867"/>
      <c r="Q867"/>
    </row>
    <row r="868" spans="2:17" x14ac:dyDescent="0.25">
      <c r="B868"/>
      <c r="C868"/>
      <c r="D868"/>
      <c r="E868"/>
      <c r="F868"/>
      <c r="G868"/>
      <c r="H868"/>
      <c r="I868"/>
      <c r="J868"/>
      <c r="K868"/>
      <c r="L868"/>
      <c r="M868"/>
      <c r="N868"/>
      <c r="O868"/>
      <c r="P868"/>
      <c r="Q868"/>
    </row>
    <row r="869" spans="2:17" x14ac:dyDescent="0.25">
      <c r="B869"/>
      <c r="C869"/>
      <c r="D869"/>
      <c r="E869"/>
      <c r="F869"/>
      <c r="G869"/>
      <c r="H869"/>
      <c r="I869"/>
      <c r="J869"/>
      <c r="K869"/>
      <c r="L869"/>
      <c r="M869"/>
      <c r="N869"/>
      <c r="O869"/>
      <c r="P869"/>
      <c r="Q869"/>
    </row>
    <row r="870" spans="2:17" x14ac:dyDescent="0.25">
      <c r="B870"/>
      <c r="C870"/>
      <c r="D870"/>
      <c r="E870"/>
      <c r="F870"/>
      <c r="G870"/>
      <c r="H870"/>
      <c r="I870"/>
      <c r="J870"/>
      <c r="K870"/>
      <c r="L870"/>
      <c r="M870"/>
      <c r="N870"/>
      <c r="O870"/>
      <c r="P870"/>
      <c r="Q870"/>
    </row>
    <row r="871" spans="2:17" x14ac:dyDescent="0.25">
      <c r="B871"/>
      <c r="C871"/>
      <c r="D871"/>
      <c r="E871"/>
      <c r="F871"/>
      <c r="G871"/>
      <c r="H871"/>
      <c r="I871"/>
      <c r="J871"/>
      <c r="K871"/>
      <c r="L871"/>
      <c r="M871"/>
      <c r="N871"/>
      <c r="O871"/>
      <c r="P871"/>
      <c r="Q871"/>
    </row>
    <row r="872" spans="2:17" x14ac:dyDescent="0.25">
      <c r="B872"/>
      <c r="C872"/>
      <c r="D872"/>
      <c r="E872"/>
      <c r="F872"/>
      <c r="G872"/>
      <c r="H872"/>
      <c r="I872"/>
      <c r="J872"/>
      <c r="K872"/>
      <c r="L872"/>
      <c r="M872"/>
      <c r="N872"/>
      <c r="O872"/>
      <c r="P872"/>
      <c r="Q872"/>
    </row>
    <row r="873" spans="2:17" x14ac:dyDescent="0.25">
      <c r="B873"/>
      <c r="C873"/>
      <c r="D873"/>
      <c r="E873"/>
      <c r="F873"/>
      <c r="G873"/>
      <c r="H873"/>
      <c r="I873"/>
      <c r="J873"/>
      <c r="K873"/>
      <c r="L873"/>
      <c r="M873"/>
      <c r="N873"/>
      <c r="O873"/>
      <c r="P873"/>
      <c r="Q873"/>
    </row>
    <row r="874" spans="2:17" x14ac:dyDescent="0.25">
      <c r="B874"/>
      <c r="C874"/>
      <c r="D874"/>
      <c r="E874"/>
      <c r="F874"/>
      <c r="G874"/>
      <c r="H874"/>
      <c r="I874"/>
      <c r="J874"/>
      <c r="K874"/>
      <c r="L874"/>
      <c r="M874"/>
      <c r="N874"/>
      <c r="O874"/>
      <c r="P874"/>
      <c r="Q874"/>
    </row>
    <row r="875" spans="2:17" x14ac:dyDescent="0.25">
      <c r="B875"/>
      <c r="C875"/>
      <c r="D875"/>
      <c r="E875"/>
      <c r="F875"/>
      <c r="G875"/>
      <c r="H875"/>
      <c r="I875"/>
      <c r="J875"/>
      <c r="K875"/>
      <c r="L875"/>
      <c r="M875"/>
      <c r="N875"/>
      <c r="O875"/>
      <c r="P875"/>
      <c r="Q875"/>
    </row>
    <row r="876" spans="2:17" x14ac:dyDescent="0.25">
      <c r="B876"/>
      <c r="C876"/>
      <c r="D876"/>
      <c r="E876"/>
      <c r="F876"/>
      <c r="G876"/>
      <c r="H876"/>
      <c r="I876"/>
      <c r="J876"/>
      <c r="K876"/>
      <c r="L876"/>
      <c r="M876"/>
      <c r="N876"/>
      <c r="O876"/>
      <c r="P876"/>
      <c r="Q876"/>
    </row>
    <row r="877" spans="2:17" x14ac:dyDescent="0.25">
      <c r="B877"/>
      <c r="C877"/>
      <c r="D877"/>
      <c r="E877"/>
      <c r="F877"/>
      <c r="G877"/>
      <c r="H877"/>
      <c r="I877"/>
      <c r="J877"/>
      <c r="K877"/>
      <c r="L877"/>
      <c r="M877"/>
      <c r="N877"/>
      <c r="O877"/>
      <c r="P877"/>
      <c r="Q877"/>
    </row>
    <row r="878" spans="2:17" x14ac:dyDescent="0.25">
      <c r="B878"/>
      <c r="C878"/>
      <c r="D878"/>
      <c r="E878"/>
      <c r="F878"/>
      <c r="G878"/>
      <c r="H878"/>
      <c r="I878"/>
      <c r="J878"/>
      <c r="K878"/>
      <c r="L878"/>
      <c r="M878"/>
      <c r="N878"/>
      <c r="O878"/>
      <c r="P878"/>
      <c r="Q878"/>
    </row>
    <row r="879" spans="2:17" x14ac:dyDescent="0.25">
      <c r="B879"/>
      <c r="C879"/>
      <c r="D879"/>
      <c r="E879"/>
      <c r="F879"/>
      <c r="G879"/>
      <c r="H879"/>
      <c r="I879"/>
      <c r="J879"/>
      <c r="K879"/>
      <c r="L879"/>
      <c r="M879"/>
      <c r="N879"/>
      <c r="O879"/>
      <c r="P879"/>
      <c r="Q879"/>
    </row>
    <row r="880" spans="2:17" x14ac:dyDescent="0.25">
      <c r="B880"/>
      <c r="C880"/>
      <c r="D880"/>
      <c r="E880"/>
      <c r="F880"/>
      <c r="G880"/>
      <c r="H880"/>
      <c r="I880"/>
      <c r="J880"/>
      <c r="K880"/>
      <c r="L880"/>
      <c r="M880"/>
      <c r="N880"/>
      <c r="O880"/>
      <c r="P880"/>
      <c r="Q880"/>
    </row>
    <row r="881" spans="2:17" x14ac:dyDescent="0.25">
      <c r="B881"/>
      <c r="C881"/>
      <c r="D881"/>
      <c r="E881"/>
      <c r="F881"/>
      <c r="G881"/>
      <c r="H881"/>
      <c r="I881"/>
      <c r="J881"/>
      <c r="K881"/>
      <c r="L881"/>
      <c r="M881"/>
      <c r="N881"/>
      <c r="O881"/>
      <c r="P881"/>
      <c r="Q881"/>
    </row>
    <row r="882" spans="2:17" x14ac:dyDescent="0.25">
      <c r="B882"/>
      <c r="C882"/>
      <c r="D882"/>
      <c r="E882"/>
      <c r="F882"/>
      <c r="G882"/>
      <c r="H882"/>
      <c r="I882"/>
      <c r="J882"/>
      <c r="K882"/>
      <c r="L882"/>
      <c r="M882"/>
      <c r="N882"/>
      <c r="O882"/>
      <c r="P882"/>
      <c r="Q882"/>
    </row>
    <row r="883" spans="2:17" x14ac:dyDescent="0.25">
      <c r="B883"/>
      <c r="C883"/>
      <c r="D883"/>
      <c r="E883"/>
      <c r="F883"/>
      <c r="G883"/>
      <c r="H883"/>
      <c r="I883"/>
      <c r="J883"/>
      <c r="K883"/>
      <c r="L883"/>
      <c r="M883"/>
      <c r="N883"/>
      <c r="O883"/>
      <c r="P883"/>
      <c r="Q883"/>
    </row>
    <row r="884" spans="2:17" x14ac:dyDescent="0.25">
      <c r="B884"/>
      <c r="C884"/>
      <c r="D884"/>
      <c r="E884"/>
      <c r="F884"/>
      <c r="G884"/>
      <c r="H884"/>
      <c r="I884"/>
      <c r="J884"/>
      <c r="K884"/>
      <c r="L884"/>
      <c r="M884"/>
      <c r="N884"/>
      <c r="O884"/>
      <c r="P884"/>
      <c r="Q884"/>
    </row>
    <row r="885" spans="2:17" x14ac:dyDescent="0.25">
      <c r="B885"/>
      <c r="C885"/>
      <c r="D885"/>
      <c r="E885"/>
      <c r="F885"/>
      <c r="G885"/>
      <c r="H885"/>
      <c r="I885"/>
      <c r="J885"/>
      <c r="K885"/>
      <c r="L885"/>
      <c r="M885"/>
      <c r="N885"/>
      <c r="O885"/>
      <c r="P885"/>
      <c r="Q885"/>
    </row>
    <row r="886" spans="2:17" x14ac:dyDescent="0.25">
      <c r="B886"/>
      <c r="C886"/>
      <c r="D886"/>
      <c r="E886"/>
      <c r="F886"/>
      <c r="G886"/>
      <c r="H886"/>
      <c r="I886"/>
      <c r="J886"/>
      <c r="K886"/>
      <c r="L886"/>
      <c r="M886"/>
      <c r="N886"/>
      <c r="O886"/>
      <c r="P886"/>
      <c r="Q886"/>
    </row>
    <row r="887" spans="2:17" x14ac:dyDescent="0.25">
      <c r="B887"/>
      <c r="C887"/>
      <c r="D887"/>
      <c r="E887"/>
      <c r="F887"/>
      <c r="G887"/>
      <c r="H887"/>
      <c r="I887"/>
      <c r="J887"/>
      <c r="K887"/>
      <c r="L887"/>
      <c r="M887"/>
      <c r="N887"/>
      <c r="O887"/>
      <c r="P887"/>
      <c r="Q887"/>
    </row>
    <row r="888" spans="2:17" x14ac:dyDescent="0.25">
      <c r="B888"/>
      <c r="C888"/>
      <c r="D888"/>
      <c r="E888"/>
      <c r="F888"/>
      <c r="G888"/>
      <c r="H888"/>
      <c r="I888"/>
      <c r="J888"/>
      <c r="K888"/>
      <c r="L888"/>
      <c r="M888"/>
      <c r="N888"/>
      <c r="O888"/>
      <c r="P888"/>
      <c r="Q888"/>
    </row>
    <row r="889" spans="2:17" x14ac:dyDescent="0.25">
      <c r="B889"/>
      <c r="C889"/>
      <c r="D889"/>
      <c r="E889"/>
      <c r="F889"/>
      <c r="G889"/>
      <c r="H889"/>
      <c r="I889"/>
      <c r="J889"/>
      <c r="K889"/>
      <c r="L889"/>
      <c r="M889"/>
      <c r="N889"/>
      <c r="O889"/>
      <c r="P889"/>
      <c r="Q889"/>
    </row>
    <row r="890" spans="2:17" x14ac:dyDescent="0.25">
      <c r="B890"/>
      <c r="C890"/>
      <c r="D890"/>
      <c r="E890"/>
      <c r="F890"/>
      <c r="G890"/>
      <c r="H890"/>
      <c r="I890"/>
      <c r="J890"/>
      <c r="K890"/>
      <c r="L890"/>
      <c r="M890"/>
      <c r="N890"/>
      <c r="O890"/>
      <c r="P890"/>
      <c r="Q890"/>
    </row>
    <row r="891" spans="2:17" x14ac:dyDescent="0.25">
      <c r="B891"/>
      <c r="C891"/>
      <c r="D891"/>
      <c r="E891"/>
      <c r="F891"/>
      <c r="G891"/>
      <c r="H891"/>
      <c r="I891"/>
      <c r="J891"/>
      <c r="K891"/>
      <c r="L891"/>
      <c r="M891"/>
      <c r="N891"/>
      <c r="O891"/>
      <c r="P891"/>
      <c r="Q891"/>
    </row>
    <row r="892" spans="2:17" x14ac:dyDescent="0.25">
      <c r="B892"/>
      <c r="C892"/>
      <c r="D892"/>
      <c r="E892"/>
      <c r="F892"/>
      <c r="G892"/>
      <c r="H892"/>
      <c r="I892"/>
      <c r="J892"/>
      <c r="K892"/>
      <c r="L892"/>
      <c r="M892"/>
      <c r="N892"/>
      <c r="O892"/>
      <c r="P892"/>
      <c r="Q892"/>
    </row>
    <row r="893" spans="2:17" x14ac:dyDescent="0.25">
      <c r="B893"/>
      <c r="C893"/>
      <c r="D893"/>
      <c r="E893"/>
      <c r="F893"/>
      <c r="G893"/>
      <c r="H893"/>
      <c r="I893"/>
      <c r="J893"/>
      <c r="K893"/>
      <c r="L893"/>
      <c r="M893"/>
      <c r="N893"/>
      <c r="O893"/>
      <c r="P893"/>
      <c r="Q893"/>
    </row>
    <row r="894" spans="2:17" x14ac:dyDescent="0.25">
      <c r="B894"/>
      <c r="C894"/>
      <c r="D894"/>
      <c r="E894"/>
      <c r="F894"/>
      <c r="G894"/>
      <c r="H894"/>
      <c r="I894"/>
      <c r="J894"/>
      <c r="K894"/>
      <c r="L894"/>
      <c r="M894"/>
      <c r="N894"/>
      <c r="O894"/>
      <c r="P894"/>
      <c r="Q894"/>
    </row>
    <row r="895" spans="2:17" x14ac:dyDescent="0.25">
      <c r="B895"/>
      <c r="C895"/>
      <c r="D895"/>
      <c r="E895"/>
      <c r="F895"/>
      <c r="G895"/>
      <c r="H895"/>
      <c r="I895"/>
      <c r="J895"/>
      <c r="K895"/>
      <c r="L895"/>
      <c r="M895"/>
      <c r="N895"/>
      <c r="O895"/>
      <c r="P895"/>
      <c r="Q895"/>
    </row>
    <row r="896" spans="2:17" x14ac:dyDescent="0.25">
      <c r="B896"/>
      <c r="C896"/>
      <c r="D896"/>
      <c r="E896"/>
      <c r="F896"/>
      <c r="G896"/>
      <c r="H896"/>
      <c r="I896"/>
      <c r="J896"/>
      <c r="K896"/>
      <c r="L896"/>
      <c r="M896"/>
      <c r="N896"/>
      <c r="O896"/>
      <c r="P896"/>
      <c r="Q896"/>
    </row>
    <row r="897" spans="2:17" x14ac:dyDescent="0.25">
      <c r="B897"/>
      <c r="C897"/>
      <c r="D897"/>
      <c r="E897"/>
      <c r="F897"/>
      <c r="G897"/>
      <c r="H897"/>
      <c r="I897"/>
      <c r="J897"/>
      <c r="K897"/>
      <c r="L897"/>
      <c r="M897"/>
      <c r="N897"/>
      <c r="O897"/>
      <c r="P897"/>
      <c r="Q897"/>
    </row>
    <row r="898" spans="2:17" x14ac:dyDescent="0.25">
      <c r="B898"/>
      <c r="C898"/>
      <c r="D898"/>
      <c r="E898"/>
      <c r="F898"/>
      <c r="G898"/>
      <c r="H898"/>
      <c r="I898"/>
      <c r="J898"/>
      <c r="K898"/>
      <c r="L898"/>
      <c r="M898"/>
      <c r="N898"/>
      <c r="O898"/>
      <c r="P898"/>
      <c r="Q898"/>
    </row>
    <row r="899" spans="2:17" x14ac:dyDescent="0.25">
      <c r="B899"/>
      <c r="C899"/>
      <c r="D899"/>
      <c r="E899"/>
      <c r="F899"/>
      <c r="G899"/>
      <c r="H899"/>
      <c r="I899"/>
      <c r="J899"/>
      <c r="K899"/>
      <c r="L899"/>
      <c r="M899"/>
      <c r="N899"/>
      <c r="O899"/>
      <c r="P899"/>
      <c r="Q899"/>
    </row>
    <row r="900" spans="2:17" x14ac:dyDescent="0.25">
      <c r="B900"/>
      <c r="C900"/>
      <c r="D900"/>
      <c r="E900"/>
      <c r="F900"/>
      <c r="G900"/>
      <c r="H900"/>
      <c r="I900"/>
      <c r="J900"/>
      <c r="K900"/>
      <c r="L900"/>
      <c r="M900"/>
      <c r="N900"/>
      <c r="O900"/>
      <c r="P900"/>
      <c r="Q900"/>
    </row>
    <row r="901" spans="2:17" x14ac:dyDescent="0.25">
      <c r="B901"/>
      <c r="C901"/>
      <c r="D901"/>
      <c r="E901"/>
      <c r="F901"/>
      <c r="G901"/>
      <c r="H901"/>
      <c r="I901"/>
      <c r="J901"/>
      <c r="K901"/>
      <c r="L901"/>
      <c r="M901"/>
      <c r="N901"/>
      <c r="O901"/>
      <c r="P901"/>
      <c r="Q901"/>
    </row>
    <row r="902" spans="2:17" x14ac:dyDescent="0.25">
      <c r="B902"/>
      <c r="C902"/>
      <c r="D902"/>
      <c r="E902"/>
      <c r="F902"/>
      <c r="G902"/>
      <c r="H902"/>
      <c r="I902"/>
      <c r="J902"/>
      <c r="K902"/>
      <c r="L902"/>
      <c r="M902"/>
      <c r="N902"/>
      <c r="O902"/>
      <c r="P902"/>
      <c r="Q902"/>
    </row>
    <row r="903" spans="2:17" x14ac:dyDescent="0.25">
      <c r="B903"/>
      <c r="C903"/>
      <c r="D903"/>
      <c r="E903"/>
      <c r="F903"/>
      <c r="G903"/>
      <c r="H903"/>
      <c r="I903"/>
      <c r="J903"/>
      <c r="K903"/>
      <c r="L903"/>
      <c r="M903"/>
      <c r="N903"/>
      <c r="O903"/>
      <c r="P903"/>
      <c r="Q903"/>
    </row>
    <row r="904" spans="2:17" x14ac:dyDescent="0.25">
      <c r="B904"/>
      <c r="C904"/>
      <c r="D904"/>
      <c r="E904"/>
      <c r="F904"/>
      <c r="G904"/>
      <c r="H904"/>
      <c r="I904"/>
      <c r="J904"/>
      <c r="K904"/>
      <c r="L904"/>
      <c r="M904"/>
      <c r="N904"/>
      <c r="O904"/>
      <c r="P904"/>
      <c r="Q904"/>
    </row>
    <row r="905" spans="2:17" x14ac:dyDescent="0.25">
      <c r="B905"/>
      <c r="C905"/>
      <c r="D905"/>
      <c r="E905"/>
      <c r="F905"/>
      <c r="G905"/>
      <c r="H905"/>
      <c r="I905"/>
      <c r="J905"/>
      <c r="K905"/>
      <c r="L905"/>
      <c r="M905"/>
      <c r="N905"/>
      <c r="O905"/>
      <c r="P905"/>
      <c r="Q905"/>
    </row>
    <row r="906" spans="2:17" x14ac:dyDescent="0.25">
      <c r="B906"/>
      <c r="C906"/>
      <c r="D906"/>
      <c r="E906"/>
      <c r="F906"/>
      <c r="G906"/>
      <c r="H906"/>
      <c r="I906"/>
      <c r="J906"/>
      <c r="K906"/>
      <c r="L906"/>
      <c r="M906"/>
      <c r="N906"/>
      <c r="O906"/>
      <c r="P906"/>
      <c r="Q906"/>
    </row>
    <row r="907" spans="2:17" x14ac:dyDescent="0.25">
      <c r="B907"/>
      <c r="C907"/>
      <c r="D907"/>
      <c r="E907"/>
      <c r="F907"/>
      <c r="G907"/>
      <c r="H907"/>
      <c r="I907"/>
      <c r="J907"/>
      <c r="K907"/>
      <c r="L907"/>
      <c r="M907"/>
      <c r="N907"/>
      <c r="O907"/>
      <c r="P907"/>
      <c r="Q907"/>
    </row>
    <row r="908" spans="2:17" x14ac:dyDescent="0.25">
      <c r="B908"/>
      <c r="C908"/>
      <c r="D908"/>
      <c r="E908"/>
      <c r="F908"/>
      <c r="G908"/>
      <c r="H908"/>
      <c r="I908"/>
      <c r="J908"/>
      <c r="K908"/>
      <c r="L908"/>
      <c r="M908"/>
      <c r="N908"/>
      <c r="O908"/>
      <c r="P908"/>
      <c r="Q908"/>
    </row>
    <row r="909" spans="2:17" x14ac:dyDescent="0.25">
      <c r="B909"/>
      <c r="C909"/>
      <c r="D909"/>
      <c r="E909"/>
      <c r="F909"/>
      <c r="G909"/>
      <c r="H909"/>
      <c r="I909"/>
      <c r="J909"/>
      <c r="K909"/>
      <c r="L909"/>
      <c r="M909"/>
      <c r="N909"/>
      <c r="O909"/>
      <c r="P909"/>
      <c r="Q909"/>
    </row>
    <row r="910" spans="2:17" x14ac:dyDescent="0.25">
      <c r="B910"/>
      <c r="C910"/>
      <c r="D910"/>
      <c r="E910"/>
      <c r="F910"/>
      <c r="G910"/>
      <c r="H910"/>
      <c r="I910"/>
      <c r="J910"/>
      <c r="K910"/>
      <c r="L910"/>
      <c r="M910"/>
      <c r="N910"/>
      <c r="O910"/>
      <c r="P910"/>
      <c r="Q910"/>
    </row>
    <row r="911" spans="2:17" x14ac:dyDescent="0.25">
      <c r="B911"/>
      <c r="C911"/>
      <c r="D911"/>
      <c r="E911"/>
      <c r="F911"/>
      <c r="G911"/>
      <c r="H911"/>
      <c r="I911"/>
      <c r="J911"/>
      <c r="K911"/>
      <c r="L911"/>
      <c r="M911"/>
      <c r="N911"/>
      <c r="O911"/>
      <c r="P911"/>
      <c r="Q911"/>
    </row>
    <row r="912" spans="2:17" x14ac:dyDescent="0.25">
      <c r="B912"/>
      <c r="C912"/>
      <c r="D912"/>
      <c r="E912"/>
      <c r="F912"/>
      <c r="G912"/>
      <c r="H912"/>
      <c r="I912"/>
      <c r="J912"/>
      <c r="K912"/>
      <c r="L912"/>
      <c r="M912"/>
      <c r="N912"/>
      <c r="O912"/>
      <c r="P912"/>
      <c r="Q912"/>
    </row>
    <row r="913" spans="2:17" x14ac:dyDescent="0.25">
      <c r="B913"/>
      <c r="C913"/>
      <c r="D913"/>
      <c r="E913"/>
      <c r="F913"/>
      <c r="G913"/>
      <c r="H913"/>
      <c r="I913"/>
      <c r="J913"/>
      <c r="K913"/>
      <c r="L913"/>
      <c r="M913"/>
      <c r="N913"/>
      <c r="O913"/>
      <c r="P913"/>
      <c r="Q913"/>
    </row>
    <row r="914" spans="2:17" x14ac:dyDescent="0.25">
      <c r="B914"/>
      <c r="C914"/>
      <c r="D914"/>
      <c r="E914"/>
      <c r="F914"/>
      <c r="G914"/>
      <c r="H914"/>
      <c r="I914"/>
      <c r="J914"/>
      <c r="K914"/>
      <c r="L914"/>
      <c r="M914"/>
      <c r="N914"/>
      <c r="O914"/>
      <c r="P914"/>
      <c r="Q914"/>
    </row>
    <row r="915" spans="2:17" x14ac:dyDescent="0.25">
      <c r="B915"/>
      <c r="C915"/>
      <c r="D915"/>
      <c r="E915"/>
      <c r="F915"/>
      <c r="G915"/>
      <c r="H915"/>
      <c r="I915"/>
      <c r="J915"/>
      <c r="K915"/>
      <c r="L915"/>
      <c r="M915"/>
      <c r="N915"/>
      <c r="O915"/>
      <c r="P915"/>
      <c r="Q915"/>
    </row>
    <row r="916" spans="2:17" x14ac:dyDescent="0.25">
      <c r="B916"/>
      <c r="C916"/>
      <c r="D916"/>
      <c r="E916"/>
      <c r="F916"/>
      <c r="G916"/>
      <c r="H916"/>
      <c r="I916"/>
      <c r="J916"/>
      <c r="K916"/>
      <c r="L916"/>
      <c r="M916"/>
      <c r="N916"/>
      <c r="O916"/>
      <c r="P916"/>
      <c r="Q916"/>
    </row>
    <row r="917" spans="2:17" x14ac:dyDescent="0.25">
      <c r="B917"/>
      <c r="C917"/>
      <c r="D917"/>
      <c r="E917"/>
      <c r="F917"/>
      <c r="G917"/>
      <c r="H917"/>
      <c r="I917"/>
      <c r="J917"/>
      <c r="K917"/>
      <c r="L917"/>
      <c r="M917"/>
      <c r="N917"/>
      <c r="O917"/>
      <c r="P917"/>
      <c r="Q917"/>
    </row>
    <row r="918" spans="2:17" x14ac:dyDescent="0.25">
      <c r="B918"/>
      <c r="C918"/>
      <c r="D918"/>
      <c r="E918"/>
      <c r="F918"/>
      <c r="G918"/>
      <c r="H918"/>
      <c r="I918"/>
      <c r="J918"/>
      <c r="K918"/>
      <c r="L918"/>
      <c r="M918"/>
      <c r="N918"/>
      <c r="O918"/>
      <c r="P918"/>
      <c r="Q918"/>
    </row>
    <row r="919" spans="2:17" x14ac:dyDescent="0.25">
      <c r="B919"/>
      <c r="C919"/>
      <c r="D919"/>
      <c r="E919"/>
      <c r="F919"/>
      <c r="G919"/>
      <c r="H919"/>
      <c r="I919"/>
      <c r="J919"/>
      <c r="K919"/>
      <c r="L919"/>
      <c r="M919"/>
      <c r="N919"/>
      <c r="O919"/>
      <c r="P919"/>
      <c r="Q919"/>
    </row>
    <row r="920" spans="2:17" x14ac:dyDescent="0.25">
      <c r="B920"/>
      <c r="C920"/>
      <c r="D920"/>
      <c r="E920"/>
      <c r="F920"/>
      <c r="G920"/>
      <c r="H920"/>
      <c r="I920"/>
      <c r="J920"/>
      <c r="K920"/>
      <c r="L920"/>
      <c r="M920"/>
      <c r="N920"/>
      <c r="O920"/>
      <c r="P920"/>
      <c r="Q920"/>
    </row>
    <row r="921" spans="2:17" x14ac:dyDescent="0.25">
      <c r="B921"/>
      <c r="C921"/>
      <c r="D921"/>
      <c r="E921"/>
      <c r="F921"/>
      <c r="G921"/>
      <c r="H921"/>
      <c r="I921"/>
      <c r="J921"/>
      <c r="K921"/>
      <c r="L921"/>
      <c r="M921"/>
      <c r="N921"/>
      <c r="O921"/>
      <c r="P921"/>
      <c r="Q921"/>
    </row>
    <row r="922" spans="2:17" x14ac:dyDescent="0.25">
      <c r="B922"/>
      <c r="C922"/>
      <c r="D922"/>
      <c r="E922"/>
      <c r="F922"/>
      <c r="G922"/>
      <c r="H922"/>
      <c r="I922"/>
      <c r="J922"/>
      <c r="K922"/>
      <c r="L922"/>
      <c r="M922"/>
      <c r="N922"/>
      <c r="O922"/>
      <c r="P922"/>
      <c r="Q922"/>
    </row>
    <row r="923" spans="2:17" x14ac:dyDescent="0.25">
      <c r="B923"/>
      <c r="C923"/>
      <c r="D923"/>
      <c r="E923"/>
      <c r="F923"/>
      <c r="G923"/>
      <c r="H923"/>
      <c r="I923"/>
      <c r="J923"/>
      <c r="K923"/>
      <c r="L923"/>
      <c r="M923"/>
      <c r="N923"/>
      <c r="O923"/>
      <c r="P923"/>
      <c r="Q923"/>
    </row>
    <row r="924" spans="2:17" x14ac:dyDescent="0.25">
      <c r="B924"/>
      <c r="C924"/>
      <c r="D924"/>
      <c r="E924"/>
      <c r="F924"/>
      <c r="G924"/>
      <c r="H924"/>
      <c r="I924"/>
      <c r="J924"/>
      <c r="K924"/>
      <c r="L924"/>
      <c r="M924"/>
      <c r="N924"/>
      <c r="O924"/>
      <c r="P924"/>
      <c r="Q924"/>
    </row>
    <row r="925" spans="2:17" x14ac:dyDescent="0.25">
      <c r="B925"/>
      <c r="C925"/>
      <c r="D925"/>
      <c r="E925"/>
      <c r="F925"/>
      <c r="G925"/>
      <c r="H925"/>
      <c r="I925"/>
      <c r="J925"/>
      <c r="K925"/>
      <c r="L925"/>
      <c r="M925"/>
      <c r="N925"/>
      <c r="O925"/>
      <c r="P925"/>
      <c r="Q925"/>
    </row>
    <row r="926" spans="2:17" x14ac:dyDescent="0.25">
      <c r="B926"/>
      <c r="C926"/>
      <c r="D926"/>
      <c r="E926"/>
      <c r="F926"/>
      <c r="G926"/>
      <c r="H926"/>
      <c r="I926"/>
      <c r="J926"/>
      <c r="K926"/>
      <c r="L926"/>
      <c r="M926"/>
      <c r="N926"/>
      <c r="O926"/>
      <c r="P926"/>
      <c r="Q926"/>
    </row>
    <row r="927" spans="2:17" x14ac:dyDescent="0.25">
      <c r="B927"/>
      <c r="C927"/>
      <c r="D927"/>
      <c r="E927"/>
      <c r="F927"/>
      <c r="G927"/>
      <c r="H927"/>
      <c r="I927"/>
      <c r="J927"/>
      <c r="K927"/>
      <c r="L927"/>
      <c r="M927"/>
      <c r="N927"/>
      <c r="O927"/>
      <c r="P927"/>
      <c r="Q927"/>
    </row>
    <row r="928" spans="2:17" x14ac:dyDescent="0.25">
      <c r="B928"/>
      <c r="C928"/>
      <c r="D928"/>
      <c r="E928"/>
      <c r="F928"/>
      <c r="G928"/>
      <c r="H928"/>
      <c r="I928"/>
      <c r="J928"/>
      <c r="K928"/>
      <c r="L928"/>
      <c r="M928"/>
      <c r="N928"/>
      <c r="O928"/>
      <c r="P928"/>
      <c r="Q928"/>
    </row>
    <row r="929" spans="2:17" x14ac:dyDescent="0.25">
      <c r="B929"/>
      <c r="C929"/>
      <c r="D929"/>
      <c r="E929"/>
      <c r="F929"/>
      <c r="G929"/>
      <c r="H929"/>
      <c r="I929"/>
      <c r="J929"/>
      <c r="K929"/>
      <c r="L929"/>
      <c r="M929"/>
      <c r="N929"/>
      <c r="O929"/>
      <c r="P929"/>
      <c r="Q929"/>
    </row>
    <row r="930" spans="2:17" x14ac:dyDescent="0.25">
      <c r="B930"/>
      <c r="C930"/>
      <c r="D930"/>
      <c r="E930"/>
      <c r="F930"/>
      <c r="G930"/>
      <c r="H930"/>
      <c r="I930"/>
      <c r="J930"/>
      <c r="K930"/>
      <c r="L930"/>
      <c r="M930"/>
      <c r="N930"/>
      <c r="O930"/>
      <c r="P930"/>
      <c r="Q930"/>
    </row>
    <row r="931" spans="2:17" x14ac:dyDescent="0.25">
      <c r="B931"/>
      <c r="C931"/>
      <c r="D931"/>
      <c r="E931"/>
      <c r="F931"/>
      <c r="G931"/>
      <c r="H931"/>
      <c r="I931"/>
      <c r="J931"/>
      <c r="K931"/>
      <c r="L931"/>
      <c r="M931"/>
      <c r="N931"/>
      <c r="O931"/>
      <c r="P931"/>
      <c r="Q931"/>
    </row>
    <row r="932" spans="2:17" x14ac:dyDescent="0.25">
      <c r="B932"/>
      <c r="C932"/>
      <c r="D932"/>
      <c r="E932"/>
      <c r="F932"/>
      <c r="G932"/>
      <c r="H932"/>
      <c r="I932"/>
      <c r="J932"/>
      <c r="K932"/>
      <c r="L932"/>
      <c r="M932"/>
      <c r="N932"/>
      <c r="O932"/>
      <c r="P932"/>
      <c r="Q932"/>
    </row>
    <row r="933" spans="2:17" x14ac:dyDescent="0.25">
      <c r="B933"/>
      <c r="C933"/>
      <c r="D933"/>
      <c r="E933"/>
      <c r="F933"/>
      <c r="G933"/>
      <c r="H933"/>
      <c r="I933"/>
      <c r="J933"/>
      <c r="K933"/>
      <c r="L933"/>
      <c r="M933"/>
      <c r="N933"/>
      <c r="O933"/>
      <c r="P933"/>
      <c r="Q933"/>
    </row>
    <row r="934" spans="2:17" x14ac:dyDescent="0.25">
      <c r="B934"/>
      <c r="C934"/>
      <c r="D934"/>
      <c r="E934"/>
      <c r="F934"/>
      <c r="G934"/>
      <c r="H934"/>
      <c r="I934"/>
      <c r="J934"/>
      <c r="K934"/>
      <c r="L934"/>
      <c r="M934"/>
      <c r="N934"/>
      <c r="O934"/>
      <c r="P934"/>
      <c r="Q934"/>
    </row>
    <row r="935" spans="2:17" x14ac:dyDescent="0.25">
      <c r="B935"/>
      <c r="C935"/>
      <c r="D935"/>
      <c r="E935"/>
      <c r="F935"/>
      <c r="G935"/>
      <c r="H935"/>
      <c r="I935"/>
      <c r="J935"/>
      <c r="K935"/>
      <c r="L935"/>
      <c r="M935"/>
      <c r="N935"/>
      <c r="O935"/>
      <c r="P935"/>
      <c r="Q935"/>
    </row>
    <row r="936" spans="2:17" x14ac:dyDescent="0.25">
      <c r="B936"/>
      <c r="C936"/>
      <c r="D936"/>
      <c r="E936"/>
      <c r="F936"/>
      <c r="G936"/>
      <c r="H936"/>
      <c r="I936"/>
      <c r="J936"/>
      <c r="K936"/>
      <c r="L936"/>
      <c r="M936"/>
      <c r="N936"/>
      <c r="O936"/>
      <c r="P936"/>
      <c r="Q936"/>
    </row>
    <row r="937" spans="2:17" x14ac:dyDescent="0.25">
      <c r="B937"/>
      <c r="C937"/>
      <c r="D937"/>
      <c r="E937"/>
      <c r="F937"/>
      <c r="G937"/>
      <c r="H937"/>
      <c r="I937"/>
      <c r="J937"/>
      <c r="K937"/>
      <c r="L937"/>
      <c r="M937"/>
      <c r="N937"/>
      <c r="O937"/>
      <c r="P937"/>
      <c r="Q937"/>
    </row>
    <row r="938" spans="2:17" x14ac:dyDescent="0.25">
      <c r="B938"/>
      <c r="C938"/>
      <c r="D938"/>
      <c r="E938"/>
      <c r="F938"/>
      <c r="G938"/>
      <c r="H938"/>
      <c r="I938"/>
      <c r="J938"/>
      <c r="K938"/>
      <c r="L938"/>
      <c r="M938"/>
      <c r="N938"/>
      <c r="O938"/>
      <c r="P938"/>
      <c r="Q938"/>
    </row>
    <row r="939" spans="2:17" x14ac:dyDescent="0.25">
      <c r="B939"/>
      <c r="C939"/>
      <c r="D939"/>
      <c r="E939"/>
      <c r="F939"/>
      <c r="G939"/>
      <c r="H939"/>
      <c r="I939"/>
      <c r="J939"/>
      <c r="K939"/>
      <c r="L939"/>
      <c r="M939"/>
      <c r="N939"/>
      <c r="O939"/>
      <c r="P939"/>
      <c r="Q939"/>
    </row>
    <row r="940" spans="2:17" x14ac:dyDescent="0.25">
      <c r="B940"/>
      <c r="C940"/>
      <c r="D940"/>
      <c r="E940"/>
      <c r="F940"/>
      <c r="G940"/>
      <c r="H940"/>
      <c r="I940"/>
      <c r="J940"/>
      <c r="K940"/>
      <c r="L940"/>
      <c r="M940"/>
      <c r="N940"/>
      <c r="O940"/>
      <c r="P940"/>
      <c r="Q940"/>
    </row>
    <row r="941" spans="2:17" x14ac:dyDescent="0.25">
      <c r="B941"/>
      <c r="C941"/>
      <c r="D941"/>
      <c r="E941"/>
      <c r="F941"/>
      <c r="G941"/>
      <c r="H941"/>
      <c r="I941"/>
      <c r="J941"/>
      <c r="K941"/>
      <c r="L941"/>
      <c r="M941"/>
      <c r="N941"/>
      <c r="O941"/>
      <c r="P941"/>
      <c r="Q941"/>
    </row>
    <row r="942" spans="2:17" x14ac:dyDescent="0.25">
      <c r="B942"/>
      <c r="C942"/>
      <c r="D942"/>
      <c r="E942"/>
      <c r="F942"/>
      <c r="G942"/>
      <c r="H942"/>
      <c r="I942"/>
      <c r="J942"/>
      <c r="K942"/>
      <c r="L942"/>
      <c r="M942"/>
      <c r="N942"/>
      <c r="O942"/>
      <c r="P942"/>
      <c r="Q942"/>
    </row>
    <row r="943" spans="2:17" x14ac:dyDescent="0.25">
      <c r="B943"/>
      <c r="C943"/>
      <c r="D943"/>
      <c r="E943"/>
      <c r="F943"/>
      <c r="G943"/>
      <c r="H943"/>
      <c r="I943"/>
      <c r="J943"/>
      <c r="K943"/>
      <c r="L943"/>
      <c r="M943"/>
      <c r="N943"/>
      <c r="O943"/>
      <c r="P943"/>
      <c r="Q943"/>
    </row>
    <row r="944" spans="2:17" x14ac:dyDescent="0.25">
      <c r="B944"/>
      <c r="C944"/>
      <c r="D944"/>
      <c r="E944"/>
      <c r="F944"/>
      <c r="G944"/>
      <c r="H944"/>
      <c r="I944"/>
      <c r="J944"/>
      <c r="K944"/>
      <c r="L944"/>
      <c r="M944"/>
      <c r="N944"/>
      <c r="O944"/>
      <c r="P944"/>
      <c r="Q944"/>
    </row>
    <row r="945" spans="2:17" x14ac:dyDescent="0.25">
      <c r="B945"/>
      <c r="C945"/>
      <c r="D945"/>
      <c r="E945"/>
      <c r="F945"/>
      <c r="G945"/>
      <c r="H945"/>
      <c r="I945"/>
      <c r="J945"/>
      <c r="K945"/>
      <c r="L945"/>
      <c r="M945"/>
      <c r="N945"/>
      <c r="O945"/>
      <c r="P945"/>
      <c r="Q945"/>
    </row>
    <row r="946" spans="2:17" x14ac:dyDescent="0.25">
      <c r="B946"/>
      <c r="C946"/>
      <c r="D946"/>
      <c r="E946"/>
      <c r="F946"/>
      <c r="G946"/>
      <c r="H946"/>
      <c r="I946"/>
      <c r="J946"/>
      <c r="K946"/>
      <c r="L946"/>
      <c r="M946"/>
      <c r="N946"/>
      <c r="O946"/>
      <c r="P946"/>
      <c r="Q946"/>
    </row>
    <row r="947" spans="2:17" x14ac:dyDescent="0.25">
      <c r="B947"/>
      <c r="C947"/>
      <c r="D947"/>
      <c r="E947"/>
      <c r="F947"/>
      <c r="G947"/>
      <c r="H947"/>
      <c r="I947"/>
      <c r="J947"/>
      <c r="K947"/>
      <c r="L947"/>
      <c r="M947"/>
      <c r="N947"/>
      <c r="O947"/>
      <c r="P947"/>
      <c r="Q947"/>
    </row>
    <row r="948" spans="2:17" x14ac:dyDescent="0.25">
      <c r="B948"/>
      <c r="C948"/>
      <c r="D948"/>
      <c r="E948"/>
      <c r="F948"/>
      <c r="G948"/>
      <c r="H948"/>
      <c r="I948"/>
      <c r="J948"/>
      <c r="K948"/>
      <c r="L948"/>
      <c r="M948"/>
      <c r="N948"/>
      <c r="O948"/>
      <c r="P948"/>
      <c r="Q948"/>
    </row>
    <row r="949" spans="2:17" x14ac:dyDescent="0.25">
      <c r="B949"/>
      <c r="C949"/>
      <c r="D949"/>
      <c r="E949"/>
      <c r="F949"/>
      <c r="G949"/>
      <c r="H949"/>
      <c r="I949"/>
      <c r="J949"/>
      <c r="K949"/>
      <c r="L949"/>
      <c r="M949"/>
      <c r="N949"/>
      <c r="O949"/>
      <c r="P949"/>
      <c r="Q949"/>
    </row>
    <row r="950" spans="2:17" x14ac:dyDescent="0.25">
      <c r="B950"/>
      <c r="C950"/>
      <c r="D950"/>
      <c r="E950"/>
      <c r="F950"/>
      <c r="G950"/>
      <c r="H950"/>
      <c r="I950"/>
      <c r="J950"/>
      <c r="K950"/>
      <c r="L950"/>
      <c r="M950"/>
      <c r="N950"/>
      <c r="O950"/>
      <c r="P950"/>
      <c r="Q950"/>
    </row>
    <row r="951" spans="2:17" x14ac:dyDescent="0.25">
      <c r="B951"/>
      <c r="C951"/>
      <c r="D951"/>
      <c r="E951"/>
      <c r="F951"/>
      <c r="G951"/>
      <c r="H951"/>
      <c r="I951"/>
      <c r="J951"/>
      <c r="K951"/>
      <c r="L951"/>
      <c r="M951"/>
      <c r="N951"/>
      <c r="O951"/>
      <c r="P951"/>
      <c r="Q951"/>
    </row>
    <row r="952" spans="2:17" x14ac:dyDescent="0.25">
      <c r="B952"/>
      <c r="C952"/>
      <c r="D952"/>
      <c r="E952"/>
      <c r="F952"/>
      <c r="G952"/>
      <c r="H952"/>
      <c r="I952"/>
      <c r="J952"/>
      <c r="K952"/>
      <c r="L952"/>
      <c r="M952"/>
      <c r="N952"/>
      <c r="O952"/>
      <c r="P952"/>
      <c r="Q952"/>
    </row>
    <row r="953" spans="2:17" x14ac:dyDescent="0.25">
      <c r="B953"/>
      <c r="C953"/>
      <c r="D953"/>
      <c r="E953"/>
      <c r="F953"/>
      <c r="G953"/>
      <c r="H953"/>
      <c r="I953"/>
      <c r="J953"/>
      <c r="K953"/>
      <c r="L953"/>
      <c r="M953"/>
      <c r="N953"/>
      <c r="O953"/>
      <c r="P953"/>
      <c r="Q953"/>
    </row>
    <row r="954" spans="2:17" x14ac:dyDescent="0.25">
      <c r="B954"/>
      <c r="C954"/>
      <c r="D954"/>
      <c r="E954"/>
      <c r="F954"/>
      <c r="G954"/>
      <c r="H954"/>
      <c r="I954"/>
      <c r="J954"/>
      <c r="K954"/>
      <c r="L954"/>
      <c r="M954"/>
      <c r="N954"/>
      <c r="O954"/>
      <c r="P954"/>
      <c r="Q954"/>
    </row>
    <row r="955" spans="2:17" x14ac:dyDescent="0.25">
      <c r="B955"/>
      <c r="C955"/>
      <c r="D955"/>
      <c r="E955"/>
      <c r="F955"/>
      <c r="G955"/>
      <c r="H955"/>
      <c r="I955"/>
      <c r="J955"/>
      <c r="K955"/>
      <c r="L955"/>
      <c r="M955"/>
      <c r="N955"/>
      <c r="O955"/>
      <c r="P955"/>
      <c r="Q955"/>
    </row>
    <row r="956" spans="2:17" x14ac:dyDescent="0.25">
      <c r="B956"/>
      <c r="C956"/>
      <c r="D956"/>
      <c r="E956"/>
      <c r="F956"/>
      <c r="G956"/>
      <c r="H956"/>
      <c r="I956"/>
      <c r="J956"/>
      <c r="K956"/>
      <c r="L956"/>
      <c r="M956"/>
      <c r="N956"/>
      <c r="O956"/>
      <c r="P956"/>
      <c r="Q956"/>
    </row>
    <row r="957" spans="2:17" x14ac:dyDescent="0.25">
      <c r="B957"/>
      <c r="C957"/>
      <c r="D957"/>
      <c r="E957"/>
      <c r="F957"/>
      <c r="G957"/>
      <c r="H957"/>
      <c r="I957"/>
      <c r="J957"/>
      <c r="K957"/>
      <c r="L957"/>
      <c r="M957"/>
      <c r="N957"/>
      <c r="O957"/>
      <c r="P957"/>
      <c r="Q957"/>
    </row>
    <row r="958" spans="2:17" x14ac:dyDescent="0.25">
      <c r="B958"/>
      <c r="C958"/>
      <c r="D958"/>
      <c r="E958"/>
      <c r="F958"/>
      <c r="G958"/>
      <c r="H958"/>
      <c r="I958"/>
      <c r="J958"/>
      <c r="K958"/>
      <c r="L958"/>
      <c r="M958"/>
      <c r="N958"/>
      <c r="O958"/>
      <c r="P958"/>
      <c r="Q958"/>
    </row>
    <row r="959" spans="2:17" x14ac:dyDescent="0.25">
      <c r="B959"/>
      <c r="C959"/>
      <c r="D959"/>
      <c r="E959"/>
      <c r="F959"/>
      <c r="G959"/>
      <c r="H959"/>
      <c r="I959"/>
      <c r="J959"/>
      <c r="K959"/>
      <c r="L959"/>
      <c r="M959"/>
      <c r="N959"/>
      <c r="O959"/>
      <c r="P959"/>
      <c r="Q959"/>
    </row>
    <row r="960" spans="2:17" x14ac:dyDescent="0.25">
      <c r="B960"/>
      <c r="C960"/>
      <c r="D960"/>
      <c r="E960"/>
      <c r="F960"/>
      <c r="G960"/>
      <c r="H960"/>
      <c r="I960"/>
      <c r="J960"/>
      <c r="K960"/>
      <c r="L960"/>
      <c r="M960"/>
      <c r="N960"/>
      <c r="O960"/>
      <c r="P960"/>
      <c r="Q960"/>
    </row>
    <row r="961" spans="2:17" x14ac:dyDescent="0.25">
      <c r="B961"/>
      <c r="C961"/>
      <c r="D961"/>
      <c r="E961"/>
      <c r="F961"/>
      <c r="G961"/>
      <c r="H961"/>
      <c r="I961"/>
      <c r="J961"/>
      <c r="K961"/>
      <c r="L961"/>
      <c r="M961"/>
      <c r="N961"/>
      <c r="O961"/>
      <c r="P961"/>
      <c r="Q961"/>
    </row>
    <row r="962" spans="2:17" x14ac:dyDescent="0.25">
      <c r="B962"/>
      <c r="C962"/>
      <c r="D962"/>
      <c r="E962"/>
      <c r="F962"/>
      <c r="G962"/>
      <c r="H962"/>
      <c r="I962"/>
      <c r="J962"/>
      <c r="K962"/>
      <c r="L962"/>
      <c r="M962"/>
      <c r="N962"/>
      <c r="O962"/>
      <c r="P962"/>
      <c r="Q962"/>
    </row>
    <row r="963" spans="2:17" x14ac:dyDescent="0.25">
      <c r="B963"/>
      <c r="C963"/>
      <c r="D963"/>
      <c r="E963"/>
      <c r="F963"/>
      <c r="G963"/>
      <c r="H963"/>
      <c r="I963"/>
      <c r="J963"/>
      <c r="K963"/>
      <c r="L963"/>
      <c r="M963"/>
      <c r="N963"/>
      <c r="O963"/>
      <c r="P963"/>
      <c r="Q963"/>
    </row>
    <row r="964" spans="2:17" x14ac:dyDescent="0.25">
      <c r="B964"/>
      <c r="C964"/>
      <c r="D964"/>
      <c r="E964"/>
      <c r="F964"/>
      <c r="G964"/>
      <c r="H964"/>
      <c r="I964"/>
      <c r="J964"/>
      <c r="K964"/>
      <c r="L964"/>
      <c r="M964"/>
      <c r="N964"/>
      <c r="O964"/>
      <c r="P964"/>
      <c r="Q964"/>
    </row>
    <row r="965" spans="2:17" x14ac:dyDescent="0.25">
      <c r="B965"/>
      <c r="C965"/>
      <c r="D965"/>
      <c r="E965"/>
      <c r="F965"/>
      <c r="G965"/>
      <c r="H965"/>
      <c r="I965"/>
      <c r="J965"/>
      <c r="K965"/>
      <c r="L965"/>
      <c r="M965"/>
      <c r="N965"/>
      <c r="O965"/>
      <c r="P965"/>
      <c r="Q965"/>
    </row>
    <row r="966" spans="2:17" x14ac:dyDescent="0.25">
      <c r="B966"/>
      <c r="C966"/>
      <c r="D966"/>
      <c r="E966"/>
      <c r="F966"/>
      <c r="G966"/>
      <c r="H966"/>
      <c r="I966"/>
      <c r="J966"/>
      <c r="K966"/>
      <c r="L966"/>
      <c r="M966"/>
      <c r="N966"/>
      <c r="O966"/>
      <c r="P966"/>
      <c r="Q966"/>
    </row>
    <row r="967" spans="2:17" x14ac:dyDescent="0.25">
      <c r="B967"/>
      <c r="C967"/>
      <c r="D967"/>
      <c r="E967"/>
      <c r="F967"/>
      <c r="G967"/>
      <c r="H967"/>
      <c r="I967"/>
      <c r="J967"/>
      <c r="K967"/>
      <c r="L967"/>
      <c r="M967"/>
      <c r="N967"/>
      <c r="O967"/>
      <c r="P967"/>
      <c r="Q967"/>
    </row>
    <row r="968" spans="2:17" x14ac:dyDescent="0.25">
      <c r="B968"/>
      <c r="C968"/>
      <c r="D968"/>
      <c r="E968"/>
      <c r="F968"/>
      <c r="G968"/>
      <c r="H968"/>
      <c r="I968"/>
      <c r="J968"/>
      <c r="K968"/>
      <c r="L968"/>
      <c r="M968"/>
      <c r="N968"/>
      <c r="O968"/>
      <c r="P968"/>
      <c r="Q968"/>
    </row>
    <row r="969" spans="2:17" x14ac:dyDescent="0.25">
      <c r="B969"/>
      <c r="C969"/>
      <c r="D969"/>
      <c r="E969"/>
      <c r="F969"/>
      <c r="G969"/>
      <c r="H969"/>
      <c r="I969"/>
      <c r="J969"/>
      <c r="K969"/>
      <c r="L969"/>
      <c r="M969"/>
      <c r="N969"/>
      <c r="O969"/>
      <c r="P969"/>
      <c r="Q969"/>
    </row>
    <row r="970" spans="2:17" x14ac:dyDescent="0.25">
      <c r="B970"/>
      <c r="C970"/>
      <c r="D970"/>
      <c r="E970"/>
      <c r="F970"/>
      <c r="G970"/>
      <c r="H970"/>
      <c r="I970"/>
      <c r="J970"/>
      <c r="K970"/>
      <c r="L970"/>
      <c r="M970"/>
      <c r="N970"/>
      <c r="O970"/>
      <c r="P970"/>
      <c r="Q970"/>
    </row>
    <row r="971" spans="2:17" x14ac:dyDescent="0.25">
      <c r="B971"/>
      <c r="C971"/>
      <c r="D971"/>
      <c r="E971"/>
      <c r="F971"/>
      <c r="G971"/>
      <c r="H971"/>
      <c r="I971"/>
      <c r="J971"/>
      <c r="K971"/>
      <c r="L971"/>
      <c r="M971"/>
      <c r="N971"/>
      <c r="O971"/>
      <c r="P971"/>
      <c r="Q971"/>
    </row>
    <row r="972" spans="2:17" x14ac:dyDescent="0.25">
      <c r="B972"/>
      <c r="C972"/>
      <c r="D972"/>
      <c r="E972"/>
      <c r="F972"/>
      <c r="G972"/>
      <c r="H972"/>
      <c r="I972"/>
      <c r="J972"/>
      <c r="K972"/>
      <c r="L972"/>
      <c r="M972"/>
      <c r="N972"/>
      <c r="O972"/>
      <c r="P972"/>
      <c r="Q972"/>
    </row>
    <row r="973" spans="2:17" x14ac:dyDescent="0.25">
      <c r="B973"/>
      <c r="C973"/>
      <c r="D973"/>
      <c r="E973"/>
      <c r="F973"/>
      <c r="G973"/>
      <c r="H973"/>
      <c r="I973"/>
      <c r="J973"/>
      <c r="K973"/>
      <c r="L973"/>
      <c r="M973"/>
      <c r="N973"/>
      <c r="O973"/>
      <c r="P973"/>
      <c r="Q973"/>
    </row>
    <row r="974" spans="2:17" x14ac:dyDescent="0.25">
      <c r="B974"/>
      <c r="C974"/>
      <c r="D974"/>
      <c r="E974"/>
      <c r="F974"/>
      <c r="G974"/>
      <c r="H974"/>
      <c r="I974"/>
      <c r="J974"/>
      <c r="K974"/>
      <c r="L974"/>
      <c r="M974"/>
      <c r="N974"/>
      <c r="O974"/>
      <c r="P974"/>
      <c r="Q974"/>
    </row>
    <row r="975" spans="2:17" x14ac:dyDescent="0.25">
      <c r="B975"/>
      <c r="C975"/>
      <c r="D975"/>
      <c r="E975"/>
      <c r="F975"/>
      <c r="G975"/>
      <c r="H975"/>
      <c r="I975"/>
      <c r="J975"/>
      <c r="K975"/>
      <c r="L975"/>
      <c r="M975"/>
      <c r="N975"/>
      <c r="O975"/>
      <c r="P975"/>
      <c r="Q975"/>
    </row>
    <row r="976" spans="2:17" x14ac:dyDescent="0.25">
      <c r="B976"/>
      <c r="C976"/>
      <c r="D976"/>
      <c r="E976"/>
      <c r="F976"/>
      <c r="G976"/>
      <c r="H976"/>
      <c r="I976"/>
      <c r="J976"/>
      <c r="K976"/>
      <c r="L976"/>
      <c r="M976"/>
      <c r="N976"/>
      <c r="O976"/>
      <c r="P976"/>
      <c r="Q976"/>
    </row>
    <row r="977" spans="2:17" x14ac:dyDescent="0.25">
      <c r="B977"/>
      <c r="C977"/>
      <c r="D977"/>
      <c r="E977"/>
      <c r="F977"/>
      <c r="G977"/>
      <c r="H977"/>
      <c r="I977"/>
      <c r="J977"/>
      <c r="K977"/>
      <c r="L977"/>
      <c r="M977"/>
      <c r="N977"/>
      <c r="O977"/>
      <c r="P977"/>
      <c r="Q977"/>
    </row>
    <row r="978" spans="2:17" x14ac:dyDescent="0.25">
      <c r="B978"/>
      <c r="C978"/>
      <c r="D978"/>
      <c r="E978"/>
      <c r="F978"/>
      <c r="G978"/>
      <c r="H978"/>
      <c r="I978"/>
      <c r="J978"/>
      <c r="K978"/>
      <c r="L978"/>
      <c r="M978"/>
      <c r="N978"/>
      <c r="O978"/>
      <c r="P978"/>
      <c r="Q978"/>
    </row>
    <row r="979" spans="2:17" x14ac:dyDescent="0.25">
      <c r="B979"/>
      <c r="C979"/>
      <c r="D979"/>
      <c r="E979"/>
      <c r="F979"/>
      <c r="G979"/>
      <c r="H979"/>
      <c r="I979"/>
      <c r="J979"/>
      <c r="K979"/>
      <c r="L979"/>
      <c r="M979"/>
      <c r="N979"/>
      <c r="O979"/>
      <c r="P979"/>
      <c r="Q979"/>
    </row>
    <row r="980" spans="2:17" x14ac:dyDescent="0.25">
      <c r="B980"/>
      <c r="C980"/>
      <c r="D980"/>
      <c r="E980"/>
      <c r="F980"/>
      <c r="G980"/>
      <c r="H980"/>
      <c r="I980"/>
      <c r="J980"/>
      <c r="K980"/>
      <c r="L980"/>
      <c r="M980"/>
      <c r="N980"/>
      <c r="O980"/>
      <c r="P980"/>
      <c r="Q980"/>
    </row>
    <row r="981" spans="2:17" x14ac:dyDescent="0.25">
      <c r="B981"/>
      <c r="C981"/>
      <c r="D981"/>
      <c r="E981"/>
      <c r="F981"/>
      <c r="G981"/>
      <c r="H981"/>
      <c r="I981"/>
      <c r="J981"/>
      <c r="K981"/>
      <c r="L981"/>
      <c r="M981"/>
      <c r="N981"/>
      <c r="O981"/>
      <c r="P981"/>
      <c r="Q981"/>
    </row>
    <row r="982" spans="2:17" x14ac:dyDescent="0.25">
      <c r="B982"/>
      <c r="C982"/>
      <c r="D982"/>
      <c r="E982"/>
      <c r="F982"/>
      <c r="G982"/>
      <c r="H982"/>
      <c r="I982"/>
      <c r="J982"/>
      <c r="K982"/>
      <c r="L982"/>
      <c r="M982"/>
      <c r="N982"/>
      <c r="O982"/>
      <c r="P982"/>
      <c r="Q982"/>
    </row>
    <row r="983" spans="2:17" x14ac:dyDescent="0.25">
      <c r="B983"/>
      <c r="C983"/>
      <c r="D983"/>
      <c r="E983"/>
      <c r="F983"/>
      <c r="G983"/>
      <c r="H983"/>
      <c r="I983"/>
      <c r="J983"/>
      <c r="K983"/>
      <c r="L983"/>
      <c r="M983"/>
      <c r="N983"/>
      <c r="O983"/>
      <c r="P983"/>
      <c r="Q983"/>
    </row>
    <row r="984" spans="2:17" x14ac:dyDescent="0.25">
      <c r="B984"/>
      <c r="C984"/>
      <c r="D984"/>
      <c r="E984"/>
      <c r="F984"/>
      <c r="G984"/>
      <c r="H984"/>
      <c r="I984"/>
      <c r="J984"/>
      <c r="K984"/>
      <c r="L984"/>
      <c r="M984"/>
      <c r="N984"/>
      <c r="O984"/>
      <c r="P984"/>
      <c r="Q984"/>
    </row>
    <row r="985" spans="2:17" x14ac:dyDescent="0.25">
      <c r="B985"/>
      <c r="C985"/>
      <c r="D985"/>
      <c r="E985"/>
      <c r="F985"/>
      <c r="G985"/>
      <c r="H985"/>
      <c r="I985"/>
      <c r="J985"/>
      <c r="K985"/>
      <c r="L985"/>
      <c r="M985"/>
      <c r="N985"/>
      <c r="O985"/>
      <c r="P985"/>
      <c r="Q985"/>
    </row>
    <row r="986" spans="2:17" x14ac:dyDescent="0.25">
      <c r="B986"/>
      <c r="C986"/>
      <c r="D986"/>
      <c r="E986"/>
      <c r="F986"/>
      <c r="G986"/>
      <c r="H986"/>
      <c r="I986"/>
      <c r="J986"/>
      <c r="K986"/>
      <c r="L986"/>
      <c r="M986"/>
      <c r="N986"/>
      <c r="O986"/>
      <c r="P986"/>
      <c r="Q986"/>
    </row>
    <row r="987" spans="2:17" x14ac:dyDescent="0.25">
      <c r="B987"/>
      <c r="C987"/>
      <c r="D987"/>
      <c r="E987"/>
      <c r="F987"/>
      <c r="G987"/>
      <c r="H987"/>
      <c r="I987"/>
      <c r="J987"/>
      <c r="K987"/>
      <c r="L987"/>
      <c r="M987"/>
      <c r="N987"/>
      <c r="O987"/>
      <c r="P987"/>
      <c r="Q987"/>
    </row>
    <row r="988" spans="2:17" x14ac:dyDescent="0.25">
      <c r="B988"/>
      <c r="C988"/>
      <c r="D988"/>
      <c r="E988"/>
      <c r="F988"/>
      <c r="G988"/>
      <c r="H988"/>
      <c r="I988"/>
      <c r="J988"/>
      <c r="K988"/>
      <c r="L988"/>
      <c r="M988"/>
      <c r="N988"/>
      <c r="O988"/>
      <c r="P988"/>
      <c r="Q988"/>
    </row>
    <row r="989" spans="2:17" x14ac:dyDescent="0.25">
      <c r="B989"/>
      <c r="C989"/>
      <c r="D989"/>
      <c r="E989"/>
      <c r="F989"/>
      <c r="G989"/>
      <c r="H989"/>
      <c r="I989"/>
      <c r="J989"/>
      <c r="K989"/>
      <c r="L989"/>
      <c r="M989"/>
      <c r="N989"/>
      <c r="O989"/>
      <c r="P989"/>
      <c r="Q989"/>
    </row>
    <row r="990" spans="2:17" x14ac:dyDescent="0.25">
      <c r="B990"/>
      <c r="C990"/>
      <c r="D990"/>
      <c r="E990"/>
      <c r="F990"/>
      <c r="G990"/>
      <c r="H990"/>
      <c r="I990"/>
      <c r="J990"/>
      <c r="K990"/>
      <c r="L990"/>
      <c r="M990"/>
      <c r="N990"/>
      <c r="O990"/>
      <c r="P990"/>
      <c r="Q990"/>
    </row>
    <row r="991" spans="2:17" x14ac:dyDescent="0.25">
      <c r="B991"/>
      <c r="C991"/>
      <c r="D991"/>
      <c r="E991"/>
      <c r="F991"/>
      <c r="G991"/>
      <c r="H991"/>
      <c r="I991"/>
      <c r="J991"/>
      <c r="K991"/>
      <c r="L991"/>
      <c r="M991"/>
      <c r="N991"/>
      <c r="O991"/>
      <c r="P991"/>
      <c r="Q991"/>
    </row>
    <row r="992" spans="2:17" x14ac:dyDescent="0.25">
      <c r="B992"/>
      <c r="C992"/>
      <c r="D992"/>
      <c r="E992"/>
      <c r="F992"/>
      <c r="G992"/>
      <c r="H992"/>
      <c r="I992"/>
      <c r="J992"/>
      <c r="K992"/>
      <c r="L992"/>
      <c r="M992"/>
      <c r="N992"/>
      <c r="O992"/>
      <c r="P992"/>
      <c r="Q992"/>
    </row>
    <row r="993" spans="2:17" x14ac:dyDescent="0.25">
      <c r="B993"/>
      <c r="C993"/>
      <c r="D993"/>
      <c r="E993"/>
      <c r="F993"/>
      <c r="G993"/>
      <c r="H993"/>
      <c r="I993"/>
      <c r="J993"/>
      <c r="K993"/>
      <c r="L993"/>
      <c r="M993"/>
      <c r="N993"/>
      <c r="O993"/>
      <c r="P993"/>
      <c r="Q993"/>
    </row>
    <row r="994" spans="2:17" x14ac:dyDescent="0.25">
      <c r="B994"/>
      <c r="C994"/>
      <c r="D994"/>
      <c r="E994"/>
      <c r="F994"/>
      <c r="G994"/>
      <c r="H994"/>
      <c r="I994"/>
      <c r="J994"/>
      <c r="K994"/>
      <c r="L994"/>
      <c r="M994"/>
      <c r="N994"/>
      <c r="O994"/>
      <c r="P994"/>
      <c r="Q994"/>
    </row>
    <row r="995" spans="2:17" x14ac:dyDescent="0.25">
      <c r="B995"/>
      <c r="C995"/>
      <c r="D995"/>
      <c r="E995"/>
      <c r="F995"/>
      <c r="G995"/>
      <c r="H995"/>
      <c r="I995"/>
      <c r="J995"/>
      <c r="K995"/>
      <c r="L995"/>
      <c r="M995"/>
      <c r="N995"/>
      <c r="O995"/>
      <c r="P995"/>
      <c r="Q995"/>
    </row>
    <row r="996" spans="2:17" x14ac:dyDescent="0.25">
      <c r="B996"/>
      <c r="C996"/>
      <c r="D996"/>
      <c r="E996"/>
      <c r="F996"/>
      <c r="G996"/>
      <c r="H996"/>
      <c r="I996"/>
      <c r="J996"/>
      <c r="K996"/>
      <c r="L996"/>
      <c r="M996"/>
      <c r="N996"/>
      <c r="O996"/>
      <c r="P996"/>
      <c r="Q996"/>
    </row>
    <row r="997" spans="2:17" x14ac:dyDescent="0.25">
      <c r="B997"/>
      <c r="C997"/>
      <c r="D997"/>
      <c r="E997"/>
      <c r="F997"/>
      <c r="G997"/>
      <c r="H997"/>
      <c r="I997"/>
      <c r="J997"/>
      <c r="K997"/>
      <c r="L997"/>
      <c r="M997"/>
      <c r="N997"/>
      <c r="O997"/>
      <c r="P997"/>
      <c r="Q997"/>
    </row>
    <row r="998" spans="2:17" x14ac:dyDescent="0.25">
      <c r="B998"/>
      <c r="C998"/>
      <c r="D998"/>
      <c r="E998"/>
      <c r="F998"/>
      <c r="G998"/>
      <c r="H998"/>
      <c r="I998"/>
      <c r="J998"/>
      <c r="K998"/>
      <c r="L998"/>
      <c r="M998"/>
      <c r="N998"/>
      <c r="O998"/>
      <c r="P998"/>
      <c r="Q998"/>
    </row>
    <row r="999" spans="2:17" x14ac:dyDescent="0.25">
      <c r="B999"/>
      <c r="C999"/>
      <c r="D999"/>
      <c r="E999"/>
      <c r="F999"/>
      <c r="G999"/>
      <c r="H999"/>
      <c r="I999"/>
      <c r="J999"/>
      <c r="K999"/>
      <c r="L999"/>
      <c r="M999"/>
      <c r="N999"/>
      <c r="O999"/>
      <c r="P999"/>
      <c r="Q999"/>
    </row>
  </sheetData>
  <sheetProtection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C21B3-847C-4D58-A2EE-3888042D9B1C}">
  <sheetPr codeName="Sheet2"/>
  <dimension ref="A1:AA1009"/>
  <sheetViews>
    <sheetView zoomScaleNormal="100" workbookViewId="0">
      <selection activeCell="J7" sqref="J7"/>
    </sheetView>
  </sheetViews>
  <sheetFormatPr defaultColWidth="8.85546875" defaultRowHeight="15" x14ac:dyDescent="0.25"/>
  <cols>
    <col min="1" max="1" width="3.42578125" style="1" customWidth="1"/>
    <col min="2" max="2" width="12.7109375" style="39"/>
    <col min="3" max="3" width="17.42578125" style="41" customWidth="1"/>
    <col min="4" max="4" width="12.7109375" style="41"/>
    <col min="5" max="5" width="9" style="47" customWidth="1"/>
    <col min="6" max="6" width="7.5703125" style="45" customWidth="1"/>
    <col min="7" max="7" width="13.7109375" style="94" customWidth="1"/>
    <col min="8" max="8" width="9" style="41" customWidth="1"/>
    <col min="9" max="9" width="10.140625" style="41" customWidth="1"/>
    <col min="10" max="10" width="12" style="43" bestFit="1" customWidth="1"/>
    <col min="11" max="11" width="10.28515625" style="41" customWidth="1"/>
    <col min="12" max="12" width="9.7109375" style="95" customWidth="1"/>
    <col min="13" max="13" width="12.7109375" style="44"/>
    <col min="14" max="15" width="12.7109375" style="45"/>
    <col min="16" max="17" width="12.7109375" style="41"/>
    <col min="18" max="18" width="12.7109375" style="46"/>
    <col min="19" max="19" width="8.28515625" style="7" customWidth="1"/>
    <col min="20" max="20" width="24.85546875" style="81" bestFit="1" customWidth="1"/>
    <col min="21" max="25" width="11.85546875" style="77" bestFit="1" customWidth="1"/>
    <col min="26" max="26" width="13.5703125" style="79" customWidth="1"/>
    <col min="27" max="16384" width="8.85546875" style="2"/>
  </cols>
  <sheetData>
    <row r="1" spans="1:27" x14ac:dyDescent="0.25">
      <c r="B1" s="2"/>
      <c r="C1" s="1"/>
      <c r="D1" s="2"/>
      <c r="E1" s="1"/>
      <c r="F1" s="2"/>
      <c r="G1" s="1"/>
      <c r="H1" s="2"/>
      <c r="I1" s="1"/>
      <c r="J1" s="2"/>
      <c r="K1" s="1"/>
      <c r="L1" s="2"/>
      <c r="M1" s="1"/>
      <c r="N1" s="2"/>
      <c r="O1" s="1"/>
      <c r="P1" s="2"/>
      <c r="Q1" s="1"/>
      <c r="R1" s="2"/>
      <c r="S1" s="1"/>
      <c r="T1" s="2"/>
      <c r="U1" s="1"/>
      <c r="V1" s="2"/>
      <c r="W1" s="1"/>
      <c r="X1" s="2"/>
      <c r="Y1" s="1"/>
      <c r="Z1" s="2"/>
      <c r="AA1" s="1"/>
    </row>
    <row r="2" spans="1:27" ht="15.75" thickBot="1" x14ac:dyDescent="0.3">
      <c r="A2" s="4"/>
      <c r="B2" s="3"/>
      <c r="C2" s="4"/>
      <c r="D2" s="3"/>
      <c r="E2" s="4"/>
      <c r="F2" s="3"/>
      <c r="G2" s="4"/>
      <c r="H2" s="3"/>
      <c r="I2" s="61"/>
      <c r="J2" s="12"/>
      <c r="K2" s="61"/>
      <c r="L2" s="12"/>
      <c r="M2" s="61"/>
      <c r="N2" s="12"/>
      <c r="O2" s="61"/>
      <c r="P2" s="12"/>
      <c r="Q2" s="61"/>
      <c r="R2" s="12"/>
      <c r="S2" s="12"/>
      <c r="T2" s="2"/>
      <c r="U2" s="2"/>
      <c r="V2" s="2"/>
      <c r="W2" s="2"/>
      <c r="X2" s="2"/>
      <c r="Y2" s="2"/>
      <c r="Z2" s="2"/>
    </row>
    <row r="3" spans="1:27" ht="15.75" thickBot="1" x14ac:dyDescent="0.3">
      <c r="B3" s="14" t="s">
        <v>9</v>
      </c>
      <c r="C3" s="15" t="e" vm="2">
        <v>#VALUE!</v>
      </c>
      <c r="D3" s="16" t="s">
        <v>26</v>
      </c>
      <c r="E3" s="17">
        <v>5.0000000000000001E-4</v>
      </c>
      <c r="F3" s="18"/>
      <c r="G3" s="184">
        <v>0.94</v>
      </c>
      <c r="H3" s="19"/>
      <c r="I3" s="11"/>
      <c r="J3" s="12"/>
      <c r="K3" s="61"/>
      <c r="L3" s="12"/>
      <c r="M3" s="61"/>
      <c r="N3" s="11"/>
      <c r="O3" s="11"/>
      <c r="P3" s="11"/>
      <c r="Q3" s="11"/>
      <c r="R3" s="11"/>
      <c r="S3" s="11"/>
      <c r="T3" s="82"/>
      <c r="U3" s="83" t="s">
        <v>64</v>
      </c>
      <c r="V3" s="83" t="s">
        <v>63</v>
      </c>
      <c r="W3" s="83" t="s">
        <v>65</v>
      </c>
      <c r="X3" s="83" t="s">
        <v>66</v>
      </c>
      <c r="Y3" s="88" t="s">
        <v>67</v>
      </c>
      <c r="Z3" s="89"/>
    </row>
    <row r="4" spans="1:27" ht="14.45" customHeight="1" x14ac:dyDescent="0.25">
      <c r="B4" s="20" t="s">
        <v>10</v>
      </c>
      <c r="C4" s="21" cm="1">
        <f t="array" ref="C4">_FV(C3,"Price")*10</f>
        <v>749.2</v>
      </c>
      <c r="D4" s="22" t="s">
        <v>11</v>
      </c>
      <c r="E4" s="23">
        <v>0</v>
      </c>
      <c r="F4" s="24"/>
      <c r="G4" s="25"/>
      <c r="H4" s="26"/>
      <c r="I4" s="11"/>
      <c r="J4" s="12"/>
      <c r="K4" s="61"/>
      <c r="L4" s="12"/>
      <c r="M4" s="61"/>
      <c r="N4" s="11"/>
      <c r="O4" s="11"/>
      <c r="P4" s="11"/>
      <c r="Q4" s="263" t="s">
        <v>86</v>
      </c>
      <c r="R4" s="263"/>
      <c r="S4" s="11"/>
      <c r="T4" s="81" t="s">
        <v>1</v>
      </c>
      <c r="U4" s="49"/>
      <c r="V4" s="49"/>
      <c r="W4" s="49"/>
      <c r="X4" s="49"/>
      <c r="Y4" s="49"/>
      <c r="Z4" s="92">
        <f>COUNTA(U4:Y4)</f>
        <v>0</v>
      </c>
    </row>
    <row r="5" spans="1:27" ht="14.45" customHeight="1" x14ac:dyDescent="0.25">
      <c r="B5" s="20" t="s">
        <v>12</v>
      </c>
      <c r="C5" s="27">
        <v>44610.729166666664</v>
      </c>
      <c r="D5" s="22" t="s">
        <v>2</v>
      </c>
      <c r="E5" s="28" t="s">
        <v>8</v>
      </c>
      <c r="F5" s="24"/>
      <c r="G5" s="25"/>
      <c r="H5" s="26"/>
      <c r="I5" s="11"/>
      <c r="J5" s="62"/>
      <c r="K5" s="67"/>
      <c r="L5" s="11"/>
      <c r="M5" s="11"/>
      <c r="N5" s="11"/>
      <c r="O5" s="11"/>
      <c r="P5" s="11"/>
      <c r="Q5" s="263"/>
      <c r="R5" s="263"/>
      <c r="S5" s="11"/>
      <c r="T5" s="81" t="s">
        <v>89</v>
      </c>
      <c r="U5" s="91"/>
      <c r="V5" s="91"/>
      <c r="W5" s="91"/>
      <c r="X5" s="49"/>
      <c r="Y5" s="75"/>
      <c r="Z5" s="92">
        <f>COUNTA(T10:T1048576)</f>
        <v>0</v>
      </c>
    </row>
    <row r="6" spans="1:27" ht="15" customHeight="1" thickBot="1" x14ac:dyDescent="0.3">
      <c r="B6" s="29" t="s">
        <v>25</v>
      </c>
      <c r="C6" s="30">
        <f ca="1">IF(C5="","",(C5-NOW())/days_yr)</f>
        <v>-0.91933502104090103</v>
      </c>
      <c r="D6" s="31" t="s">
        <v>27</v>
      </c>
      <c r="E6" s="32">
        <v>25</v>
      </c>
      <c r="F6" s="33"/>
      <c r="G6" s="34"/>
      <c r="H6" s="35"/>
      <c r="I6" s="11"/>
      <c r="J6" s="63"/>
      <c r="K6" s="11"/>
      <c r="L6" s="7"/>
      <c r="M6" s="11"/>
      <c r="N6" s="11"/>
      <c r="O6" s="11"/>
      <c r="P6" s="11"/>
      <c r="Q6" s="263"/>
      <c r="R6" s="263"/>
      <c r="S6" s="11"/>
      <c r="T6" s="81" t="s">
        <v>76</v>
      </c>
      <c r="U6" s="49"/>
      <c r="V6" s="49"/>
      <c r="W6" s="49"/>
      <c r="X6" s="49"/>
      <c r="Y6" s="75"/>
      <c r="Z6" s="90"/>
    </row>
    <row r="7" spans="1:27" ht="15.75" thickBot="1" x14ac:dyDescent="0.3">
      <c r="A7" s="8"/>
      <c r="B7" s="9"/>
      <c r="C7" s="10"/>
      <c r="D7" s="11"/>
      <c r="E7" s="9"/>
      <c r="F7" s="9"/>
      <c r="G7" s="9"/>
      <c r="H7" s="9"/>
      <c r="I7" s="11"/>
      <c r="J7" s="187"/>
      <c r="K7" s="64"/>
      <c r="L7" s="7"/>
      <c r="M7" s="11"/>
      <c r="N7" s="11"/>
      <c r="O7" s="11"/>
      <c r="P7" s="11"/>
      <c r="Q7" s="264"/>
      <c r="R7" s="264"/>
      <c r="S7" s="11"/>
      <c r="T7" s="81" t="s">
        <v>87</v>
      </c>
      <c r="U7" s="169" t="str" cm="1">
        <f t="array" ref="U7">IFERROR(_xlfn.IFS(AND(U4="Put",U6="Short"),INDEX($K$10:$K$1048576,MATCH(U$5,J$10:J$1048576,0)),AND(U4="Put",U6="Long"),INDEX($L$10:$L$1048576,MATCH($U$5,$J$10:$J$1048576,0)),AND(U4="Call",U6="Short"),INDEX($I$10:$I$1048576,MATCH($U$5,$J$10:$J$1048576,0)),AND(U4="Call",U6="Long"),INDEX($H$10:$H$1048576,MATCH($U$5,$J$10:$J$1048576,0))),"")</f>
        <v/>
      </c>
      <c r="V7" s="169" t="str" cm="1">
        <f t="array" ref="V7">IFERROR(_xlfn.IFS(AND(V4="Put",V6="Short"),INDEX($K$10:$K$1048576,MATCH(V$5,J$10:J$1048576,0)),AND(V4="Put",V6="Long"),INDEX($L$10:$L$1048576,MATCH($V$5,$J$10:$J$1048576,0)),AND(V4="Call",V6="Short"),INDEX($I$10:$I$1048576,MATCH($V$5,$J$10:$J$1048576,0)),AND(V4="Call",V6="Long"),INDEX($H$10:$H$1048576,MATCH($V$5,$J$10:$J$1048576,0))),"")</f>
        <v/>
      </c>
      <c r="W7" s="169" t="str" cm="1">
        <f t="array" ref="W7">IFERROR(_xlfn.IFS(AND(W4="Put",W6="Short"),INDEX($K$10:$K$1048576,MATCH(W$5,J$10:J$1048576,0)),AND(W4="Put",W6="Long"),INDEX($L$10:$L$1048576,MATCH($W$5,$J$10:$J$1048576,0)),AND(W4="Call",W6="Short"),INDEX($I$10:$I$1048576,MATCH($W$5,$J$10:$J$1048576,0)),AND(W4="Call",W6="Long"),INDEX($H$10:$H$1048576,MATCH($W$5,$J$10:$J$1048576,0))),"")</f>
        <v/>
      </c>
      <c r="X7" s="169" t="str" cm="1">
        <f t="array" ref="X7">IFERROR(_xlfn.IFS(AND(X4="Put",X6="Short"),INDEX($K$10:$K$1048576,MATCH(X$5,J$10:J$1048576,0)),AND(X4="Put",X6="Long"),INDEX($L$10:$L$1048576,MATCH($X$5,$J$10:$J$1048576,0)),AND(X4="Call",X6="Short"),INDEX($I$10:$I$1048576,MATCH($X$5,$J$10:$J$1048576,0)),AND(X4="Call",X6="Long"),INDEX($H$10:$H$1048576,MATCH($X$5,$J$10:$J$1048576,0))),"")</f>
        <v/>
      </c>
      <c r="Y7" s="170" t="str" cm="1">
        <f t="array" ref="Y7">IFERROR(_xlfn.IFS(AND(Y4="Put",Y6="Short"),INDEX($K$10:$K$1048576,MATCH(Y$5,J$10:J$1048576,0)),AND(Y4="Put",Y6="Long"),INDEX($L$10:$L$1048576,MATCH($Y$5,$J$10:$J$1048576,0)),AND(Y4="Call",Y6="Short"),INDEX($I$10:$I$1048576,MATCH($Y$5,$J$10:$J$1048576,0)),AND(Y4="Call",Y6="Long"),INDEX($H$10:$H$1048576,MATCH($Y$5,$J$10:$J$1048576,0))),"")</f>
        <v/>
      </c>
      <c r="Z7" s="90"/>
    </row>
    <row r="8" spans="1:27" ht="15.75" thickBot="1" x14ac:dyDescent="0.3">
      <c r="B8" s="258" t="s">
        <v>7</v>
      </c>
      <c r="C8" s="259"/>
      <c r="D8" s="259"/>
      <c r="E8" s="259"/>
      <c r="F8" s="259"/>
      <c r="G8" s="259"/>
      <c r="H8" s="259"/>
      <c r="I8" s="259"/>
      <c r="J8" s="260" t="s">
        <v>0</v>
      </c>
      <c r="K8" s="259" t="s">
        <v>5</v>
      </c>
      <c r="L8" s="259"/>
      <c r="M8" s="259"/>
      <c r="N8" s="259"/>
      <c r="O8" s="259"/>
      <c r="P8" s="259"/>
      <c r="Q8" s="259"/>
      <c r="R8" s="262"/>
      <c r="S8" s="11"/>
      <c r="T8" s="81" t="s">
        <v>77</v>
      </c>
      <c r="U8" s="49"/>
      <c r="V8" s="49"/>
      <c r="W8" s="49"/>
      <c r="X8" s="49"/>
      <c r="Y8" s="49"/>
      <c r="Z8" s="78"/>
    </row>
    <row r="9" spans="1:27" ht="15.75" thickBot="1" x14ac:dyDescent="0.3">
      <c r="B9" s="36" t="s">
        <v>34</v>
      </c>
      <c r="C9" s="37" t="s">
        <v>15</v>
      </c>
      <c r="D9" s="37" t="s">
        <v>35</v>
      </c>
      <c r="E9" s="37" t="s">
        <v>16</v>
      </c>
      <c r="F9" s="37" t="s">
        <v>17</v>
      </c>
      <c r="G9" s="37" t="s">
        <v>46</v>
      </c>
      <c r="H9" s="37" t="s">
        <v>18</v>
      </c>
      <c r="I9" s="37" t="s">
        <v>19</v>
      </c>
      <c r="J9" s="261"/>
      <c r="K9" s="37" t="s">
        <v>19</v>
      </c>
      <c r="L9" s="37" t="s">
        <v>18</v>
      </c>
      <c r="M9" s="37" t="s">
        <v>47</v>
      </c>
      <c r="N9" s="37" t="s">
        <v>17</v>
      </c>
      <c r="O9" s="37" t="s">
        <v>16</v>
      </c>
      <c r="P9" s="37" t="s">
        <v>20</v>
      </c>
      <c r="Q9" s="37" t="s">
        <v>15</v>
      </c>
      <c r="R9" s="38" t="s">
        <v>21</v>
      </c>
      <c r="S9" s="11"/>
      <c r="T9" s="82" t="s">
        <v>3</v>
      </c>
      <c r="U9" s="84" t="s">
        <v>69</v>
      </c>
      <c r="V9" s="84" t="s">
        <v>70</v>
      </c>
      <c r="W9" s="84" t="s">
        <v>71</v>
      </c>
      <c r="X9" s="84" t="s">
        <v>72</v>
      </c>
      <c r="Y9" s="84" t="s">
        <v>73</v>
      </c>
      <c r="Z9" s="80" t="s">
        <v>68</v>
      </c>
    </row>
    <row r="10" spans="1:27" x14ac:dyDescent="0.25">
      <c r="A10" s="66"/>
      <c r="C10" s="40"/>
      <c r="E10" s="42"/>
      <c r="F10" s="42"/>
      <c r="Q10" s="40"/>
      <c r="S10" s="65"/>
      <c r="T10" s="186"/>
      <c r="Z10" s="79" t="str">
        <f>IF(T10&lt;&gt;"",SUM(U10:Y10),"")</f>
        <v/>
      </c>
    </row>
    <row r="11" spans="1:27" x14ac:dyDescent="0.25">
      <c r="A11" s="66"/>
      <c r="C11" s="40"/>
      <c r="E11" s="42"/>
      <c r="F11" s="42"/>
      <c r="Q11" s="40"/>
      <c r="S11" s="65"/>
      <c r="T11" s="186"/>
      <c r="Z11" s="79" t="str">
        <f t="shared" ref="Z11:Z74" si="0">IF(T11&lt;&gt;"",SUM(U11:Y11),"")</f>
        <v/>
      </c>
    </row>
    <row r="12" spans="1:27" x14ac:dyDescent="0.25">
      <c r="A12" s="66"/>
      <c r="C12" s="40"/>
      <c r="E12" s="42"/>
      <c r="F12" s="42"/>
      <c r="Q12" s="40"/>
      <c r="S12" s="65"/>
      <c r="T12" s="186"/>
      <c r="Z12" s="79" t="str">
        <f t="shared" si="0"/>
        <v/>
      </c>
    </row>
    <row r="13" spans="1:27" x14ac:dyDescent="0.25">
      <c r="A13" s="66"/>
      <c r="C13" s="40"/>
      <c r="E13" s="42"/>
      <c r="F13" s="42"/>
      <c r="Q13" s="40"/>
      <c r="S13" s="65"/>
      <c r="T13" s="186"/>
      <c r="Z13" s="79" t="str">
        <f t="shared" si="0"/>
        <v/>
      </c>
    </row>
    <row r="14" spans="1:27" x14ac:dyDescent="0.25">
      <c r="A14" s="66"/>
      <c r="C14" s="40"/>
      <c r="E14" s="42"/>
      <c r="F14" s="42"/>
      <c r="Q14" s="40"/>
      <c r="S14" s="65"/>
      <c r="T14" s="186"/>
      <c r="Z14" s="79" t="str">
        <f t="shared" si="0"/>
        <v/>
      </c>
    </row>
    <row r="15" spans="1:27" x14ac:dyDescent="0.25">
      <c r="A15" s="66"/>
      <c r="C15" s="40"/>
      <c r="E15" s="42"/>
      <c r="F15" s="42"/>
      <c r="Q15" s="40"/>
      <c r="S15" s="65"/>
      <c r="T15" s="186"/>
      <c r="Z15" s="79" t="str">
        <f t="shared" si="0"/>
        <v/>
      </c>
    </row>
    <row r="16" spans="1:27" x14ac:dyDescent="0.25">
      <c r="A16" s="66"/>
      <c r="C16" s="40"/>
      <c r="E16" s="42"/>
      <c r="F16" s="42"/>
      <c r="Q16" s="40"/>
      <c r="S16" s="65"/>
      <c r="T16" s="186"/>
      <c r="Z16" s="79" t="str">
        <f t="shared" si="0"/>
        <v/>
      </c>
    </row>
    <row r="17" spans="1:26" x14ac:dyDescent="0.25">
      <c r="A17" s="66"/>
      <c r="C17" s="40"/>
      <c r="E17" s="42"/>
      <c r="F17" s="42"/>
      <c r="Q17" s="40"/>
      <c r="S17" s="65"/>
      <c r="T17" s="186"/>
      <c r="Z17" s="79" t="str">
        <f t="shared" si="0"/>
        <v/>
      </c>
    </row>
    <row r="18" spans="1:26" x14ac:dyDescent="0.25">
      <c r="A18" s="66"/>
      <c r="C18" s="40"/>
      <c r="E18" s="42"/>
      <c r="F18" s="42"/>
      <c r="Q18" s="40"/>
      <c r="S18" s="65"/>
      <c r="T18" s="186"/>
      <c r="Z18" s="79" t="str">
        <f t="shared" si="0"/>
        <v/>
      </c>
    </row>
    <row r="19" spans="1:26" x14ac:dyDescent="0.25">
      <c r="A19" s="70"/>
      <c r="E19" s="42"/>
      <c r="F19" s="42"/>
      <c r="S19" s="65"/>
      <c r="T19" s="186"/>
      <c r="Z19" s="79" t="str">
        <f t="shared" si="0"/>
        <v/>
      </c>
    </row>
    <row r="20" spans="1:26" x14ac:dyDescent="0.25">
      <c r="A20" s="70"/>
      <c r="E20" s="42"/>
      <c r="F20" s="42"/>
      <c r="S20" s="65"/>
      <c r="T20" s="186"/>
      <c r="Z20" s="79" t="str">
        <f t="shared" si="0"/>
        <v/>
      </c>
    </row>
    <row r="21" spans="1:26" x14ac:dyDescent="0.25">
      <c r="A21" s="66"/>
      <c r="E21" s="42"/>
      <c r="F21" s="42"/>
      <c r="S21" s="65"/>
      <c r="T21" s="186"/>
      <c r="Z21" s="79" t="str">
        <f t="shared" si="0"/>
        <v/>
      </c>
    </row>
    <row r="22" spans="1:26" x14ac:dyDescent="0.25">
      <c r="A22" s="66"/>
      <c r="E22" s="42"/>
      <c r="F22" s="42"/>
      <c r="S22" s="65"/>
      <c r="T22" s="186"/>
      <c r="Z22" s="79" t="str">
        <f t="shared" si="0"/>
        <v/>
      </c>
    </row>
    <row r="23" spans="1:26" x14ac:dyDescent="0.25">
      <c r="E23" s="42"/>
      <c r="F23" s="42"/>
      <c r="S23" s="65"/>
      <c r="T23" s="186"/>
      <c r="Z23" s="79" t="str">
        <f t="shared" si="0"/>
        <v/>
      </c>
    </row>
    <row r="24" spans="1:26" x14ac:dyDescent="0.25">
      <c r="E24" s="42"/>
      <c r="F24" s="42"/>
      <c r="S24" s="65"/>
      <c r="T24" s="186"/>
      <c r="Z24" s="79" t="str">
        <f t="shared" si="0"/>
        <v/>
      </c>
    </row>
    <row r="25" spans="1:26" x14ac:dyDescent="0.25">
      <c r="E25" s="42"/>
      <c r="F25" s="42"/>
      <c r="S25" s="65"/>
      <c r="T25" s="186"/>
      <c r="Z25" s="79" t="str">
        <f t="shared" si="0"/>
        <v/>
      </c>
    </row>
    <row r="26" spans="1:26" x14ac:dyDescent="0.25">
      <c r="E26" s="42"/>
      <c r="F26" s="42"/>
      <c r="T26" s="186"/>
      <c r="Z26" s="79" t="str">
        <f t="shared" si="0"/>
        <v/>
      </c>
    </row>
    <row r="27" spans="1:26" x14ac:dyDescent="0.25">
      <c r="E27" s="42"/>
      <c r="F27" s="42"/>
      <c r="T27" s="186"/>
      <c r="Z27" s="79" t="str">
        <f t="shared" si="0"/>
        <v/>
      </c>
    </row>
    <row r="28" spans="1:26" x14ac:dyDescent="0.25">
      <c r="E28" s="42"/>
      <c r="F28" s="42"/>
      <c r="T28" s="186"/>
      <c r="Z28" s="79" t="str">
        <f t="shared" si="0"/>
        <v/>
      </c>
    </row>
    <row r="29" spans="1:26" x14ac:dyDescent="0.25">
      <c r="E29" s="42"/>
      <c r="F29" s="42"/>
      <c r="T29" s="186"/>
      <c r="Z29" s="79" t="str">
        <f t="shared" si="0"/>
        <v/>
      </c>
    </row>
    <row r="30" spans="1:26" x14ac:dyDescent="0.25">
      <c r="E30" s="42"/>
      <c r="F30" s="42"/>
      <c r="T30" s="186"/>
      <c r="Z30" s="79" t="str">
        <f t="shared" si="0"/>
        <v/>
      </c>
    </row>
    <row r="31" spans="1:26" x14ac:dyDescent="0.25">
      <c r="E31" s="42"/>
      <c r="F31" s="42"/>
      <c r="T31" s="186"/>
      <c r="Z31" s="79" t="str">
        <f t="shared" si="0"/>
        <v/>
      </c>
    </row>
    <row r="32" spans="1:26" x14ac:dyDescent="0.25">
      <c r="E32" s="42"/>
      <c r="F32" s="42"/>
      <c r="T32" s="186"/>
      <c r="Z32" s="79" t="str">
        <f t="shared" si="0"/>
        <v/>
      </c>
    </row>
    <row r="33" spans="5:26" x14ac:dyDescent="0.25">
      <c r="E33" s="42"/>
      <c r="F33" s="42"/>
      <c r="T33" s="186"/>
      <c r="Z33" s="79" t="str">
        <f t="shared" si="0"/>
        <v/>
      </c>
    </row>
    <row r="34" spans="5:26" x14ac:dyDescent="0.25">
      <c r="E34" s="42"/>
      <c r="F34" s="42"/>
      <c r="T34" s="186"/>
      <c r="Z34" s="79" t="str">
        <f t="shared" si="0"/>
        <v/>
      </c>
    </row>
    <row r="35" spans="5:26" x14ac:dyDescent="0.25">
      <c r="E35" s="42"/>
      <c r="F35" s="42"/>
      <c r="T35" s="186"/>
      <c r="Z35" s="79" t="str">
        <f t="shared" si="0"/>
        <v/>
      </c>
    </row>
    <row r="36" spans="5:26" x14ac:dyDescent="0.25">
      <c r="E36" s="42"/>
      <c r="F36" s="42"/>
      <c r="T36" s="186"/>
      <c r="Z36" s="79" t="str">
        <f t="shared" si="0"/>
        <v/>
      </c>
    </row>
    <row r="37" spans="5:26" x14ac:dyDescent="0.25">
      <c r="E37" s="42"/>
      <c r="F37" s="42"/>
      <c r="T37" s="186"/>
      <c r="Z37" s="79" t="str">
        <f t="shared" si="0"/>
        <v/>
      </c>
    </row>
    <row r="38" spans="5:26" x14ac:dyDescent="0.25">
      <c r="E38" s="42"/>
      <c r="F38" s="42"/>
      <c r="T38" s="186"/>
      <c r="Z38" s="79" t="str">
        <f t="shared" si="0"/>
        <v/>
      </c>
    </row>
    <row r="39" spans="5:26" x14ac:dyDescent="0.25">
      <c r="E39" s="42"/>
      <c r="F39" s="42"/>
      <c r="T39" s="186"/>
      <c r="Z39" s="79" t="str">
        <f t="shared" si="0"/>
        <v/>
      </c>
    </row>
    <row r="40" spans="5:26" x14ac:dyDescent="0.25">
      <c r="E40" s="42"/>
      <c r="F40" s="42"/>
      <c r="T40" s="186"/>
      <c r="Z40" s="79" t="str">
        <f t="shared" si="0"/>
        <v/>
      </c>
    </row>
    <row r="41" spans="5:26" x14ac:dyDescent="0.25">
      <c r="E41" s="42"/>
      <c r="F41" s="42"/>
      <c r="T41" s="186"/>
      <c r="Z41" s="79" t="str">
        <f t="shared" si="0"/>
        <v/>
      </c>
    </row>
    <row r="42" spans="5:26" x14ac:dyDescent="0.25">
      <c r="E42" s="42"/>
      <c r="F42" s="42"/>
      <c r="T42" s="186"/>
      <c r="Z42" s="79" t="str">
        <f t="shared" si="0"/>
        <v/>
      </c>
    </row>
    <row r="43" spans="5:26" x14ac:dyDescent="0.25">
      <c r="E43" s="42"/>
      <c r="F43" s="42"/>
      <c r="T43" s="186"/>
      <c r="Z43" s="79" t="str">
        <f t="shared" si="0"/>
        <v/>
      </c>
    </row>
    <row r="44" spans="5:26" x14ac:dyDescent="0.25">
      <c r="E44" s="42"/>
      <c r="F44" s="42"/>
      <c r="T44" s="186"/>
      <c r="Z44" s="79" t="str">
        <f t="shared" si="0"/>
        <v/>
      </c>
    </row>
    <row r="45" spans="5:26" x14ac:dyDescent="0.25">
      <c r="E45" s="42"/>
      <c r="F45" s="42"/>
      <c r="T45" s="186"/>
      <c r="Z45" s="79" t="str">
        <f t="shared" si="0"/>
        <v/>
      </c>
    </row>
    <row r="46" spans="5:26" x14ac:dyDescent="0.25">
      <c r="E46" s="42"/>
      <c r="F46" s="42"/>
      <c r="T46" s="186"/>
      <c r="Z46" s="79" t="str">
        <f t="shared" si="0"/>
        <v/>
      </c>
    </row>
    <row r="47" spans="5:26" x14ac:dyDescent="0.25">
      <c r="E47" s="42"/>
      <c r="F47" s="42"/>
      <c r="T47" s="186"/>
      <c r="Z47" s="79" t="str">
        <f t="shared" si="0"/>
        <v/>
      </c>
    </row>
    <row r="48" spans="5:26" x14ac:dyDescent="0.25">
      <c r="E48" s="42"/>
      <c r="F48" s="42"/>
      <c r="T48" s="186"/>
      <c r="Z48" s="79" t="str">
        <f t="shared" si="0"/>
        <v/>
      </c>
    </row>
    <row r="49" spans="5:26" x14ac:dyDescent="0.25">
      <c r="E49" s="42"/>
      <c r="F49" s="42"/>
      <c r="T49" s="186"/>
      <c r="Z49" s="79" t="str">
        <f t="shared" si="0"/>
        <v/>
      </c>
    </row>
    <row r="50" spans="5:26" x14ac:dyDescent="0.25">
      <c r="E50" s="42"/>
      <c r="F50" s="42"/>
      <c r="T50" s="186"/>
      <c r="Z50" s="79" t="str">
        <f t="shared" si="0"/>
        <v/>
      </c>
    </row>
    <row r="51" spans="5:26" x14ac:dyDescent="0.25">
      <c r="E51" s="42"/>
      <c r="F51" s="42"/>
      <c r="T51" s="186"/>
      <c r="Z51" s="79" t="str">
        <f t="shared" si="0"/>
        <v/>
      </c>
    </row>
    <row r="52" spans="5:26" x14ac:dyDescent="0.25">
      <c r="E52" s="42"/>
      <c r="F52" s="42"/>
      <c r="T52" s="186"/>
      <c r="Z52" s="79" t="str">
        <f t="shared" si="0"/>
        <v/>
      </c>
    </row>
    <row r="53" spans="5:26" x14ac:dyDescent="0.25">
      <c r="E53" s="42"/>
      <c r="F53" s="42"/>
      <c r="T53" s="186"/>
      <c r="Z53" s="79" t="str">
        <f t="shared" si="0"/>
        <v/>
      </c>
    </row>
    <row r="54" spans="5:26" x14ac:dyDescent="0.25">
      <c r="E54" s="42"/>
      <c r="F54" s="42"/>
      <c r="T54" s="186"/>
      <c r="Z54" s="79" t="str">
        <f t="shared" si="0"/>
        <v/>
      </c>
    </row>
    <row r="55" spans="5:26" x14ac:dyDescent="0.25">
      <c r="E55" s="42"/>
      <c r="F55" s="42"/>
      <c r="T55" s="186"/>
      <c r="Z55" s="79" t="str">
        <f t="shared" si="0"/>
        <v/>
      </c>
    </row>
    <row r="56" spans="5:26" x14ac:dyDescent="0.25">
      <c r="E56" s="42"/>
      <c r="F56" s="42"/>
      <c r="T56" s="186"/>
      <c r="Z56" s="79" t="str">
        <f t="shared" si="0"/>
        <v/>
      </c>
    </row>
    <row r="57" spans="5:26" x14ac:dyDescent="0.25">
      <c r="E57" s="42"/>
      <c r="F57" s="42"/>
      <c r="T57" s="186"/>
      <c r="Z57" s="79" t="str">
        <f t="shared" si="0"/>
        <v/>
      </c>
    </row>
    <row r="58" spans="5:26" x14ac:dyDescent="0.25">
      <c r="E58" s="42"/>
      <c r="F58" s="42"/>
      <c r="T58" s="186"/>
      <c r="Z58" s="79" t="str">
        <f t="shared" si="0"/>
        <v/>
      </c>
    </row>
    <row r="59" spans="5:26" x14ac:dyDescent="0.25">
      <c r="E59" s="42"/>
      <c r="F59" s="42"/>
      <c r="T59" s="186"/>
      <c r="Z59" s="79" t="str">
        <f t="shared" si="0"/>
        <v/>
      </c>
    </row>
    <row r="60" spans="5:26" x14ac:dyDescent="0.25">
      <c r="E60" s="42"/>
      <c r="F60" s="42"/>
      <c r="T60" s="186"/>
      <c r="Z60" s="79" t="str">
        <f t="shared" si="0"/>
        <v/>
      </c>
    </row>
    <row r="61" spans="5:26" x14ac:dyDescent="0.25">
      <c r="E61" s="42"/>
      <c r="F61" s="42"/>
      <c r="T61" s="186"/>
      <c r="Z61" s="79" t="str">
        <f t="shared" si="0"/>
        <v/>
      </c>
    </row>
    <row r="62" spans="5:26" x14ac:dyDescent="0.25">
      <c r="E62" s="42"/>
      <c r="F62" s="42"/>
      <c r="T62" s="186"/>
      <c r="Z62" s="79" t="str">
        <f t="shared" si="0"/>
        <v/>
      </c>
    </row>
    <row r="63" spans="5:26" x14ac:dyDescent="0.25">
      <c r="E63" s="42"/>
      <c r="F63" s="42"/>
      <c r="T63" s="186"/>
      <c r="Z63" s="79" t="str">
        <f t="shared" si="0"/>
        <v/>
      </c>
    </row>
    <row r="64" spans="5:26" x14ac:dyDescent="0.25">
      <c r="E64" s="42"/>
      <c r="F64" s="42"/>
      <c r="T64" s="186"/>
      <c r="Z64" s="79" t="str">
        <f t="shared" si="0"/>
        <v/>
      </c>
    </row>
    <row r="65" spans="5:26" x14ac:dyDescent="0.25">
      <c r="E65" s="42"/>
      <c r="F65" s="42"/>
      <c r="T65" s="186"/>
      <c r="Z65" s="79" t="str">
        <f t="shared" si="0"/>
        <v/>
      </c>
    </row>
    <row r="66" spans="5:26" x14ac:dyDescent="0.25">
      <c r="E66" s="42"/>
      <c r="F66" s="42"/>
      <c r="T66" s="186"/>
      <c r="Z66" s="79" t="str">
        <f t="shared" si="0"/>
        <v/>
      </c>
    </row>
    <row r="67" spans="5:26" x14ac:dyDescent="0.25">
      <c r="E67" s="42"/>
      <c r="F67" s="42"/>
      <c r="T67" s="186"/>
      <c r="Z67" s="79" t="str">
        <f t="shared" si="0"/>
        <v/>
      </c>
    </row>
    <row r="68" spans="5:26" x14ac:dyDescent="0.25">
      <c r="E68" s="42"/>
      <c r="F68" s="42"/>
      <c r="T68" s="186"/>
      <c r="Z68" s="79" t="str">
        <f t="shared" si="0"/>
        <v/>
      </c>
    </row>
    <row r="69" spans="5:26" x14ac:dyDescent="0.25">
      <c r="E69" s="42"/>
      <c r="F69" s="42"/>
      <c r="T69" s="186"/>
      <c r="Z69" s="79" t="str">
        <f t="shared" si="0"/>
        <v/>
      </c>
    </row>
    <row r="70" spans="5:26" x14ac:dyDescent="0.25">
      <c r="E70" s="42"/>
      <c r="F70" s="42"/>
      <c r="T70" s="186"/>
      <c r="Z70" s="79" t="str">
        <f t="shared" si="0"/>
        <v/>
      </c>
    </row>
    <row r="71" spans="5:26" x14ac:dyDescent="0.25">
      <c r="E71" s="42"/>
      <c r="F71" s="42"/>
      <c r="T71" s="186"/>
      <c r="Z71" s="79" t="str">
        <f t="shared" si="0"/>
        <v/>
      </c>
    </row>
    <row r="72" spans="5:26" x14ac:dyDescent="0.25">
      <c r="E72" s="42"/>
      <c r="F72" s="42"/>
      <c r="T72" s="186"/>
      <c r="Z72" s="79" t="str">
        <f t="shared" si="0"/>
        <v/>
      </c>
    </row>
    <row r="73" spans="5:26" x14ac:dyDescent="0.25">
      <c r="E73" s="42"/>
      <c r="F73" s="42"/>
      <c r="T73" s="186"/>
      <c r="Z73" s="79" t="str">
        <f t="shared" si="0"/>
        <v/>
      </c>
    </row>
    <row r="74" spans="5:26" x14ac:dyDescent="0.25">
      <c r="E74" s="42"/>
      <c r="F74" s="42"/>
      <c r="T74" s="186"/>
      <c r="Z74" s="79" t="str">
        <f t="shared" si="0"/>
        <v/>
      </c>
    </row>
    <row r="75" spans="5:26" x14ac:dyDescent="0.25">
      <c r="E75" s="42"/>
      <c r="F75" s="42"/>
      <c r="T75" s="186"/>
      <c r="Z75" s="79" t="str">
        <f t="shared" ref="Z75:Z109" si="1">IF(T75&lt;&gt;"",SUM(U75:Y75),"")</f>
        <v/>
      </c>
    </row>
    <row r="76" spans="5:26" x14ac:dyDescent="0.25">
      <c r="E76" s="42"/>
      <c r="F76" s="42"/>
      <c r="T76" s="186"/>
      <c r="Z76" s="79" t="str">
        <f t="shared" si="1"/>
        <v/>
      </c>
    </row>
    <row r="77" spans="5:26" x14ac:dyDescent="0.25">
      <c r="E77" s="42"/>
      <c r="F77" s="42"/>
      <c r="T77" s="186"/>
      <c r="Z77" s="79" t="str">
        <f t="shared" si="1"/>
        <v/>
      </c>
    </row>
    <row r="78" spans="5:26" x14ac:dyDescent="0.25">
      <c r="E78" s="42"/>
      <c r="F78" s="42"/>
      <c r="T78" s="186"/>
      <c r="Z78" s="79" t="str">
        <f t="shared" si="1"/>
        <v/>
      </c>
    </row>
    <row r="79" spans="5:26" x14ac:dyDescent="0.25">
      <c r="E79" s="42"/>
      <c r="F79" s="42"/>
      <c r="T79" s="186"/>
      <c r="Z79" s="79" t="str">
        <f t="shared" si="1"/>
        <v/>
      </c>
    </row>
    <row r="80" spans="5:26" x14ac:dyDescent="0.25">
      <c r="E80" s="42"/>
      <c r="F80" s="42"/>
      <c r="T80" s="186"/>
      <c r="Z80" s="79" t="str">
        <f t="shared" si="1"/>
        <v/>
      </c>
    </row>
    <row r="81" spans="5:26" x14ac:dyDescent="0.25">
      <c r="E81" s="42"/>
      <c r="F81" s="42"/>
      <c r="T81" s="186"/>
      <c r="Z81" s="79" t="str">
        <f t="shared" si="1"/>
        <v/>
      </c>
    </row>
    <row r="82" spans="5:26" x14ac:dyDescent="0.25">
      <c r="E82" s="42"/>
      <c r="F82" s="42"/>
      <c r="T82" s="186"/>
      <c r="Z82" s="79" t="str">
        <f t="shared" si="1"/>
        <v/>
      </c>
    </row>
    <row r="83" spans="5:26" x14ac:dyDescent="0.25">
      <c r="E83" s="42"/>
      <c r="F83" s="42"/>
      <c r="T83" s="186"/>
      <c r="Z83" s="79" t="str">
        <f t="shared" si="1"/>
        <v/>
      </c>
    </row>
    <row r="84" spans="5:26" x14ac:dyDescent="0.25">
      <c r="E84" s="42"/>
      <c r="F84" s="42"/>
      <c r="T84" s="186"/>
      <c r="Z84" s="79" t="str">
        <f t="shared" si="1"/>
        <v/>
      </c>
    </row>
    <row r="85" spans="5:26" x14ac:dyDescent="0.25">
      <c r="E85" s="42"/>
      <c r="F85" s="42"/>
      <c r="T85" s="186"/>
      <c r="Z85" s="79" t="str">
        <f t="shared" si="1"/>
        <v/>
      </c>
    </row>
    <row r="86" spans="5:26" x14ac:dyDescent="0.25">
      <c r="E86" s="42"/>
      <c r="F86" s="42"/>
      <c r="T86" s="186"/>
      <c r="Z86" s="79" t="str">
        <f t="shared" si="1"/>
        <v/>
      </c>
    </row>
    <row r="87" spans="5:26" x14ac:dyDescent="0.25">
      <c r="E87" s="42"/>
      <c r="F87" s="42"/>
      <c r="T87" s="186"/>
      <c r="Z87" s="79" t="str">
        <f t="shared" si="1"/>
        <v/>
      </c>
    </row>
    <row r="88" spans="5:26" x14ac:dyDescent="0.25">
      <c r="E88" s="42"/>
      <c r="F88" s="42"/>
      <c r="T88" s="186"/>
      <c r="Z88" s="79" t="str">
        <f t="shared" si="1"/>
        <v/>
      </c>
    </row>
    <row r="89" spans="5:26" x14ac:dyDescent="0.25">
      <c r="E89" s="42"/>
      <c r="F89" s="42"/>
      <c r="T89" s="186"/>
      <c r="Z89" s="79" t="str">
        <f t="shared" si="1"/>
        <v/>
      </c>
    </row>
    <row r="90" spans="5:26" x14ac:dyDescent="0.25">
      <c r="E90" s="42"/>
      <c r="F90" s="42"/>
      <c r="T90" s="186"/>
      <c r="Z90" s="79" t="str">
        <f t="shared" si="1"/>
        <v/>
      </c>
    </row>
    <row r="91" spans="5:26" x14ac:dyDescent="0.25">
      <c r="E91" s="42"/>
      <c r="F91" s="42"/>
      <c r="T91" s="186"/>
      <c r="Z91" s="79" t="str">
        <f t="shared" si="1"/>
        <v/>
      </c>
    </row>
    <row r="92" spans="5:26" x14ac:dyDescent="0.25">
      <c r="E92" s="42"/>
      <c r="F92" s="42"/>
      <c r="T92" s="186"/>
      <c r="Z92" s="79" t="str">
        <f t="shared" si="1"/>
        <v/>
      </c>
    </row>
    <row r="93" spans="5:26" x14ac:dyDescent="0.25">
      <c r="E93" s="42"/>
      <c r="F93" s="42"/>
      <c r="T93" s="186"/>
      <c r="Z93" s="79" t="str">
        <f t="shared" si="1"/>
        <v/>
      </c>
    </row>
    <row r="94" spans="5:26" x14ac:dyDescent="0.25">
      <c r="E94" s="42"/>
      <c r="F94" s="42"/>
      <c r="T94" s="186"/>
      <c r="Z94" s="79" t="str">
        <f t="shared" si="1"/>
        <v/>
      </c>
    </row>
    <row r="95" spans="5:26" x14ac:dyDescent="0.25">
      <c r="E95" s="42"/>
      <c r="F95" s="42"/>
      <c r="T95" s="186"/>
      <c r="Z95" s="79" t="str">
        <f t="shared" si="1"/>
        <v/>
      </c>
    </row>
    <row r="96" spans="5:26" x14ac:dyDescent="0.25">
      <c r="E96" s="42"/>
      <c r="F96" s="42"/>
      <c r="T96" s="186"/>
      <c r="Z96" s="79" t="str">
        <f t="shared" si="1"/>
        <v/>
      </c>
    </row>
    <row r="97" spans="5:26" x14ac:dyDescent="0.25">
      <c r="E97" s="42"/>
      <c r="F97" s="42"/>
      <c r="T97" s="186"/>
      <c r="Z97" s="79" t="str">
        <f t="shared" si="1"/>
        <v/>
      </c>
    </row>
    <row r="98" spans="5:26" x14ac:dyDescent="0.25">
      <c r="E98" s="42"/>
      <c r="F98" s="42"/>
      <c r="T98" s="186"/>
      <c r="Z98" s="79" t="str">
        <f t="shared" si="1"/>
        <v/>
      </c>
    </row>
    <row r="99" spans="5:26" x14ac:dyDescent="0.25">
      <c r="E99" s="42"/>
      <c r="F99" s="42"/>
      <c r="T99" s="186"/>
      <c r="Z99" s="79" t="str">
        <f t="shared" si="1"/>
        <v/>
      </c>
    </row>
    <row r="100" spans="5:26" x14ac:dyDescent="0.25">
      <c r="E100" s="42"/>
      <c r="F100" s="42"/>
      <c r="T100" s="186"/>
      <c r="Z100" s="79" t="str">
        <f t="shared" si="1"/>
        <v/>
      </c>
    </row>
    <row r="101" spans="5:26" x14ac:dyDescent="0.25">
      <c r="E101" s="42"/>
      <c r="F101" s="42"/>
      <c r="T101" s="186"/>
      <c r="Z101" s="79" t="str">
        <f t="shared" si="1"/>
        <v/>
      </c>
    </row>
    <row r="102" spans="5:26" x14ac:dyDescent="0.25">
      <c r="E102" s="42"/>
      <c r="F102" s="42"/>
      <c r="T102" s="186"/>
      <c r="Z102" s="79" t="str">
        <f t="shared" si="1"/>
        <v/>
      </c>
    </row>
    <row r="103" spans="5:26" x14ac:dyDescent="0.25">
      <c r="E103" s="42"/>
      <c r="F103" s="42"/>
      <c r="T103" s="186"/>
      <c r="Z103" s="79" t="str">
        <f t="shared" si="1"/>
        <v/>
      </c>
    </row>
    <row r="104" spans="5:26" x14ac:dyDescent="0.25">
      <c r="E104" s="42"/>
      <c r="F104" s="42"/>
      <c r="T104" s="186"/>
      <c r="Z104" s="79" t="str">
        <f t="shared" si="1"/>
        <v/>
      </c>
    </row>
    <row r="105" spans="5:26" x14ac:dyDescent="0.25">
      <c r="E105" s="42"/>
      <c r="F105" s="42"/>
      <c r="T105" s="186"/>
      <c r="Z105" s="79" t="str">
        <f t="shared" si="1"/>
        <v/>
      </c>
    </row>
    <row r="106" spans="5:26" x14ac:dyDescent="0.25">
      <c r="E106" s="42"/>
      <c r="F106" s="42"/>
      <c r="T106" s="186"/>
      <c r="Z106" s="79" t="str">
        <f t="shared" si="1"/>
        <v/>
      </c>
    </row>
    <row r="107" spans="5:26" x14ac:dyDescent="0.25">
      <c r="E107" s="42"/>
      <c r="F107" s="42"/>
      <c r="T107" s="186"/>
      <c r="Z107" s="79" t="str">
        <f t="shared" si="1"/>
        <v/>
      </c>
    </row>
    <row r="108" spans="5:26" x14ac:dyDescent="0.25">
      <c r="E108" s="42"/>
      <c r="F108" s="42"/>
      <c r="T108" s="186"/>
      <c r="Z108" s="79" t="str">
        <f t="shared" si="1"/>
        <v/>
      </c>
    </row>
    <row r="109" spans="5:26" x14ac:dyDescent="0.25">
      <c r="E109" s="42"/>
      <c r="F109" s="42"/>
      <c r="T109" s="186"/>
      <c r="Z109" s="79" t="str">
        <f t="shared" si="1"/>
        <v/>
      </c>
    </row>
    <row r="110" spans="5:26" x14ac:dyDescent="0.25">
      <c r="E110" s="42"/>
      <c r="F110" s="42"/>
      <c r="T110" s="186"/>
    </row>
    <row r="111" spans="5:26" x14ac:dyDescent="0.25">
      <c r="E111" s="42"/>
      <c r="F111" s="42"/>
    </row>
    <row r="112" spans="5:26" x14ac:dyDescent="0.25">
      <c r="E112" s="42"/>
      <c r="F112" s="42"/>
    </row>
    <row r="113" spans="5:6" x14ac:dyDescent="0.25">
      <c r="E113" s="42"/>
      <c r="F113" s="42"/>
    </row>
    <row r="114" spans="5:6" x14ac:dyDescent="0.25">
      <c r="E114" s="42"/>
      <c r="F114" s="42"/>
    </row>
    <row r="115" spans="5:6" x14ac:dyDescent="0.25">
      <c r="E115" s="42"/>
      <c r="F115" s="42"/>
    </row>
    <row r="116" spans="5:6" x14ac:dyDescent="0.25">
      <c r="E116" s="42"/>
      <c r="F116" s="42"/>
    </row>
    <row r="117" spans="5:6" x14ac:dyDescent="0.25">
      <c r="E117" s="42"/>
      <c r="F117" s="42"/>
    </row>
    <row r="118" spans="5:6" x14ac:dyDescent="0.25">
      <c r="E118" s="42"/>
      <c r="F118" s="42"/>
    </row>
    <row r="119" spans="5:6" x14ac:dyDescent="0.25">
      <c r="E119" s="42"/>
      <c r="F119" s="42"/>
    </row>
    <row r="120" spans="5:6" x14ac:dyDescent="0.25">
      <c r="E120" s="42"/>
      <c r="F120" s="42"/>
    </row>
    <row r="121" spans="5:6" x14ac:dyDescent="0.25">
      <c r="E121" s="42"/>
      <c r="F121" s="42"/>
    </row>
    <row r="122" spans="5:6" x14ac:dyDescent="0.25">
      <c r="E122" s="42"/>
      <c r="F122" s="42"/>
    </row>
    <row r="123" spans="5:6" x14ac:dyDescent="0.25">
      <c r="E123" s="42"/>
      <c r="F123" s="42"/>
    </row>
    <row r="124" spans="5:6" x14ac:dyDescent="0.25">
      <c r="E124" s="42"/>
      <c r="F124" s="42"/>
    </row>
    <row r="125" spans="5:6" x14ac:dyDescent="0.25">
      <c r="E125" s="42"/>
      <c r="F125" s="42"/>
    </row>
    <row r="126" spans="5:6" x14ac:dyDescent="0.25">
      <c r="E126" s="42"/>
      <c r="F126" s="42"/>
    </row>
    <row r="127" spans="5:6" x14ac:dyDescent="0.25">
      <c r="E127" s="42"/>
      <c r="F127" s="42"/>
    </row>
    <row r="128" spans="5:6" x14ac:dyDescent="0.25">
      <c r="E128" s="42"/>
      <c r="F128" s="42"/>
    </row>
    <row r="129" spans="5:6" x14ac:dyDescent="0.25">
      <c r="E129" s="42"/>
      <c r="F129" s="42"/>
    </row>
    <row r="130" spans="5:6" x14ac:dyDescent="0.25">
      <c r="E130" s="42"/>
      <c r="F130" s="42"/>
    </row>
    <row r="131" spans="5:6" x14ac:dyDescent="0.25">
      <c r="E131" s="42"/>
      <c r="F131" s="42"/>
    </row>
    <row r="132" spans="5:6" x14ac:dyDescent="0.25">
      <c r="E132" s="42"/>
      <c r="F132" s="42"/>
    </row>
    <row r="133" spans="5:6" x14ac:dyDescent="0.25">
      <c r="E133" s="42"/>
      <c r="F133" s="42"/>
    </row>
    <row r="134" spans="5:6" x14ac:dyDescent="0.25">
      <c r="E134" s="42"/>
      <c r="F134" s="42"/>
    </row>
    <row r="135" spans="5:6" x14ac:dyDescent="0.25">
      <c r="E135" s="42"/>
      <c r="F135" s="42"/>
    </row>
    <row r="136" spans="5:6" x14ac:dyDescent="0.25">
      <c r="E136" s="42"/>
      <c r="F136" s="42"/>
    </row>
    <row r="137" spans="5:6" x14ac:dyDescent="0.25">
      <c r="E137" s="42"/>
      <c r="F137" s="42"/>
    </row>
    <row r="138" spans="5:6" x14ac:dyDescent="0.25">
      <c r="E138" s="42"/>
      <c r="F138" s="42"/>
    </row>
    <row r="139" spans="5:6" x14ac:dyDescent="0.25">
      <c r="E139" s="42"/>
      <c r="F139" s="42"/>
    </row>
    <row r="140" spans="5:6" x14ac:dyDescent="0.25">
      <c r="E140" s="42"/>
      <c r="F140" s="42"/>
    </row>
    <row r="141" spans="5:6" x14ac:dyDescent="0.25">
      <c r="E141" s="42"/>
      <c r="F141" s="42"/>
    </row>
    <row r="142" spans="5:6" x14ac:dyDescent="0.25">
      <c r="E142" s="42"/>
      <c r="F142" s="42"/>
    </row>
    <row r="143" spans="5:6" x14ac:dyDescent="0.25">
      <c r="E143" s="42"/>
      <c r="F143" s="42"/>
    </row>
    <row r="144" spans="5:6" x14ac:dyDescent="0.25">
      <c r="E144" s="42"/>
      <c r="F144" s="42"/>
    </row>
    <row r="145" spans="5:6" x14ac:dyDescent="0.25">
      <c r="E145" s="42"/>
      <c r="F145" s="42"/>
    </row>
    <row r="146" spans="5:6" x14ac:dyDescent="0.25">
      <c r="E146" s="42"/>
      <c r="F146" s="42"/>
    </row>
    <row r="147" spans="5:6" x14ac:dyDescent="0.25">
      <c r="E147" s="42"/>
      <c r="F147" s="42"/>
    </row>
    <row r="148" spans="5:6" x14ac:dyDescent="0.25">
      <c r="E148" s="42"/>
      <c r="F148" s="42"/>
    </row>
    <row r="149" spans="5:6" x14ac:dyDescent="0.25">
      <c r="E149" s="42"/>
      <c r="F149" s="42"/>
    </row>
    <row r="150" spans="5:6" x14ac:dyDescent="0.25">
      <c r="E150" s="42"/>
      <c r="F150" s="42"/>
    </row>
    <row r="151" spans="5:6" x14ac:dyDescent="0.25">
      <c r="E151" s="42"/>
      <c r="F151" s="42"/>
    </row>
    <row r="152" spans="5:6" x14ac:dyDescent="0.25">
      <c r="E152" s="42"/>
      <c r="F152" s="42"/>
    </row>
    <row r="153" spans="5:6" x14ac:dyDescent="0.25">
      <c r="E153" s="42"/>
      <c r="F153" s="42"/>
    </row>
    <row r="154" spans="5:6" x14ac:dyDescent="0.25">
      <c r="E154" s="42"/>
      <c r="F154" s="42"/>
    </row>
    <row r="155" spans="5:6" x14ac:dyDescent="0.25">
      <c r="E155" s="42"/>
      <c r="F155" s="42"/>
    </row>
    <row r="156" spans="5:6" x14ac:dyDescent="0.25">
      <c r="E156" s="42"/>
      <c r="F156" s="42"/>
    </row>
    <row r="157" spans="5:6" x14ac:dyDescent="0.25">
      <c r="E157" s="42"/>
      <c r="F157" s="42"/>
    </row>
    <row r="158" spans="5:6" x14ac:dyDescent="0.25">
      <c r="E158" s="42"/>
      <c r="F158" s="42"/>
    </row>
    <row r="159" spans="5:6" x14ac:dyDescent="0.25">
      <c r="E159" s="42"/>
      <c r="F159" s="42"/>
    </row>
    <row r="160" spans="5:6" x14ac:dyDescent="0.25">
      <c r="E160" s="42"/>
      <c r="F160" s="42"/>
    </row>
    <row r="161" spans="5:6" x14ac:dyDescent="0.25">
      <c r="E161" s="42"/>
      <c r="F161" s="42"/>
    </row>
    <row r="162" spans="5:6" x14ac:dyDescent="0.25">
      <c r="E162" s="42"/>
      <c r="F162" s="42"/>
    </row>
    <row r="163" spans="5:6" x14ac:dyDescent="0.25">
      <c r="E163" s="42"/>
      <c r="F163" s="42"/>
    </row>
    <row r="164" spans="5:6" x14ac:dyDescent="0.25">
      <c r="E164" s="42"/>
      <c r="F164" s="42"/>
    </row>
    <row r="165" spans="5:6" x14ac:dyDescent="0.25">
      <c r="E165" s="42"/>
      <c r="F165" s="42"/>
    </row>
    <row r="166" spans="5:6" x14ac:dyDescent="0.25">
      <c r="E166" s="42"/>
      <c r="F166" s="42"/>
    </row>
    <row r="167" spans="5:6" x14ac:dyDescent="0.25">
      <c r="E167" s="42"/>
      <c r="F167" s="42"/>
    </row>
    <row r="168" spans="5:6" x14ac:dyDescent="0.25">
      <c r="E168" s="42"/>
      <c r="F168" s="42"/>
    </row>
    <row r="169" spans="5:6" x14ac:dyDescent="0.25">
      <c r="E169" s="42"/>
      <c r="F169" s="42"/>
    </row>
    <row r="170" spans="5:6" x14ac:dyDescent="0.25">
      <c r="E170" s="42"/>
      <c r="F170" s="42"/>
    </row>
    <row r="171" spans="5:6" x14ac:dyDescent="0.25">
      <c r="E171" s="42"/>
      <c r="F171" s="42"/>
    </row>
    <row r="172" spans="5:6" x14ac:dyDescent="0.25">
      <c r="E172" s="42"/>
      <c r="F172" s="42"/>
    </row>
    <row r="173" spans="5:6" x14ac:dyDescent="0.25">
      <c r="E173" s="42"/>
      <c r="F173" s="42"/>
    </row>
    <row r="174" spans="5:6" x14ac:dyDescent="0.25">
      <c r="E174" s="42"/>
      <c r="F174" s="42"/>
    </row>
    <row r="175" spans="5:6" x14ac:dyDescent="0.25">
      <c r="E175" s="42"/>
      <c r="F175" s="42"/>
    </row>
    <row r="176" spans="5:6" x14ac:dyDescent="0.25">
      <c r="E176" s="42"/>
      <c r="F176" s="42"/>
    </row>
    <row r="177" spans="5:6" x14ac:dyDescent="0.25">
      <c r="E177" s="42"/>
      <c r="F177" s="42"/>
    </row>
    <row r="178" spans="5:6" x14ac:dyDescent="0.25">
      <c r="E178" s="42"/>
      <c r="F178" s="42"/>
    </row>
    <row r="179" spans="5:6" x14ac:dyDescent="0.25">
      <c r="E179" s="42"/>
      <c r="F179" s="42"/>
    </row>
    <row r="180" spans="5:6" x14ac:dyDescent="0.25">
      <c r="E180" s="42"/>
      <c r="F180" s="42"/>
    </row>
    <row r="181" spans="5:6" x14ac:dyDescent="0.25">
      <c r="E181" s="42"/>
      <c r="F181" s="42"/>
    </row>
    <row r="182" spans="5:6" x14ac:dyDescent="0.25">
      <c r="E182" s="42"/>
      <c r="F182" s="42"/>
    </row>
    <row r="183" spans="5:6" x14ac:dyDescent="0.25">
      <c r="E183" s="42"/>
      <c r="F183" s="42"/>
    </row>
    <row r="184" spans="5:6" x14ac:dyDescent="0.25">
      <c r="E184" s="42"/>
      <c r="F184" s="42"/>
    </row>
    <row r="185" spans="5:6" x14ac:dyDescent="0.25">
      <c r="E185" s="42"/>
      <c r="F185" s="42"/>
    </row>
    <row r="186" spans="5:6" x14ac:dyDescent="0.25">
      <c r="E186" s="42"/>
      <c r="F186" s="42"/>
    </row>
    <row r="187" spans="5:6" x14ac:dyDescent="0.25">
      <c r="E187" s="42"/>
      <c r="F187" s="42"/>
    </row>
    <row r="188" spans="5:6" x14ac:dyDescent="0.25">
      <c r="E188" s="42"/>
      <c r="F188" s="42"/>
    </row>
    <row r="189" spans="5:6" x14ac:dyDescent="0.25">
      <c r="E189" s="42"/>
      <c r="F189" s="42"/>
    </row>
    <row r="190" spans="5:6" x14ac:dyDescent="0.25">
      <c r="E190" s="42"/>
      <c r="F190" s="42"/>
    </row>
    <row r="191" spans="5:6" x14ac:dyDescent="0.25">
      <c r="E191" s="42"/>
      <c r="F191" s="42"/>
    </row>
    <row r="192" spans="5:6" x14ac:dyDescent="0.25">
      <c r="E192" s="42"/>
      <c r="F192" s="42"/>
    </row>
    <row r="193" spans="5:6" x14ac:dyDescent="0.25">
      <c r="E193" s="42"/>
      <c r="F193" s="42"/>
    </row>
    <row r="194" spans="5:6" x14ac:dyDescent="0.25">
      <c r="E194" s="42"/>
      <c r="F194" s="42"/>
    </row>
    <row r="195" spans="5:6" x14ac:dyDescent="0.25">
      <c r="E195" s="42"/>
      <c r="F195" s="42"/>
    </row>
    <row r="196" spans="5:6" x14ac:dyDescent="0.25">
      <c r="E196" s="42"/>
      <c r="F196" s="42"/>
    </row>
    <row r="197" spans="5:6" x14ac:dyDescent="0.25">
      <c r="E197" s="42"/>
      <c r="F197" s="42"/>
    </row>
    <row r="198" spans="5:6" x14ac:dyDescent="0.25">
      <c r="E198" s="42"/>
      <c r="F198" s="42"/>
    </row>
    <row r="199" spans="5:6" x14ac:dyDescent="0.25">
      <c r="E199" s="42"/>
      <c r="F199" s="42"/>
    </row>
    <row r="200" spans="5:6" x14ac:dyDescent="0.25">
      <c r="E200" s="42"/>
      <c r="F200" s="42"/>
    </row>
    <row r="201" spans="5:6" x14ac:dyDescent="0.25">
      <c r="E201" s="42"/>
      <c r="F201" s="42"/>
    </row>
    <row r="202" spans="5:6" x14ac:dyDescent="0.25">
      <c r="E202" s="42"/>
      <c r="F202" s="42"/>
    </row>
    <row r="203" spans="5:6" x14ac:dyDescent="0.25">
      <c r="E203" s="42"/>
      <c r="F203" s="42"/>
    </row>
    <row r="204" spans="5:6" x14ac:dyDescent="0.25">
      <c r="E204" s="42"/>
      <c r="F204" s="42"/>
    </row>
    <row r="205" spans="5:6" x14ac:dyDescent="0.25">
      <c r="E205" s="42"/>
      <c r="F205" s="42"/>
    </row>
    <row r="206" spans="5:6" x14ac:dyDescent="0.25">
      <c r="E206" s="42"/>
      <c r="F206" s="42"/>
    </row>
    <row r="207" spans="5:6" x14ac:dyDescent="0.25">
      <c r="E207" s="42"/>
      <c r="F207" s="42"/>
    </row>
    <row r="208" spans="5:6" x14ac:dyDescent="0.25">
      <c r="E208" s="42"/>
      <c r="F208" s="42"/>
    </row>
    <row r="209" spans="5:6" x14ac:dyDescent="0.25">
      <c r="E209" s="42"/>
      <c r="F209" s="42"/>
    </row>
    <row r="210" spans="5:6" x14ac:dyDescent="0.25">
      <c r="E210" s="42"/>
      <c r="F210" s="42"/>
    </row>
    <row r="211" spans="5:6" x14ac:dyDescent="0.25">
      <c r="E211" s="42"/>
      <c r="F211" s="42"/>
    </row>
    <row r="212" spans="5:6" x14ac:dyDescent="0.25">
      <c r="E212" s="42"/>
      <c r="F212" s="42"/>
    </row>
    <row r="213" spans="5:6" x14ac:dyDescent="0.25">
      <c r="E213" s="42"/>
      <c r="F213" s="42"/>
    </row>
    <row r="214" spans="5:6" x14ac:dyDescent="0.25">
      <c r="E214" s="42"/>
      <c r="F214" s="42"/>
    </row>
    <row r="215" spans="5:6" x14ac:dyDescent="0.25">
      <c r="E215" s="42"/>
      <c r="F215" s="42"/>
    </row>
    <row r="216" spans="5:6" x14ac:dyDescent="0.25">
      <c r="E216" s="42"/>
      <c r="F216" s="42"/>
    </row>
    <row r="217" spans="5:6" x14ac:dyDescent="0.25">
      <c r="E217" s="42"/>
      <c r="F217" s="42"/>
    </row>
    <row r="218" spans="5:6" x14ac:dyDescent="0.25">
      <c r="E218" s="42"/>
      <c r="F218" s="42"/>
    </row>
    <row r="219" spans="5:6" x14ac:dyDescent="0.25">
      <c r="E219" s="42"/>
      <c r="F219" s="42"/>
    </row>
    <row r="220" spans="5:6" x14ac:dyDescent="0.25">
      <c r="E220" s="42"/>
      <c r="F220" s="42"/>
    </row>
    <row r="221" spans="5:6" x14ac:dyDescent="0.25">
      <c r="E221" s="42"/>
      <c r="F221" s="42"/>
    </row>
    <row r="222" spans="5:6" x14ac:dyDescent="0.25">
      <c r="E222" s="42"/>
      <c r="F222" s="42"/>
    </row>
    <row r="223" spans="5:6" x14ac:dyDescent="0.25">
      <c r="E223" s="42"/>
      <c r="F223" s="42"/>
    </row>
    <row r="224" spans="5:6" x14ac:dyDescent="0.25">
      <c r="E224" s="42"/>
      <c r="F224" s="42"/>
    </row>
    <row r="225" spans="5:6" x14ac:dyDescent="0.25">
      <c r="E225" s="42"/>
      <c r="F225" s="42"/>
    </row>
    <row r="226" spans="5:6" x14ac:dyDescent="0.25">
      <c r="E226" s="42"/>
      <c r="F226" s="42"/>
    </row>
    <row r="227" spans="5:6" x14ac:dyDescent="0.25">
      <c r="E227" s="42"/>
      <c r="F227" s="42"/>
    </row>
    <row r="228" spans="5:6" x14ac:dyDescent="0.25">
      <c r="E228" s="42"/>
      <c r="F228" s="42"/>
    </row>
    <row r="229" spans="5:6" x14ac:dyDescent="0.25">
      <c r="E229" s="42"/>
      <c r="F229" s="42"/>
    </row>
    <row r="230" spans="5:6" x14ac:dyDescent="0.25">
      <c r="E230" s="42"/>
      <c r="F230" s="42"/>
    </row>
    <row r="231" spans="5:6" x14ac:dyDescent="0.25">
      <c r="E231" s="42"/>
      <c r="F231" s="42"/>
    </row>
    <row r="232" spans="5:6" x14ac:dyDescent="0.25">
      <c r="E232" s="42"/>
      <c r="F232" s="42"/>
    </row>
    <row r="233" spans="5:6" x14ac:dyDescent="0.25">
      <c r="E233" s="42"/>
      <c r="F233" s="42"/>
    </row>
    <row r="234" spans="5:6" x14ac:dyDescent="0.25">
      <c r="E234" s="42"/>
      <c r="F234" s="42"/>
    </row>
    <row r="235" spans="5:6" x14ac:dyDescent="0.25">
      <c r="E235" s="42"/>
      <c r="F235" s="42"/>
    </row>
    <row r="236" spans="5:6" x14ac:dyDescent="0.25">
      <c r="E236" s="42"/>
      <c r="F236" s="42"/>
    </row>
    <row r="237" spans="5:6" x14ac:dyDescent="0.25">
      <c r="E237" s="42"/>
      <c r="F237" s="42"/>
    </row>
    <row r="238" spans="5:6" x14ac:dyDescent="0.25">
      <c r="E238" s="42"/>
      <c r="F238" s="42"/>
    </row>
    <row r="239" spans="5:6" x14ac:dyDescent="0.25">
      <c r="E239" s="42"/>
      <c r="F239" s="42"/>
    </row>
    <row r="240" spans="5:6" x14ac:dyDescent="0.25">
      <c r="E240" s="42"/>
      <c r="F240" s="42"/>
    </row>
    <row r="241" spans="5:6" x14ac:dyDescent="0.25">
      <c r="E241" s="42"/>
      <c r="F241" s="42"/>
    </row>
    <row r="242" spans="5:6" x14ac:dyDescent="0.25">
      <c r="E242" s="42"/>
      <c r="F242" s="42"/>
    </row>
    <row r="243" spans="5:6" x14ac:dyDescent="0.25">
      <c r="E243" s="42"/>
      <c r="F243" s="42"/>
    </row>
    <row r="244" spans="5:6" x14ac:dyDescent="0.25">
      <c r="E244" s="42"/>
      <c r="F244" s="42"/>
    </row>
    <row r="245" spans="5:6" x14ac:dyDescent="0.25">
      <c r="E245" s="42"/>
      <c r="F245" s="42"/>
    </row>
    <row r="246" spans="5:6" x14ac:dyDescent="0.25">
      <c r="E246" s="42"/>
      <c r="F246" s="42"/>
    </row>
    <row r="247" spans="5:6" x14ac:dyDescent="0.25">
      <c r="E247" s="42"/>
      <c r="F247" s="42"/>
    </row>
    <row r="248" spans="5:6" x14ac:dyDescent="0.25">
      <c r="E248" s="42"/>
      <c r="F248" s="42"/>
    </row>
    <row r="249" spans="5:6" x14ac:dyDescent="0.25">
      <c r="E249" s="42"/>
      <c r="F249" s="42"/>
    </row>
    <row r="250" spans="5:6" x14ac:dyDescent="0.25">
      <c r="E250" s="42"/>
      <c r="F250" s="42"/>
    </row>
    <row r="251" spans="5:6" x14ac:dyDescent="0.25">
      <c r="E251" s="42"/>
      <c r="F251" s="42"/>
    </row>
    <row r="252" spans="5:6" x14ac:dyDescent="0.25">
      <c r="E252" s="42"/>
      <c r="F252" s="42"/>
    </row>
    <row r="253" spans="5:6" x14ac:dyDescent="0.25">
      <c r="E253" s="42"/>
      <c r="F253" s="42"/>
    </row>
    <row r="254" spans="5:6" x14ac:dyDescent="0.25">
      <c r="E254" s="42"/>
      <c r="F254" s="42"/>
    </row>
    <row r="255" spans="5:6" x14ac:dyDescent="0.25">
      <c r="E255" s="42"/>
      <c r="F255" s="42"/>
    </row>
    <row r="256" spans="5:6" x14ac:dyDescent="0.25">
      <c r="E256" s="42"/>
      <c r="F256" s="42"/>
    </row>
    <row r="257" spans="5:6" x14ac:dyDescent="0.25">
      <c r="E257" s="42"/>
      <c r="F257" s="42"/>
    </row>
    <row r="258" spans="5:6" x14ac:dyDescent="0.25">
      <c r="E258" s="42"/>
      <c r="F258" s="42"/>
    </row>
    <row r="259" spans="5:6" x14ac:dyDescent="0.25">
      <c r="E259" s="42"/>
      <c r="F259" s="42"/>
    </row>
    <row r="260" spans="5:6" x14ac:dyDescent="0.25">
      <c r="E260" s="42"/>
      <c r="F260" s="42"/>
    </row>
    <row r="261" spans="5:6" x14ac:dyDescent="0.25">
      <c r="E261" s="42"/>
      <c r="F261" s="42"/>
    </row>
    <row r="262" spans="5:6" x14ac:dyDescent="0.25">
      <c r="E262" s="42"/>
      <c r="F262" s="42"/>
    </row>
    <row r="263" spans="5:6" x14ac:dyDescent="0.25">
      <c r="E263" s="42"/>
      <c r="F263" s="42"/>
    </row>
    <row r="264" spans="5:6" x14ac:dyDescent="0.25">
      <c r="E264" s="42"/>
      <c r="F264" s="42"/>
    </row>
    <row r="265" spans="5:6" x14ac:dyDescent="0.25">
      <c r="E265" s="42"/>
      <c r="F265" s="42"/>
    </row>
    <row r="266" spans="5:6" x14ac:dyDescent="0.25">
      <c r="E266" s="42"/>
      <c r="F266" s="42"/>
    </row>
    <row r="267" spans="5:6" x14ac:dyDescent="0.25">
      <c r="E267" s="42"/>
      <c r="F267" s="42"/>
    </row>
    <row r="268" spans="5:6" x14ac:dyDescent="0.25">
      <c r="E268" s="42"/>
      <c r="F268" s="42"/>
    </row>
    <row r="269" spans="5:6" x14ac:dyDescent="0.25">
      <c r="E269" s="42"/>
      <c r="F269" s="42"/>
    </row>
    <row r="270" spans="5:6" x14ac:dyDescent="0.25">
      <c r="E270" s="42"/>
      <c r="F270" s="42"/>
    </row>
    <row r="271" spans="5:6" x14ac:dyDescent="0.25">
      <c r="E271" s="42"/>
      <c r="F271" s="42"/>
    </row>
    <row r="272" spans="5:6" x14ac:dyDescent="0.25">
      <c r="E272" s="42"/>
      <c r="F272" s="42"/>
    </row>
    <row r="273" spans="5:6" x14ac:dyDescent="0.25">
      <c r="E273" s="42"/>
      <c r="F273" s="42"/>
    </row>
    <row r="274" spans="5:6" x14ac:dyDescent="0.25">
      <c r="E274" s="42"/>
      <c r="F274" s="42"/>
    </row>
    <row r="275" spans="5:6" x14ac:dyDescent="0.25">
      <c r="E275" s="42"/>
      <c r="F275" s="42"/>
    </row>
    <row r="276" spans="5:6" x14ac:dyDescent="0.25">
      <c r="E276" s="42"/>
      <c r="F276" s="42"/>
    </row>
    <row r="277" spans="5:6" x14ac:dyDescent="0.25">
      <c r="E277" s="42"/>
      <c r="F277" s="42"/>
    </row>
    <row r="278" spans="5:6" x14ac:dyDescent="0.25">
      <c r="E278" s="42"/>
      <c r="F278" s="42"/>
    </row>
    <row r="279" spans="5:6" x14ac:dyDescent="0.25">
      <c r="E279" s="42"/>
      <c r="F279" s="42"/>
    </row>
    <row r="280" spans="5:6" x14ac:dyDescent="0.25">
      <c r="E280" s="42"/>
      <c r="F280" s="42"/>
    </row>
    <row r="281" spans="5:6" x14ac:dyDescent="0.25">
      <c r="E281" s="42"/>
      <c r="F281" s="42"/>
    </row>
    <row r="282" spans="5:6" x14ac:dyDescent="0.25">
      <c r="E282" s="42"/>
      <c r="F282" s="42"/>
    </row>
    <row r="283" spans="5:6" x14ac:dyDescent="0.25">
      <c r="E283" s="42"/>
      <c r="F283" s="42"/>
    </row>
    <row r="284" spans="5:6" x14ac:dyDescent="0.25">
      <c r="E284" s="42"/>
      <c r="F284" s="42"/>
    </row>
    <row r="285" spans="5:6" x14ac:dyDescent="0.25">
      <c r="E285" s="42"/>
      <c r="F285" s="42"/>
    </row>
    <row r="286" spans="5:6" x14ac:dyDescent="0.25">
      <c r="E286" s="42"/>
      <c r="F286" s="42"/>
    </row>
    <row r="287" spans="5:6" x14ac:dyDescent="0.25">
      <c r="E287" s="42"/>
      <c r="F287" s="42"/>
    </row>
    <row r="288" spans="5:6" x14ac:dyDescent="0.25">
      <c r="E288" s="42"/>
      <c r="F288" s="42"/>
    </row>
    <row r="289" spans="5:6" x14ac:dyDescent="0.25">
      <c r="E289" s="42"/>
      <c r="F289" s="42"/>
    </row>
    <row r="290" spans="5:6" x14ac:dyDescent="0.25">
      <c r="E290" s="42"/>
      <c r="F290" s="42"/>
    </row>
    <row r="291" spans="5:6" x14ac:dyDescent="0.25">
      <c r="E291" s="42"/>
      <c r="F291" s="42"/>
    </row>
    <row r="292" spans="5:6" x14ac:dyDescent="0.25">
      <c r="E292" s="42"/>
      <c r="F292" s="42"/>
    </row>
    <row r="293" spans="5:6" x14ac:dyDescent="0.25">
      <c r="E293" s="42"/>
      <c r="F293" s="42"/>
    </row>
    <row r="294" spans="5:6" x14ac:dyDescent="0.25">
      <c r="E294" s="42"/>
      <c r="F294" s="42"/>
    </row>
    <row r="295" spans="5:6" x14ac:dyDescent="0.25">
      <c r="E295" s="42"/>
      <c r="F295" s="42"/>
    </row>
    <row r="296" spans="5:6" x14ac:dyDescent="0.25">
      <c r="E296" s="42"/>
      <c r="F296" s="42"/>
    </row>
    <row r="297" spans="5:6" x14ac:dyDescent="0.25">
      <c r="E297" s="42"/>
      <c r="F297" s="42"/>
    </row>
    <row r="298" spans="5:6" x14ac:dyDescent="0.25">
      <c r="E298" s="42"/>
      <c r="F298" s="42"/>
    </row>
    <row r="299" spans="5:6" x14ac:dyDescent="0.25">
      <c r="E299" s="42"/>
      <c r="F299" s="42"/>
    </row>
    <row r="300" spans="5:6" x14ac:dyDescent="0.25">
      <c r="E300" s="42"/>
      <c r="F300" s="42"/>
    </row>
    <row r="301" spans="5:6" x14ac:dyDescent="0.25">
      <c r="E301" s="42"/>
      <c r="F301" s="42"/>
    </row>
    <row r="302" spans="5:6" x14ac:dyDescent="0.25">
      <c r="E302" s="42"/>
      <c r="F302" s="42"/>
    </row>
    <row r="303" spans="5:6" x14ac:dyDescent="0.25">
      <c r="E303" s="42"/>
      <c r="F303" s="42"/>
    </row>
    <row r="304" spans="5:6" x14ac:dyDescent="0.25">
      <c r="E304" s="42"/>
      <c r="F304" s="42"/>
    </row>
    <row r="305" spans="5:6" x14ac:dyDescent="0.25">
      <c r="E305" s="42"/>
      <c r="F305" s="42"/>
    </row>
    <row r="306" spans="5:6" x14ac:dyDescent="0.25">
      <c r="E306" s="42"/>
      <c r="F306" s="42"/>
    </row>
    <row r="307" spans="5:6" x14ac:dyDescent="0.25">
      <c r="E307" s="42"/>
      <c r="F307" s="42"/>
    </row>
    <row r="308" spans="5:6" x14ac:dyDescent="0.25">
      <c r="E308" s="42"/>
      <c r="F308" s="42"/>
    </row>
    <row r="309" spans="5:6" x14ac:dyDescent="0.25">
      <c r="E309" s="42"/>
      <c r="F309" s="42"/>
    </row>
    <row r="310" spans="5:6" x14ac:dyDescent="0.25">
      <c r="E310" s="42"/>
      <c r="F310" s="42"/>
    </row>
    <row r="311" spans="5:6" x14ac:dyDescent="0.25">
      <c r="E311" s="42"/>
      <c r="F311" s="42"/>
    </row>
    <row r="312" spans="5:6" x14ac:dyDescent="0.25">
      <c r="E312" s="42"/>
      <c r="F312" s="42"/>
    </row>
    <row r="313" spans="5:6" x14ac:dyDescent="0.25">
      <c r="E313" s="42"/>
      <c r="F313" s="42"/>
    </row>
    <row r="314" spans="5:6" x14ac:dyDescent="0.25">
      <c r="E314" s="42"/>
      <c r="F314" s="42"/>
    </row>
    <row r="315" spans="5:6" x14ac:dyDescent="0.25">
      <c r="E315" s="42"/>
      <c r="F315" s="42"/>
    </row>
    <row r="316" spans="5:6" x14ac:dyDescent="0.25">
      <c r="E316" s="42"/>
      <c r="F316" s="42"/>
    </row>
    <row r="317" spans="5:6" x14ac:dyDescent="0.25">
      <c r="E317" s="42"/>
      <c r="F317" s="42"/>
    </row>
    <row r="318" spans="5:6" x14ac:dyDescent="0.25">
      <c r="E318" s="42"/>
      <c r="F318" s="42"/>
    </row>
    <row r="319" spans="5:6" x14ac:dyDescent="0.25">
      <c r="E319" s="42"/>
      <c r="F319" s="42"/>
    </row>
    <row r="320" spans="5:6" x14ac:dyDescent="0.25">
      <c r="E320" s="42"/>
      <c r="F320" s="42"/>
    </row>
    <row r="321" spans="5:6" x14ac:dyDescent="0.25">
      <c r="E321" s="42"/>
      <c r="F321" s="42"/>
    </row>
    <row r="322" spans="5:6" x14ac:dyDescent="0.25">
      <c r="E322" s="42"/>
      <c r="F322" s="42"/>
    </row>
    <row r="323" spans="5:6" x14ac:dyDescent="0.25">
      <c r="E323" s="42"/>
      <c r="F323" s="42"/>
    </row>
    <row r="324" spans="5:6" x14ac:dyDescent="0.25">
      <c r="E324" s="42"/>
      <c r="F324" s="42"/>
    </row>
    <row r="325" spans="5:6" x14ac:dyDescent="0.25">
      <c r="E325" s="42"/>
      <c r="F325" s="42"/>
    </row>
    <row r="326" spans="5:6" x14ac:dyDescent="0.25">
      <c r="E326" s="42"/>
      <c r="F326" s="42"/>
    </row>
    <row r="327" spans="5:6" x14ac:dyDescent="0.25">
      <c r="E327" s="42"/>
      <c r="F327" s="42"/>
    </row>
    <row r="328" spans="5:6" x14ac:dyDescent="0.25">
      <c r="E328" s="42"/>
      <c r="F328" s="42"/>
    </row>
    <row r="329" spans="5:6" x14ac:dyDescent="0.25">
      <c r="E329" s="42"/>
      <c r="F329" s="42"/>
    </row>
    <row r="330" spans="5:6" x14ac:dyDescent="0.25">
      <c r="E330" s="42"/>
      <c r="F330" s="42"/>
    </row>
    <row r="331" spans="5:6" x14ac:dyDescent="0.25">
      <c r="E331" s="42"/>
      <c r="F331" s="42"/>
    </row>
    <row r="332" spans="5:6" x14ac:dyDescent="0.25">
      <c r="E332" s="42"/>
      <c r="F332" s="42"/>
    </row>
    <row r="333" spans="5:6" x14ac:dyDescent="0.25">
      <c r="E333" s="42"/>
      <c r="F333" s="42"/>
    </row>
    <row r="334" spans="5:6" x14ac:dyDescent="0.25">
      <c r="E334" s="42"/>
      <c r="F334" s="42"/>
    </row>
    <row r="335" spans="5:6" x14ac:dyDescent="0.25">
      <c r="E335" s="42"/>
      <c r="F335" s="42"/>
    </row>
    <row r="336" spans="5:6" x14ac:dyDescent="0.25">
      <c r="E336" s="42"/>
      <c r="F336" s="42"/>
    </row>
    <row r="337" spans="5:6" x14ac:dyDescent="0.25">
      <c r="E337" s="42"/>
      <c r="F337" s="42"/>
    </row>
    <row r="338" spans="5:6" x14ac:dyDescent="0.25">
      <c r="E338" s="42"/>
      <c r="F338" s="42"/>
    </row>
    <row r="339" spans="5:6" x14ac:dyDescent="0.25">
      <c r="E339" s="42"/>
      <c r="F339" s="42"/>
    </row>
    <row r="340" spans="5:6" x14ac:dyDescent="0.25">
      <c r="E340" s="42"/>
      <c r="F340" s="42"/>
    </row>
    <row r="341" spans="5:6" x14ac:dyDescent="0.25">
      <c r="E341" s="42"/>
      <c r="F341" s="42"/>
    </row>
    <row r="342" spans="5:6" x14ac:dyDescent="0.25">
      <c r="E342" s="42"/>
      <c r="F342" s="42"/>
    </row>
    <row r="343" spans="5:6" x14ac:dyDescent="0.25">
      <c r="E343" s="42"/>
      <c r="F343" s="42"/>
    </row>
    <row r="344" spans="5:6" x14ac:dyDescent="0.25">
      <c r="E344" s="42"/>
      <c r="F344" s="42"/>
    </row>
    <row r="345" spans="5:6" x14ac:dyDescent="0.25">
      <c r="E345" s="42"/>
      <c r="F345" s="42"/>
    </row>
    <row r="346" spans="5:6" x14ac:dyDescent="0.25">
      <c r="E346" s="42"/>
      <c r="F346" s="42"/>
    </row>
    <row r="347" spans="5:6" x14ac:dyDescent="0.25">
      <c r="E347" s="42"/>
      <c r="F347" s="42"/>
    </row>
    <row r="348" spans="5:6" x14ac:dyDescent="0.25">
      <c r="E348" s="42"/>
      <c r="F348" s="42"/>
    </row>
    <row r="349" spans="5:6" x14ac:dyDescent="0.25">
      <c r="E349" s="42"/>
      <c r="F349" s="42"/>
    </row>
    <row r="350" spans="5:6" x14ac:dyDescent="0.25">
      <c r="E350" s="42"/>
      <c r="F350" s="42"/>
    </row>
    <row r="351" spans="5:6" x14ac:dyDescent="0.25">
      <c r="E351" s="42"/>
      <c r="F351" s="42"/>
    </row>
    <row r="352" spans="5:6" x14ac:dyDescent="0.25">
      <c r="E352" s="42"/>
      <c r="F352" s="42"/>
    </row>
    <row r="353" spans="5:6" x14ac:dyDescent="0.25">
      <c r="E353" s="42"/>
      <c r="F353" s="42"/>
    </row>
    <row r="354" spans="5:6" x14ac:dyDescent="0.25">
      <c r="E354" s="42"/>
      <c r="F354" s="42"/>
    </row>
    <row r="355" spans="5:6" x14ac:dyDescent="0.25">
      <c r="E355" s="42"/>
      <c r="F355" s="42"/>
    </row>
    <row r="356" spans="5:6" x14ac:dyDescent="0.25">
      <c r="E356" s="42"/>
      <c r="F356" s="42"/>
    </row>
    <row r="357" spans="5:6" x14ac:dyDescent="0.25">
      <c r="E357" s="42"/>
      <c r="F357" s="42"/>
    </row>
    <row r="358" spans="5:6" x14ac:dyDescent="0.25">
      <c r="E358" s="42"/>
      <c r="F358" s="42"/>
    </row>
    <row r="359" spans="5:6" x14ac:dyDescent="0.25">
      <c r="E359" s="42"/>
      <c r="F359" s="42"/>
    </row>
    <row r="360" spans="5:6" x14ac:dyDescent="0.25">
      <c r="E360" s="42"/>
      <c r="F360" s="42"/>
    </row>
    <row r="361" spans="5:6" x14ac:dyDescent="0.25">
      <c r="E361" s="42"/>
      <c r="F361" s="42"/>
    </row>
    <row r="362" spans="5:6" x14ac:dyDescent="0.25">
      <c r="E362" s="42"/>
      <c r="F362" s="42"/>
    </row>
    <row r="363" spans="5:6" x14ac:dyDescent="0.25">
      <c r="E363" s="42"/>
      <c r="F363" s="42"/>
    </row>
    <row r="364" spans="5:6" x14ac:dyDescent="0.25">
      <c r="E364" s="42"/>
      <c r="F364" s="42"/>
    </row>
    <row r="365" spans="5:6" x14ac:dyDescent="0.25">
      <c r="E365" s="42"/>
      <c r="F365" s="42"/>
    </row>
    <row r="366" spans="5:6" x14ac:dyDescent="0.25">
      <c r="E366" s="42"/>
      <c r="F366" s="42"/>
    </row>
    <row r="367" spans="5:6" x14ac:dyDescent="0.25">
      <c r="E367" s="42"/>
      <c r="F367" s="42"/>
    </row>
    <row r="368" spans="5:6" x14ac:dyDescent="0.25">
      <c r="E368" s="42"/>
      <c r="F368" s="42"/>
    </row>
    <row r="369" spans="5:6" x14ac:dyDescent="0.25">
      <c r="E369" s="42"/>
      <c r="F369" s="42"/>
    </row>
    <row r="370" spans="5:6" x14ac:dyDescent="0.25">
      <c r="E370" s="42"/>
      <c r="F370" s="42"/>
    </row>
    <row r="371" spans="5:6" x14ac:dyDescent="0.25">
      <c r="E371" s="42"/>
      <c r="F371" s="42"/>
    </row>
    <row r="372" spans="5:6" x14ac:dyDescent="0.25">
      <c r="E372" s="42"/>
      <c r="F372" s="42"/>
    </row>
    <row r="373" spans="5:6" x14ac:dyDescent="0.25">
      <c r="E373" s="42"/>
      <c r="F373" s="42"/>
    </row>
    <row r="374" spans="5:6" x14ac:dyDescent="0.25">
      <c r="E374" s="42"/>
      <c r="F374" s="42"/>
    </row>
    <row r="375" spans="5:6" x14ac:dyDescent="0.25">
      <c r="E375" s="42"/>
      <c r="F375" s="42"/>
    </row>
    <row r="376" spans="5:6" x14ac:dyDescent="0.25">
      <c r="E376" s="42"/>
      <c r="F376" s="42"/>
    </row>
    <row r="377" spans="5:6" x14ac:dyDescent="0.25">
      <c r="E377" s="42"/>
      <c r="F377" s="42"/>
    </row>
    <row r="378" spans="5:6" x14ac:dyDescent="0.25">
      <c r="E378" s="42"/>
      <c r="F378" s="42"/>
    </row>
    <row r="379" spans="5:6" x14ac:dyDescent="0.25">
      <c r="E379" s="42"/>
      <c r="F379" s="42"/>
    </row>
    <row r="380" spans="5:6" x14ac:dyDescent="0.25">
      <c r="E380" s="42"/>
      <c r="F380" s="42"/>
    </row>
    <row r="381" spans="5:6" x14ac:dyDescent="0.25">
      <c r="E381" s="42"/>
      <c r="F381" s="42"/>
    </row>
    <row r="382" spans="5:6" x14ac:dyDescent="0.25">
      <c r="E382" s="42"/>
      <c r="F382" s="42"/>
    </row>
    <row r="383" spans="5:6" x14ac:dyDescent="0.25">
      <c r="E383" s="42"/>
      <c r="F383" s="42"/>
    </row>
    <row r="384" spans="5:6" x14ac:dyDescent="0.25">
      <c r="E384" s="42"/>
      <c r="F384" s="42"/>
    </row>
    <row r="385" spans="5:6" x14ac:dyDescent="0.25">
      <c r="E385" s="42"/>
      <c r="F385" s="42"/>
    </row>
    <row r="386" spans="5:6" x14ac:dyDescent="0.25">
      <c r="E386" s="42"/>
      <c r="F386" s="42"/>
    </row>
    <row r="387" spans="5:6" x14ac:dyDescent="0.25">
      <c r="E387" s="42"/>
      <c r="F387" s="42"/>
    </row>
    <row r="388" spans="5:6" x14ac:dyDescent="0.25">
      <c r="E388" s="42"/>
      <c r="F388" s="42"/>
    </row>
    <row r="389" spans="5:6" x14ac:dyDescent="0.25">
      <c r="E389" s="42"/>
      <c r="F389" s="42"/>
    </row>
    <row r="390" spans="5:6" x14ac:dyDescent="0.25">
      <c r="E390" s="42"/>
      <c r="F390" s="42"/>
    </row>
    <row r="391" spans="5:6" x14ac:dyDescent="0.25">
      <c r="E391" s="42"/>
      <c r="F391" s="42"/>
    </row>
    <row r="392" spans="5:6" x14ac:dyDescent="0.25">
      <c r="E392" s="42"/>
      <c r="F392" s="42"/>
    </row>
    <row r="393" spans="5:6" x14ac:dyDescent="0.25">
      <c r="E393" s="42"/>
      <c r="F393" s="42"/>
    </row>
    <row r="394" spans="5:6" x14ac:dyDescent="0.25">
      <c r="E394" s="42"/>
      <c r="F394" s="42"/>
    </row>
    <row r="395" spans="5:6" x14ac:dyDescent="0.25">
      <c r="E395" s="42"/>
      <c r="F395" s="42"/>
    </row>
    <row r="396" spans="5:6" x14ac:dyDescent="0.25">
      <c r="E396" s="42"/>
      <c r="F396" s="42"/>
    </row>
    <row r="397" spans="5:6" x14ac:dyDescent="0.25">
      <c r="E397" s="42"/>
      <c r="F397" s="42"/>
    </row>
    <row r="398" spans="5:6" x14ac:dyDescent="0.25">
      <c r="E398" s="42"/>
      <c r="F398" s="42"/>
    </row>
    <row r="399" spans="5:6" x14ac:dyDescent="0.25">
      <c r="E399" s="42"/>
      <c r="F399" s="42"/>
    </row>
    <row r="400" spans="5:6" x14ac:dyDescent="0.25">
      <c r="E400" s="42"/>
      <c r="F400" s="42"/>
    </row>
    <row r="401" spans="5:6" x14ac:dyDescent="0.25">
      <c r="E401" s="42"/>
      <c r="F401" s="42"/>
    </row>
    <row r="402" spans="5:6" x14ac:dyDescent="0.25">
      <c r="E402" s="42"/>
      <c r="F402" s="42"/>
    </row>
    <row r="403" spans="5:6" x14ac:dyDescent="0.25">
      <c r="E403" s="42"/>
      <c r="F403" s="42"/>
    </row>
    <row r="404" spans="5:6" x14ac:dyDescent="0.25">
      <c r="E404" s="42"/>
      <c r="F404" s="42"/>
    </row>
    <row r="405" spans="5:6" x14ac:dyDescent="0.25">
      <c r="E405" s="42"/>
      <c r="F405" s="42"/>
    </row>
    <row r="406" spans="5:6" x14ac:dyDescent="0.25">
      <c r="E406" s="42"/>
      <c r="F406" s="42"/>
    </row>
    <row r="407" spans="5:6" x14ac:dyDescent="0.25">
      <c r="E407" s="42"/>
      <c r="F407" s="42"/>
    </row>
    <row r="408" spans="5:6" x14ac:dyDescent="0.25">
      <c r="E408" s="42"/>
      <c r="F408" s="42"/>
    </row>
    <row r="409" spans="5:6" x14ac:dyDescent="0.25">
      <c r="E409" s="42"/>
      <c r="F409" s="42"/>
    </row>
    <row r="410" spans="5:6" x14ac:dyDescent="0.25">
      <c r="E410" s="42"/>
      <c r="F410" s="42"/>
    </row>
    <row r="411" spans="5:6" x14ac:dyDescent="0.25">
      <c r="E411" s="42"/>
      <c r="F411" s="42"/>
    </row>
    <row r="412" spans="5:6" x14ac:dyDescent="0.25">
      <c r="E412" s="42"/>
      <c r="F412" s="42"/>
    </row>
    <row r="413" spans="5:6" x14ac:dyDescent="0.25">
      <c r="E413" s="42"/>
      <c r="F413" s="42"/>
    </row>
    <row r="414" spans="5:6" x14ac:dyDescent="0.25">
      <c r="E414" s="42"/>
      <c r="F414" s="42"/>
    </row>
    <row r="415" spans="5:6" x14ac:dyDescent="0.25">
      <c r="E415" s="42"/>
      <c r="F415" s="42"/>
    </row>
    <row r="416" spans="5:6" x14ac:dyDescent="0.25">
      <c r="E416" s="42"/>
      <c r="F416" s="42"/>
    </row>
    <row r="417" spans="5:6" x14ac:dyDescent="0.25">
      <c r="E417" s="42"/>
      <c r="F417" s="42"/>
    </row>
    <row r="418" spans="5:6" x14ac:dyDescent="0.25">
      <c r="E418" s="42"/>
      <c r="F418" s="42"/>
    </row>
    <row r="419" spans="5:6" x14ac:dyDescent="0.25">
      <c r="E419" s="42"/>
      <c r="F419" s="42"/>
    </row>
    <row r="420" spans="5:6" x14ac:dyDescent="0.25">
      <c r="E420" s="42"/>
      <c r="F420" s="42"/>
    </row>
    <row r="421" spans="5:6" x14ac:dyDescent="0.25">
      <c r="E421" s="42"/>
      <c r="F421" s="42"/>
    </row>
    <row r="422" spans="5:6" x14ac:dyDescent="0.25">
      <c r="E422" s="42"/>
      <c r="F422" s="42"/>
    </row>
    <row r="423" spans="5:6" x14ac:dyDescent="0.25">
      <c r="E423" s="42"/>
      <c r="F423" s="42"/>
    </row>
    <row r="424" spans="5:6" x14ac:dyDescent="0.25">
      <c r="E424" s="42"/>
      <c r="F424" s="42"/>
    </row>
    <row r="425" spans="5:6" x14ac:dyDescent="0.25">
      <c r="E425" s="42"/>
      <c r="F425" s="42"/>
    </row>
    <row r="426" spans="5:6" x14ac:dyDescent="0.25">
      <c r="E426" s="42"/>
      <c r="F426" s="42"/>
    </row>
    <row r="427" spans="5:6" x14ac:dyDescent="0.25">
      <c r="E427" s="42"/>
      <c r="F427" s="42"/>
    </row>
    <row r="428" spans="5:6" x14ac:dyDescent="0.25">
      <c r="E428" s="42"/>
      <c r="F428" s="42"/>
    </row>
    <row r="429" spans="5:6" x14ac:dyDescent="0.25">
      <c r="E429" s="42"/>
      <c r="F429" s="42"/>
    </row>
    <row r="430" spans="5:6" x14ac:dyDescent="0.25">
      <c r="E430" s="42"/>
      <c r="F430" s="42"/>
    </row>
    <row r="431" spans="5:6" x14ac:dyDescent="0.25">
      <c r="E431" s="42"/>
      <c r="F431" s="42"/>
    </row>
    <row r="432" spans="5:6" x14ac:dyDescent="0.25">
      <c r="E432" s="42"/>
      <c r="F432" s="42"/>
    </row>
    <row r="433" spans="5:6" x14ac:dyDescent="0.25">
      <c r="E433" s="42"/>
      <c r="F433" s="42"/>
    </row>
    <row r="434" spans="5:6" x14ac:dyDescent="0.25">
      <c r="E434" s="42"/>
      <c r="F434" s="42"/>
    </row>
    <row r="435" spans="5:6" x14ac:dyDescent="0.25">
      <c r="E435" s="42"/>
      <c r="F435" s="42"/>
    </row>
    <row r="436" spans="5:6" x14ac:dyDescent="0.25">
      <c r="E436" s="42"/>
      <c r="F436" s="42"/>
    </row>
    <row r="437" spans="5:6" x14ac:dyDescent="0.25">
      <c r="E437" s="42"/>
      <c r="F437" s="42"/>
    </row>
    <row r="438" spans="5:6" x14ac:dyDescent="0.25">
      <c r="E438" s="42"/>
      <c r="F438" s="42"/>
    </row>
    <row r="439" spans="5:6" x14ac:dyDescent="0.25">
      <c r="E439" s="42"/>
      <c r="F439" s="42"/>
    </row>
    <row r="440" spans="5:6" x14ac:dyDescent="0.25">
      <c r="E440" s="42"/>
      <c r="F440" s="42"/>
    </row>
    <row r="441" spans="5:6" x14ac:dyDescent="0.25">
      <c r="E441" s="42"/>
      <c r="F441" s="42"/>
    </row>
    <row r="442" spans="5:6" x14ac:dyDescent="0.25">
      <c r="E442" s="42"/>
      <c r="F442" s="42"/>
    </row>
    <row r="443" spans="5:6" x14ac:dyDescent="0.25">
      <c r="E443" s="42"/>
      <c r="F443" s="42"/>
    </row>
    <row r="444" spans="5:6" x14ac:dyDescent="0.25">
      <c r="E444" s="42"/>
      <c r="F444" s="42"/>
    </row>
    <row r="445" spans="5:6" x14ac:dyDescent="0.25">
      <c r="E445" s="42"/>
      <c r="F445" s="42"/>
    </row>
    <row r="446" spans="5:6" x14ac:dyDescent="0.25">
      <c r="E446" s="42"/>
      <c r="F446" s="42"/>
    </row>
    <row r="447" spans="5:6" x14ac:dyDescent="0.25">
      <c r="E447" s="42"/>
      <c r="F447" s="42"/>
    </row>
    <row r="448" spans="5:6" x14ac:dyDescent="0.25">
      <c r="E448" s="42"/>
      <c r="F448" s="42"/>
    </row>
    <row r="449" spans="5:6" x14ac:dyDescent="0.25">
      <c r="E449" s="42"/>
      <c r="F449" s="42"/>
    </row>
    <row r="450" spans="5:6" x14ac:dyDescent="0.25">
      <c r="E450" s="42"/>
      <c r="F450" s="42"/>
    </row>
    <row r="451" spans="5:6" x14ac:dyDescent="0.25">
      <c r="E451" s="42"/>
      <c r="F451" s="42"/>
    </row>
    <row r="452" spans="5:6" x14ac:dyDescent="0.25">
      <c r="E452" s="42"/>
      <c r="F452" s="42"/>
    </row>
    <row r="453" spans="5:6" x14ac:dyDescent="0.25">
      <c r="E453" s="42"/>
      <c r="F453" s="42"/>
    </row>
    <row r="454" spans="5:6" x14ac:dyDescent="0.25">
      <c r="E454" s="42"/>
      <c r="F454" s="42"/>
    </row>
    <row r="455" spans="5:6" x14ac:dyDescent="0.25">
      <c r="E455" s="42"/>
      <c r="F455" s="42"/>
    </row>
    <row r="456" spans="5:6" x14ac:dyDescent="0.25">
      <c r="E456" s="42"/>
      <c r="F456" s="42"/>
    </row>
    <row r="457" spans="5:6" x14ac:dyDescent="0.25">
      <c r="E457" s="42"/>
      <c r="F457" s="42"/>
    </row>
    <row r="458" spans="5:6" x14ac:dyDescent="0.25">
      <c r="E458" s="42"/>
      <c r="F458" s="42"/>
    </row>
    <row r="459" spans="5:6" x14ac:dyDescent="0.25">
      <c r="E459" s="42"/>
      <c r="F459" s="42"/>
    </row>
    <row r="460" spans="5:6" x14ac:dyDescent="0.25">
      <c r="E460" s="42"/>
      <c r="F460" s="42"/>
    </row>
    <row r="461" spans="5:6" x14ac:dyDescent="0.25">
      <c r="E461" s="42"/>
      <c r="F461" s="42"/>
    </row>
    <row r="462" spans="5:6" x14ac:dyDescent="0.25">
      <c r="E462" s="42"/>
      <c r="F462" s="42"/>
    </row>
    <row r="463" spans="5:6" x14ac:dyDescent="0.25">
      <c r="E463" s="42"/>
      <c r="F463" s="42"/>
    </row>
    <row r="464" spans="5:6" x14ac:dyDescent="0.25">
      <c r="E464" s="42"/>
      <c r="F464" s="42"/>
    </row>
    <row r="465" spans="5:6" x14ac:dyDescent="0.25">
      <c r="E465" s="42"/>
      <c r="F465" s="42"/>
    </row>
    <row r="466" spans="5:6" x14ac:dyDescent="0.25">
      <c r="E466" s="42"/>
      <c r="F466" s="42"/>
    </row>
    <row r="467" spans="5:6" x14ac:dyDescent="0.25">
      <c r="E467" s="42"/>
      <c r="F467" s="42"/>
    </row>
    <row r="468" spans="5:6" x14ac:dyDescent="0.25">
      <c r="E468" s="42"/>
      <c r="F468" s="42"/>
    </row>
    <row r="469" spans="5:6" x14ac:dyDescent="0.25">
      <c r="E469" s="42"/>
      <c r="F469" s="42"/>
    </row>
    <row r="470" spans="5:6" x14ac:dyDescent="0.25">
      <c r="E470" s="42"/>
      <c r="F470" s="42"/>
    </row>
    <row r="471" spans="5:6" x14ac:dyDescent="0.25">
      <c r="E471" s="42"/>
      <c r="F471" s="42"/>
    </row>
    <row r="472" spans="5:6" x14ac:dyDescent="0.25">
      <c r="E472" s="42"/>
      <c r="F472" s="42"/>
    </row>
    <row r="473" spans="5:6" x14ac:dyDescent="0.25">
      <c r="E473" s="42"/>
      <c r="F473" s="42"/>
    </row>
    <row r="474" spans="5:6" x14ac:dyDescent="0.25">
      <c r="E474" s="42"/>
      <c r="F474" s="42"/>
    </row>
    <row r="475" spans="5:6" x14ac:dyDescent="0.25">
      <c r="E475" s="42"/>
      <c r="F475" s="42"/>
    </row>
    <row r="476" spans="5:6" x14ac:dyDescent="0.25">
      <c r="E476" s="42"/>
      <c r="F476" s="42"/>
    </row>
    <row r="477" spans="5:6" x14ac:dyDescent="0.25">
      <c r="E477" s="42"/>
      <c r="F477" s="42"/>
    </row>
    <row r="478" spans="5:6" x14ac:dyDescent="0.25">
      <c r="E478" s="42"/>
      <c r="F478" s="42"/>
    </row>
    <row r="479" spans="5:6" x14ac:dyDescent="0.25">
      <c r="E479" s="42"/>
      <c r="F479" s="42"/>
    </row>
    <row r="480" spans="5:6" x14ac:dyDescent="0.25">
      <c r="E480" s="42"/>
      <c r="F480" s="42"/>
    </row>
    <row r="481" spans="5:6" x14ac:dyDescent="0.25">
      <c r="E481" s="42"/>
      <c r="F481" s="42"/>
    </row>
    <row r="482" spans="5:6" x14ac:dyDescent="0.25">
      <c r="E482" s="42"/>
      <c r="F482" s="42"/>
    </row>
    <row r="483" spans="5:6" x14ac:dyDescent="0.25">
      <c r="E483" s="42"/>
      <c r="F483" s="42"/>
    </row>
    <row r="484" spans="5:6" x14ac:dyDescent="0.25">
      <c r="E484" s="42"/>
      <c r="F484" s="42"/>
    </row>
    <row r="485" spans="5:6" x14ac:dyDescent="0.25">
      <c r="E485" s="42"/>
      <c r="F485" s="42"/>
    </row>
    <row r="486" spans="5:6" x14ac:dyDescent="0.25">
      <c r="E486" s="42"/>
      <c r="F486" s="42"/>
    </row>
    <row r="487" spans="5:6" x14ac:dyDescent="0.25">
      <c r="E487" s="42"/>
      <c r="F487" s="42"/>
    </row>
    <row r="488" spans="5:6" x14ac:dyDescent="0.25">
      <c r="E488" s="42"/>
      <c r="F488" s="42"/>
    </row>
    <row r="489" spans="5:6" x14ac:dyDescent="0.25">
      <c r="E489" s="42"/>
      <c r="F489" s="42"/>
    </row>
    <row r="490" spans="5:6" x14ac:dyDescent="0.25">
      <c r="E490" s="42"/>
      <c r="F490" s="42"/>
    </row>
    <row r="491" spans="5:6" x14ac:dyDescent="0.25">
      <c r="E491" s="42"/>
      <c r="F491" s="42"/>
    </row>
    <row r="492" spans="5:6" x14ac:dyDescent="0.25">
      <c r="E492" s="42"/>
      <c r="F492" s="42"/>
    </row>
    <row r="493" spans="5:6" x14ac:dyDescent="0.25">
      <c r="E493" s="42"/>
      <c r="F493" s="42"/>
    </row>
    <row r="494" spans="5:6" x14ac:dyDescent="0.25">
      <c r="E494" s="42"/>
      <c r="F494" s="42"/>
    </row>
    <row r="495" spans="5:6" x14ac:dyDescent="0.25">
      <c r="E495" s="42"/>
      <c r="F495" s="42"/>
    </row>
    <row r="496" spans="5:6" x14ac:dyDescent="0.25">
      <c r="E496" s="42"/>
      <c r="F496" s="42"/>
    </row>
    <row r="497" spans="5:6" x14ac:dyDescent="0.25">
      <c r="E497" s="42"/>
      <c r="F497" s="42"/>
    </row>
    <row r="498" spans="5:6" x14ac:dyDescent="0.25">
      <c r="E498" s="42"/>
      <c r="F498" s="42"/>
    </row>
    <row r="499" spans="5:6" x14ac:dyDescent="0.25">
      <c r="E499" s="42"/>
      <c r="F499" s="42"/>
    </row>
    <row r="500" spans="5:6" x14ac:dyDescent="0.25">
      <c r="E500" s="42"/>
      <c r="F500" s="42"/>
    </row>
    <row r="501" spans="5:6" x14ac:dyDescent="0.25">
      <c r="E501" s="42"/>
      <c r="F501" s="42"/>
    </row>
    <row r="502" spans="5:6" x14ac:dyDescent="0.25">
      <c r="E502" s="42"/>
      <c r="F502" s="42"/>
    </row>
    <row r="503" spans="5:6" x14ac:dyDescent="0.25">
      <c r="E503" s="42"/>
      <c r="F503" s="42"/>
    </row>
    <row r="504" spans="5:6" x14ac:dyDescent="0.25">
      <c r="E504" s="42"/>
      <c r="F504" s="42"/>
    </row>
    <row r="505" spans="5:6" x14ac:dyDescent="0.25">
      <c r="E505" s="42"/>
      <c r="F505" s="42"/>
    </row>
    <row r="506" spans="5:6" x14ac:dyDescent="0.25">
      <c r="E506" s="42"/>
      <c r="F506" s="42"/>
    </row>
    <row r="507" spans="5:6" x14ac:dyDescent="0.25">
      <c r="E507" s="42"/>
      <c r="F507" s="42"/>
    </row>
    <row r="508" spans="5:6" x14ac:dyDescent="0.25">
      <c r="E508" s="42"/>
      <c r="F508" s="42"/>
    </row>
    <row r="509" spans="5:6" x14ac:dyDescent="0.25">
      <c r="E509" s="42"/>
      <c r="F509" s="42"/>
    </row>
    <row r="510" spans="5:6" x14ac:dyDescent="0.25">
      <c r="E510" s="42"/>
      <c r="F510" s="42"/>
    </row>
    <row r="511" spans="5:6" x14ac:dyDescent="0.25">
      <c r="E511" s="42"/>
      <c r="F511" s="42"/>
    </row>
    <row r="512" spans="5:6" x14ac:dyDescent="0.25">
      <c r="E512" s="42"/>
      <c r="F512" s="42"/>
    </row>
    <row r="513" spans="5:6" x14ac:dyDescent="0.25">
      <c r="E513" s="42"/>
      <c r="F513" s="42"/>
    </row>
    <row r="514" spans="5:6" x14ac:dyDescent="0.25">
      <c r="E514" s="42"/>
      <c r="F514" s="42"/>
    </row>
    <row r="515" spans="5:6" x14ac:dyDescent="0.25">
      <c r="E515" s="42"/>
      <c r="F515" s="42"/>
    </row>
    <row r="516" spans="5:6" x14ac:dyDescent="0.25">
      <c r="E516" s="42"/>
      <c r="F516" s="42"/>
    </row>
    <row r="517" spans="5:6" x14ac:dyDescent="0.25">
      <c r="E517" s="42"/>
      <c r="F517" s="42"/>
    </row>
    <row r="518" spans="5:6" x14ac:dyDescent="0.25">
      <c r="E518" s="42"/>
      <c r="F518" s="42"/>
    </row>
    <row r="519" spans="5:6" x14ac:dyDescent="0.25">
      <c r="E519" s="42"/>
      <c r="F519" s="42"/>
    </row>
    <row r="520" spans="5:6" x14ac:dyDescent="0.25">
      <c r="E520" s="42"/>
      <c r="F520" s="42"/>
    </row>
    <row r="521" spans="5:6" x14ac:dyDescent="0.25">
      <c r="E521" s="42"/>
      <c r="F521" s="42"/>
    </row>
    <row r="522" spans="5:6" x14ac:dyDescent="0.25">
      <c r="E522" s="42"/>
      <c r="F522" s="42"/>
    </row>
    <row r="523" spans="5:6" x14ac:dyDescent="0.25">
      <c r="E523" s="42"/>
      <c r="F523" s="42"/>
    </row>
    <row r="524" spans="5:6" x14ac:dyDescent="0.25">
      <c r="E524" s="42"/>
      <c r="F524" s="42"/>
    </row>
    <row r="525" spans="5:6" x14ac:dyDescent="0.25">
      <c r="E525" s="42"/>
      <c r="F525" s="42"/>
    </row>
    <row r="526" spans="5:6" x14ac:dyDescent="0.25">
      <c r="E526" s="42"/>
      <c r="F526" s="42"/>
    </row>
    <row r="527" spans="5:6" x14ac:dyDescent="0.25">
      <c r="E527" s="42"/>
      <c r="F527" s="42"/>
    </row>
    <row r="528" spans="5:6" x14ac:dyDescent="0.25">
      <c r="E528" s="42"/>
      <c r="F528" s="42"/>
    </row>
    <row r="529" spans="5:6" x14ac:dyDescent="0.25">
      <c r="E529" s="42"/>
      <c r="F529" s="42"/>
    </row>
    <row r="530" spans="5:6" x14ac:dyDescent="0.25">
      <c r="E530" s="42"/>
      <c r="F530" s="42"/>
    </row>
    <row r="531" spans="5:6" x14ac:dyDescent="0.25">
      <c r="E531" s="42"/>
      <c r="F531" s="42"/>
    </row>
    <row r="532" spans="5:6" x14ac:dyDescent="0.25">
      <c r="E532" s="42"/>
      <c r="F532" s="42"/>
    </row>
    <row r="533" spans="5:6" x14ac:dyDescent="0.25">
      <c r="E533" s="42"/>
      <c r="F533" s="42"/>
    </row>
    <row r="534" spans="5:6" x14ac:dyDescent="0.25">
      <c r="E534" s="42"/>
      <c r="F534" s="42"/>
    </row>
    <row r="535" spans="5:6" x14ac:dyDescent="0.25">
      <c r="E535" s="42"/>
      <c r="F535" s="42"/>
    </row>
    <row r="536" spans="5:6" x14ac:dyDescent="0.25">
      <c r="E536" s="42"/>
      <c r="F536" s="42"/>
    </row>
    <row r="537" spans="5:6" x14ac:dyDescent="0.25">
      <c r="E537" s="42"/>
      <c r="F537" s="42"/>
    </row>
    <row r="538" spans="5:6" x14ac:dyDescent="0.25">
      <c r="E538" s="42"/>
      <c r="F538" s="42"/>
    </row>
    <row r="539" spans="5:6" x14ac:dyDescent="0.25">
      <c r="E539" s="42"/>
      <c r="F539" s="42"/>
    </row>
    <row r="540" spans="5:6" x14ac:dyDescent="0.25">
      <c r="E540" s="42"/>
      <c r="F540" s="42"/>
    </row>
    <row r="541" spans="5:6" x14ac:dyDescent="0.25">
      <c r="E541" s="42"/>
      <c r="F541" s="42"/>
    </row>
    <row r="542" spans="5:6" x14ac:dyDescent="0.25">
      <c r="E542" s="42"/>
      <c r="F542" s="42"/>
    </row>
    <row r="543" spans="5:6" x14ac:dyDescent="0.25">
      <c r="E543" s="42"/>
      <c r="F543" s="42"/>
    </row>
    <row r="544" spans="5:6" x14ac:dyDescent="0.25">
      <c r="E544" s="42"/>
      <c r="F544" s="42"/>
    </row>
    <row r="545" spans="5:6" x14ac:dyDescent="0.25">
      <c r="E545" s="42"/>
      <c r="F545" s="42"/>
    </row>
    <row r="546" spans="5:6" x14ac:dyDescent="0.25">
      <c r="E546" s="42"/>
      <c r="F546" s="42"/>
    </row>
    <row r="547" spans="5:6" x14ac:dyDescent="0.25">
      <c r="E547" s="42"/>
      <c r="F547" s="42"/>
    </row>
    <row r="548" spans="5:6" x14ac:dyDescent="0.25">
      <c r="E548" s="42"/>
      <c r="F548" s="42"/>
    </row>
    <row r="549" spans="5:6" x14ac:dyDescent="0.25">
      <c r="E549" s="42"/>
      <c r="F549" s="42"/>
    </row>
    <row r="550" spans="5:6" x14ac:dyDescent="0.25">
      <c r="E550" s="42"/>
      <c r="F550" s="42"/>
    </row>
    <row r="551" spans="5:6" x14ac:dyDescent="0.25">
      <c r="E551" s="42"/>
      <c r="F551" s="42"/>
    </row>
    <row r="552" spans="5:6" x14ac:dyDescent="0.25">
      <c r="E552" s="42"/>
      <c r="F552" s="42"/>
    </row>
    <row r="553" spans="5:6" x14ac:dyDescent="0.25">
      <c r="E553" s="42"/>
      <c r="F553" s="42"/>
    </row>
    <row r="554" spans="5:6" x14ac:dyDescent="0.25">
      <c r="E554" s="42"/>
      <c r="F554" s="42"/>
    </row>
    <row r="555" spans="5:6" x14ac:dyDescent="0.25">
      <c r="E555" s="42"/>
      <c r="F555" s="42"/>
    </row>
    <row r="556" spans="5:6" x14ac:dyDescent="0.25">
      <c r="E556" s="42"/>
      <c r="F556" s="42"/>
    </row>
    <row r="557" spans="5:6" x14ac:dyDescent="0.25">
      <c r="E557" s="42"/>
      <c r="F557" s="42"/>
    </row>
    <row r="558" spans="5:6" x14ac:dyDescent="0.25">
      <c r="E558" s="42"/>
      <c r="F558" s="42"/>
    </row>
    <row r="559" spans="5:6" x14ac:dyDescent="0.25">
      <c r="E559" s="42"/>
      <c r="F559" s="42"/>
    </row>
    <row r="560" spans="5:6" x14ac:dyDescent="0.25">
      <c r="E560" s="42"/>
      <c r="F560" s="42"/>
    </row>
    <row r="561" spans="5:6" x14ac:dyDescent="0.25">
      <c r="E561" s="42"/>
      <c r="F561" s="42"/>
    </row>
    <row r="562" spans="5:6" x14ac:dyDescent="0.25">
      <c r="E562" s="42"/>
      <c r="F562" s="42"/>
    </row>
    <row r="563" spans="5:6" x14ac:dyDescent="0.25">
      <c r="E563" s="42"/>
      <c r="F563" s="42"/>
    </row>
    <row r="564" spans="5:6" x14ac:dyDescent="0.25">
      <c r="E564" s="42"/>
      <c r="F564" s="42"/>
    </row>
    <row r="565" spans="5:6" x14ac:dyDescent="0.25">
      <c r="E565" s="42"/>
      <c r="F565" s="42"/>
    </row>
    <row r="566" spans="5:6" x14ac:dyDescent="0.25">
      <c r="E566" s="42"/>
      <c r="F566" s="42"/>
    </row>
    <row r="567" spans="5:6" x14ac:dyDescent="0.25">
      <c r="E567" s="42"/>
      <c r="F567" s="42"/>
    </row>
    <row r="568" spans="5:6" x14ac:dyDescent="0.25">
      <c r="E568" s="42"/>
      <c r="F568" s="42"/>
    </row>
    <row r="569" spans="5:6" x14ac:dyDescent="0.25">
      <c r="E569" s="42"/>
      <c r="F569" s="42"/>
    </row>
    <row r="570" spans="5:6" x14ac:dyDescent="0.25">
      <c r="E570" s="42"/>
      <c r="F570" s="42"/>
    </row>
    <row r="571" spans="5:6" x14ac:dyDescent="0.25">
      <c r="E571" s="42"/>
      <c r="F571" s="42"/>
    </row>
    <row r="572" spans="5:6" x14ac:dyDescent="0.25">
      <c r="E572" s="42"/>
      <c r="F572" s="42"/>
    </row>
    <row r="573" spans="5:6" x14ac:dyDescent="0.25">
      <c r="E573" s="42"/>
      <c r="F573" s="42"/>
    </row>
    <row r="574" spans="5:6" x14ac:dyDescent="0.25">
      <c r="E574" s="42"/>
      <c r="F574" s="42"/>
    </row>
    <row r="575" spans="5:6" x14ac:dyDescent="0.25">
      <c r="E575" s="42"/>
      <c r="F575" s="42"/>
    </row>
    <row r="576" spans="5:6" x14ac:dyDescent="0.25">
      <c r="E576" s="42"/>
      <c r="F576" s="42"/>
    </row>
    <row r="577" spans="5:6" x14ac:dyDescent="0.25">
      <c r="E577" s="42"/>
      <c r="F577" s="42"/>
    </row>
    <row r="578" spans="5:6" x14ac:dyDescent="0.25">
      <c r="E578" s="42"/>
      <c r="F578" s="42"/>
    </row>
    <row r="579" spans="5:6" x14ac:dyDescent="0.25">
      <c r="E579" s="42"/>
      <c r="F579" s="42"/>
    </row>
    <row r="580" spans="5:6" x14ac:dyDescent="0.25">
      <c r="E580" s="42"/>
      <c r="F580" s="42"/>
    </row>
    <row r="581" spans="5:6" x14ac:dyDescent="0.25">
      <c r="E581" s="42"/>
      <c r="F581" s="42"/>
    </row>
    <row r="582" spans="5:6" x14ac:dyDescent="0.25">
      <c r="E582" s="42"/>
      <c r="F582" s="42"/>
    </row>
    <row r="583" spans="5:6" x14ac:dyDescent="0.25">
      <c r="E583" s="42"/>
      <c r="F583" s="42"/>
    </row>
    <row r="584" spans="5:6" x14ac:dyDescent="0.25">
      <c r="E584" s="42"/>
      <c r="F584" s="42"/>
    </row>
    <row r="585" spans="5:6" x14ac:dyDescent="0.25">
      <c r="E585" s="42"/>
      <c r="F585" s="42"/>
    </row>
    <row r="586" spans="5:6" x14ac:dyDescent="0.25">
      <c r="E586" s="42"/>
      <c r="F586" s="42"/>
    </row>
    <row r="587" spans="5:6" x14ac:dyDescent="0.25">
      <c r="E587" s="42"/>
      <c r="F587" s="42"/>
    </row>
    <row r="588" spans="5:6" x14ac:dyDescent="0.25">
      <c r="E588" s="42"/>
      <c r="F588" s="42"/>
    </row>
    <row r="589" spans="5:6" x14ac:dyDescent="0.25">
      <c r="E589" s="42"/>
      <c r="F589" s="42"/>
    </row>
    <row r="590" spans="5:6" x14ac:dyDescent="0.25">
      <c r="E590" s="42"/>
      <c r="F590" s="42"/>
    </row>
    <row r="591" spans="5:6" x14ac:dyDescent="0.25">
      <c r="E591" s="42"/>
      <c r="F591" s="42"/>
    </row>
    <row r="592" spans="5:6" x14ac:dyDescent="0.25">
      <c r="E592" s="42"/>
      <c r="F592" s="42"/>
    </row>
    <row r="593" spans="5:6" x14ac:dyDescent="0.25">
      <c r="E593" s="42"/>
      <c r="F593" s="42"/>
    </row>
    <row r="594" spans="5:6" x14ac:dyDescent="0.25">
      <c r="E594" s="42"/>
      <c r="F594" s="42"/>
    </row>
    <row r="595" spans="5:6" x14ac:dyDescent="0.25">
      <c r="E595" s="42"/>
      <c r="F595" s="42"/>
    </row>
    <row r="596" spans="5:6" x14ac:dyDescent="0.25">
      <c r="E596" s="42"/>
      <c r="F596" s="42"/>
    </row>
    <row r="597" spans="5:6" x14ac:dyDescent="0.25">
      <c r="E597" s="42"/>
      <c r="F597" s="42"/>
    </row>
    <row r="598" spans="5:6" x14ac:dyDescent="0.25">
      <c r="E598" s="42"/>
      <c r="F598" s="42"/>
    </row>
    <row r="599" spans="5:6" x14ac:dyDescent="0.25">
      <c r="E599" s="42"/>
      <c r="F599" s="42"/>
    </row>
    <row r="600" spans="5:6" x14ac:dyDescent="0.25">
      <c r="E600" s="42"/>
      <c r="F600" s="42"/>
    </row>
    <row r="601" spans="5:6" x14ac:dyDescent="0.25">
      <c r="E601" s="42"/>
      <c r="F601" s="42"/>
    </row>
    <row r="602" spans="5:6" x14ac:dyDescent="0.25">
      <c r="E602" s="42"/>
      <c r="F602" s="42"/>
    </row>
    <row r="603" spans="5:6" x14ac:dyDescent="0.25">
      <c r="E603" s="42"/>
      <c r="F603" s="42"/>
    </row>
    <row r="604" spans="5:6" x14ac:dyDescent="0.25">
      <c r="E604" s="42"/>
      <c r="F604" s="42"/>
    </row>
    <row r="605" spans="5:6" x14ac:dyDescent="0.25">
      <c r="E605" s="42"/>
      <c r="F605" s="42"/>
    </row>
    <row r="606" spans="5:6" x14ac:dyDescent="0.25">
      <c r="E606" s="42"/>
      <c r="F606" s="42"/>
    </row>
    <row r="607" spans="5:6" x14ac:dyDescent="0.25">
      <c r="E607" s="42"/>
      <c r="F607" s="42"/>
    </row>
    <row r="608" spans="5:6" x14ac:dyDescent="0.25">
      <c r="E608" s="42"/>
      <c r="F608" s="42"/>
    </row>
    <row r="609" spans="5:6" x14ac:dyDescent="0.25">
      <c r="E609" s="42"/>
      <c r="F609" s="42"/>
    </row>
    <row r="610" spans="5:6" x14ac:dyDescent="0.25">
      <c r="E610" s="42"/>
      <c r="F610" s="42"/>
    </row>
    <row r="611" spans="5:6" x14ac:dyDescent="0.25">
      <c r="E611" s="42"/>
      <c r="F611" s="42"/>
    </row>
    <row r="612" spans="5:6" x14ac:dyDescent="0.25">
      <c r="E612" s="42"/>
      <c r="F612" s="42"/>
    </row>
    <row r="613" spans="5:6" x14ac:dyDescent="0.25">
      <c r="E613" s="42"/>
      <c r="F613" s="42"/>
    </row>
    <row r="614" spans="5:6" x14ac:dyDescent="0.25">
      <c r="E614" s="42"/>
      <c r="F614" s="42"/>
    </row>
    <row r="615" spans="5:6" x14ac:dyDescent="0.25">
      <c r="E615" s="42"/>
      <c r="F615" s="42"/>
    </row>
    <row r="616" spans="5:6" x14ac:dyDescent="0.25">
      <c r="E616" s="42"/>
      <c r="F616" s="42"/>
    </row>
    <row r="617" spans="5:6" x14ac:dyDescent="0.25">
      <c r="E617" s="42"/>
      <c r="F617" s="42"/>
    </row>
    <row r="618" spans="5:6" x14ac:dyDescent="0.25">
      <c r="E618" s="42"/>
      <c r="F618" s="42"/>
    </row>
    <row r="619" spans="5:6" x14ac:dyDescent="0.25">
      <c r="E619" s="42"/>
      <c r="F619" s="42"/>
    </row>
    <row r="620" spans="5:6" x14ac:dyDescent="0.25">
      <c r="E620" s="42"/>
      <c r="F620" s="42"/>
    </row>
    <row r="621" spans="5:6" x14ac:dyDescent="0.25">
      <c r="E621" s="42"/>
      <c r="F621" s="42"/>
    </row>
    <row r="622" spans="5:6" x14ac:dyDescent="0.25">
      <c r="E622" s="42"/>
      <c r="F622" s="42"/>
    </row>
    <row r="623" spans="5:6" x14ac:dyDescent="0.25">
      <c r="E623" s="42"/>
      <c r="F623" s="42"/>
    </row>
    <row r="624" spans="5:6" x14ac:dyDescent="0.25">
      <c r="E624" s="42"/>
      <c r="F624" s="42"/>
    </row>
    <row r="625" spans="5:6" x14ac:dyDescent="0.25">
      <c r="E625" s="42"/>
      <c r="F625" s="42"/>
    </row>
    <row r="626" spans="5:6" x14ac:dyDescent="0.25">
      <c r="E626" s="42"/>
      <c r="F626" s="42"/>
    </row>
    <row r="627" spans="5:6" x14ac:dyDescent="0.25">
      <c r="E627" s="42"/>
      <c r="F627" s="42"/>
    </row>
    <row r="628" spans="5:6" x14ac:dyDescent="0.25">
      <c r="E628" s="42"/>
      <c r="F628" s="42"/>
    </row>
    <row r="629" spans="5:6" x14ac:dyDescent="0.25">
      <c r="E629" s="42"/>
      <c r="F629" s="42"/>
    </row>
    <row r="630" spans="5:6" x14ac:dyDescent="0.25">
      <c r="E630" s="42"/>
      <c r="F630" s="42"/>
    </row>
    <row r="631" spans="5:6" x14ac:dyDescent="0.25">
      <c r="E631" s="42"/>
      <c r="F631" s="42"/>
    </row>
    <row r="632" spans="5:6" x14ac:dyDescent="0.25">
      <c r="E632" s="42"/>
      <c r="F632" s="42"/>
    </row>
    <row r="633" spans="5:6" x14ac:dyDescent="0.25">
      <c r="E633" s="42"/>
      <c r="F633" s="42"/>
    </row>
    <row r="634" spans="5:6" x14ac:dyDescent="0.25">
      <c r="E634" s="42"/>
      <c r="F634" s="42"/>
    </row>
    <row r="635" spans="5:6" x14ac:dyDescent="0.25">
      <c r="E635" s="42"/>
      <c r="F635" s="42"/>
    </row>
    <row r="636" spans="5:6" x14ac:dyDescent="0.25">
      <c r="E636" s="42"/>
      <c r="F636" s="42"/>
    </row>
    <row r="637" spans="5:6" x14ac:dyDescent="0.25">
      <c r="E637" s="42"/>
      <c r="F637" s="42"/>
    </row>
    <row r="638" spans="5:6" x14ac:dyDescent="0.25">
      <c r="E638" s="42"/>
      <c r="F638" s="42"/>
    </row>
    <row r="639" spans="5:6" x14ac:dyDescent="0.25">
      <c r="E639" s="42"/>
      <c r="F639" s="42"/>
    </row>
    <row r="640" spans="5:6" x14ac:dyDescent="0.25">
      <c r="E640" s="42"/>
      <c r="F640" s="42"/>
    </row>
    <row r="641" spans="5:6" x14ac:dyDescent="0.25">
      <c r="E641" s="42"/>
      <c r="F641" s="42"/>
    </row>
    <row r="642" spans="5:6" x14ac:dyDescent="0.25">
      <c r="E642" s="42"/>
      <c r="F642" s="42"/>
    </row>
    <row r="643" spans="5:6" x14ac:dyDescent="0.25">
      <c r="E643" s="42"/>
      <c r="F643" s="42"/>
    </row>
    <row r="644" spans="5:6" x14ac:dyDescent="0.25">
      <c r="E644" s="42"/>
      <c r="F644" s="42"/>
    </row>
    <row r="645" spans="5:6" x14ac:dyDescent="0.25">
      <c r="E645" s="42"/>
      <c r="F645" s="42"/>
    </row>
    <row r="646" spans="5:6" x14ac:dyDescent="0.25">
      <c r="E646" s="42"/>
      <c r="F646" s="42"/>
    </row>
    <row r="647" spans="5:6" x14ac:dyDescent="0.25">
      <c r="E647" s="42"/>
      <c r="F647" s="42"/>
    </row>
    <row r="648" spans="5:6" x14ac:dyDescent="0.25">
      <c r="E648" s="42"/>
      <c r="F648" s="42"/>
    </row>
    <row r="649" spans="5:6" x14ac:dyDescent="0.25">
      <c r="E649" s="42"/>
      <c r="F649" s="42"/>
    </row>
    <row r="650" spans="5:6" x14ac:dyDescent="0.25">
      <c r="E650" s="42"/>
      <c r="F650" s="42"/>
    </row>
    <row r="651" spans="5:6" x14ac:dyDescent="0.25">
      <c r="E651" s="42"/>
      <c r="F651" s="42"/>
    </row>
    <row r="652" spans="5:6" x14ac:dyDescent="0.25">
      <c r="E652" s="42"/>
      <c r="F652" s="42"/>
    </row>
    <row r="653" spans="5:6" x14ac:dyDescent="0.25">
      <c r="E653" s="42"/>
      <c r="F653" s="42"/>
    </row>
    <row r="654" spans="5:6" x14ac:dyDescent="0.25">
      <c r="E654" s="42"/>
      <c r="F654" s="42"/>
    </row>
    <row r="655" spans="5:6" x14ac:dyDescent="0.25">
      <c r="E655" s="42"/>
      <c r="F655" s="42"/>
    </row>
    <row r="656" spans="5:6" x14ac:dyDescent="0.25">
      <c r="E656" s="42"/>
      <c r="F656" s="42"/>
    </row>
    <row r="657" spans="5:6" x14ac:dyDescent="0.25">
      <c r="E657" s="42"/>
      <c r="F657" s="42"/>
    </row>
    <row r="658" spans="5:6" x14ac:dyDescent="0.25">
      <c r="E658" s="42"/>
      <c r="F658" s="42"/>
    </row>
    <row r="659" spans="5:6" x14ac:dyDescent="0.25">
      <c r="E659" s="42"/>
      <c r="F659" s="42"/>
    </row>
    <row r="660" spans="5:6" x14ac:dyDescent="0.25">
      <c r="E660" s="42"/>
      <c r="F660" s="42"/>
    </row>
    <row r="661" spans="5:6" x14ac:dyDescent="0.25">
      <c r="E661" s="42"/>
      <c r="F661" s="42"/>
    </row>
    <row r="662" spans="5:6" x14ac:dyDescent="0.25">
      <c r="E662" s="42"/>
      <c r="F662" s="42"/>
    </row>
    <row r="663" spans="5:6" x14ac:dyDescent="0.25">
      <c r="E663" s="42"/>
      <c r="F663" s="42"/>
    </row>
    <row r="664" spans="5:6" x14ac:dyDescent="0.25">
      <c r="E664" s="42"/>
      <c r="F664" s="42"/>
    </row>
    <row r="665" spans="5:6" x14ac:dyDescent="0.25">
      <c r="E665" s="42"/>
      <c r="F665" s="42"/>
    </row>
    <row r="666" spans="5:6" x14ac:dyDescent="0.25">
      <c r="E666" s="42"/>
      <c r="F666" s="42"/>
    </row>
    <row r="667" spans="5:6" x14ac:dyDescent="0.25">
      <c r="E667" s="42"/>
      <c r="F667" s="42"/>
    </row>
    <row r="668" spans="5:6" x14ac:dyDescent="0.25">
      <c r="E668" s="42"/>
      <c r="F668" s="42"/>
    </row>
    <row r="669" spans="5:6" x14ac:dyDescent="0.25">
      <c r="E669" s="42"/>
      <c r="F669" s="42"/>
    </row>
    <row r="670" spans="5:6" x14ac:dyDescent="0.25">
      <c r="E670" s="42"/>
      <c r="F670" s="42"/>
    </row>
    <row r="671" spans="5:6" x14ac:dyDescent="0.25">
      <c r="E671" s="42"/>
      <c r="F671" s="42"/>
    </row>
    <row r="672" spans="5:6" x14ac:dyDescent="0.25">
      <c r="E672" s="42"/>
      <c r="F672" s="42"/>
    </row>
    <row r="673" spans="5:6" x14ac:dyDescent="0.25">
      <c r="E673" s="42"/>
      <c r="F673" s="42"/>
    </row>
    <row r="674" spans="5:6" x14ac:dyDescent="0.25">
      <c r="E674" s="42"/>
      <c r="F674" s="42"/>
    </row>
    <row r="675" spans="5:6" x14ac:dyDescent="0.25">
      <c r="E675" s="42"/>
      <c r="F675" s="42"/>
    </row>
    <row r="676" spans="5:6" x14ac:dyDescent="0.25">
      <c r="E676" s="42"/>
      <c r="F676" s="42"/>
    </row>
    <row r="677" spans="5:6" x14ac:dyDescent="0.25">
      <c r="E677" s="42"/>
      <c r="F677" s="42"/>
    </row>
    <row r="678" spans="5:6" x14ac:dyDescent="0.25">
      <c r="E678" s="42"/>
      <c r="F678" s="42"/>
    </row>
    <row r="679" spans="5:6" x14ac:dyDescent="0.25">
      <c r="E679" s="42"/>
      <c r="F679" s="42"/>
    </row>
    <row r="680" spans="5:6" x14ac:dyDescent="0.25">
      <c r="E680" s="42"/>
      <c r="F680" s="42"/>
    </row>
    <row r="681" spans="5:6" x14ac:dyDescent="0.25">
      <c r="E681" s="42"/>
      <c r="F681" s="42"/>
    </row>
    <row r="682" spans="5:6" x14ac:dyDescent="0.25">
      <c r="E682" s="42"/>
      <c r="F682" s="42"/>
    </row>
    <row r="683" spans="5:6" x14ac:dyDescent="0.25">
      <c r="E683" s="42"/>
      <c r="F683" s="42"/>
    </row>
    <row r="684" spans="5:6" x14ac:dyDescent="0.25">
      <c r="E684" s="42"/>
      <c r="F684" s="42"/>
    </row>
    <row r="685" spans="5:6" x14ac:dyDescent="0.25">
      <c r="E685" s="42"/>
      <c r="F685" s="42"/>
    </row>
    <row r="686" spans="5:6" x14ac:dyDescent="0.25">
      <c r="E686" s="42"/>
      <c r="F686" s="42"/>
    </row>
    <row r="687" spans="5:6" x14ac:dyDescent="0.25">
      <c r="E687" s="42"/>
      <c r="F687" s="42"/>
    </row>
    <row r="688" spans="5:6" x14ac:dyDescent="0.25">
      <c r="E688" s="42"/>
      <c r="F688" s="42"/>
    </row>
    <row r="689" spans="5:6" x14ac:dyDescent="0.25">
      <c r="E689" s="42"/>
      <c r="F689" s="42"/>
    </row>
    <row r="690" spans="5:6" x14ac:dyDescent="0.25">
      <c r="E690" s="42"/>
      <c r="F690" s="42"/>
    </row>
    <row r="691" spans="5:6" x14ac:dyDescent="0.25">
      <c r="E691" s="42"/>
      <c r="F691" s="42"/>
    </row>
    <row r="692" spans="5:6" x14ac:dyDescent="0.25">
      <c r="E692" s="42"/>
      <c r="F692" s="42"/>
    </row>
    <row r="693" spans="5:6" x14ac:dyDescent="0.25">
      <c r="E693" s="42"/>
      <c r="F693" s="42"/>
    </row>
    <row r="694" spans="5:6" x14ac:dyDescent="0.25">
      <c r="E694" s="42"/>
      <c r="F694" s="42"/>
    </row>
    <row r="695" spans="5:6" x14ac:dyDescent="0.25">
      <c r="E695" s="42"/>
      <c r="F695" s="42"/>
    </row>
    <row r="696" spans="5:6" x14ac:dyDescent="0.25">
      <c r="E696" s="42"/>
      <c r="F696" s="42"/>
    </row>
    <row r="697" spans="5:6" x14ac:dyDescent="0.25">
      <c r="E697" s="42"/>
      <c r="F697" s="42"/>
    </row>
    <row r="698" spans="5:6" x14ac:dyDescent="0.25">
      <c r="E698" s="42"/>
      <c r="F698" s="42"/>
    </row>
    <row r="699" spans="5:6" x14ac:dyDescent="0.25">
      <c r="E699" s="42"/>
      <c r="F699" s="42"/>
    </row>
    <row r="700" spans="5:6" x14ac:dyDescent="0.25">
      <c r="E700" s="42"/>
      <c r="F700" s="42"/>
    </row>
    <row r="701" spans="5:6" x14ac:dyDescent="0.25">
      <c r="E701" s="42"/>
      <c r="F701" s="42"/>
    </row>
    <row r="702" spans="5:6" x14ac:dyDescent="0.25">
      <c r="E702" s="42"/>
      <c r="F702" s="42"/>
    </row>
    <row r="703" spans="5:6" x14ac:dyDescent="0.25">
      <c r="E703" s="42"/>
      <c r="F703" s="42"/>
    </row>
    <row r="704" spans="5:6" x14ac:dyDescent="0.25">
      <c r="E704" s="42"/>
      <c r="F704" s="42"/>
    </row>
    <row r="705" spans="5:6" x14ac:dyDescent="0.25">
      <c r="E705" s="42"/>
      <c r="F705" s="42"/>
    </row>
    <row r="706" spans="5:6" x14ac:dyDescent="0.25">
      <c r="E706" s="42"/>
      <c r="F706" s="42"/>
    </row>
    <row r="707" spans="5:6" x14ac:dyDescent="0.25">
      <c r="E707" s="42"/>
      <c r="F707" s="42"/>
    </row>
    <row r="708" spans="5:6" x14ac:dyDescent="0.25">
      <c r="E708" s="42"/>
      <c r="F708" s="42"/>
    </row>
    <row r="709" spans="5:6" x14ac:dyDescent="0.25">
      <c r="E709" s="42"/>
      <c r="F709" s="42"/>
    </row>
    <row r="710" spans="5:6" x14ac:dyDescent="0.25">
      <c r="E710" s="42"/>
      <c r="F710" s="42"/>
    </row>
    <row r="711" spans="5:6" x14ac:dyDescent="0.25">
      <c r="E711" s="42"/>
      <c r="F711" s="42"/>
    </row>
    <row r="712" spans="5:6" x14ac:dyDescent="0.25">
      <c r="E712" s="42"/>
      <c r="F712" s="42"/>
    </row>
    <row r="713" spans="5:6" x14ac:dyDescent="0.25">
      <c r="E713" s="42"/>
      <c r="F713" s="42"/>
    </row>
    <row r="714" spans="5:6" x14ac:dyDescent="0.25">
      <c r="E714" s="42"/>
      <c r="F714" s="42"/>
    </row>
    <row r="715" spans="5:6" x14ac:dyDescent="0.25">
      <c r="E715" s="42"/>
      <c r="F715" s="42"/>
    </row>
    <row r="716" spans="5:6" x14ac:dyDescent="0.25">
      <c r="E716" s="42"/>
      <c r="F716" s="42"/>
    </row>
    <row r="717" spans="5:6" x14ac:dyDescent="0.25">
      <c r="E717" s="42"/>
      <c r="F717" s="42"/>
    </row>
    <row r="718" spans="5:6" x14ac:dyDescent="0.25">
      <c r="E718" s="42"/>
      <c r="F718" s="42"/>
    </row>
    <row r="719" spans="5:6" x14ac:dyDescent="0.25">
      <c r="E719" s="42"/>
      <c r="F719" s="42"/>
    </row>
    <row r="720" spans="5:6" x14ac:dyDescent="0.25">
      <c r="E720" s="42"/>
      <c r="F720" s="42"/>
    </row>
    <row r="721" spans="5:6" x14ac:dyDescent="0.25">
      <c r="E721" s="42"/>
      <c r="F721" s="42"/>
    </row>
    <row r="722" spans="5:6" x14ac:dyDescent="0.25">
      <c r="E722" s="42"/>
      <c r="F722" s="42"/>
    </row>
    <row r="723" spans="5:6" x14ac:dyDescent="0.25">
      <c r="E723" s="42"/>
      <c r="F723" s="42"/>
    </row>
    <row r="724" spans="5:6" x14ac:dyDescent="0.25">
      <c r="E724" s="42"/>
      <c r="F724" s="42"/>
    </row>
    <row r="725" spans="5:6" x14ac:dyDescent="0.25">
      <c r="E725" s="42"/>
      <c r="F725" s="42"/>
    </row>
    <row r="726" spans="5:6" x14ac:dyDescent="0.25">
      <c r="E726" s="42"/>
      <c r="F726" s="42"/>
    </row>
    <row r="727" spans="5:6" x14ac:dyDescent="0.25">
      <c r="E727" s="42"/>
      <c r="F727" s="42"/>
    </row>
    <row r="728" spans="5:6" x14ac:dyDescent="0.25">
      <c r="E728" s="42"/>
      <c r="F728" s="42"/>
    </row>
    <row r="729" spans="5:6" x14ac:dyDescent="0.25">
      <c r="E729" s="42"/>
      <c r="F729" s="42"/>
    </row>
    <row r="730" spans="5:6" x14ac:dyDescent="0.25">
      <c r="E730" s="42"/>
      <c r="F730" s="42"/>
    </row>
    <row r="731" spans="5:6" x14ac:dyDescent="0.25">
      <c r="E731" s="42"/>
      <c r="F731" s="42"/>
    </row>
    <row r="732" spans="5:6" x14ac:dyDescent="0.25">
      <c r="E732" s="42"/>
      <c r="F732" s="42"/>
    </row>
    <row r="733" spans="5:6" x14ac:dyDescent="0.25">
      <c r="E733" s="42"/>
      <c r="F733" s="42"/>
    </row>
    <row r="734" spans="5:6" x14ac:dyDescent="0.25">
      <c r="E734" s="42"/>
      <c r="F734" s="42"/>
    </row>
    <row r="735" spans="5:6" x14ac:dyDescent="0.25">
      <c r="E735" s="42"/>
      <c r="F735" s="42"/>
    </row>
    <row r="736" spans="5:6" x14ac:dyDescent="0.25">
      <c r="E736" s="42"/>
      <c r="F736" s="42"/>
    </row>
    <row r="737" spans="5:6" x14ac:dyDescent="0.25">
      <c r="E737" s="42"/>
      <c r="F737" s="42"/>
    </row>
    <row r="738" spans="5:6" x14ac:dyDescent="0.25">
      <c r="E738" s="42"/>
      <c r="F738" s="42"/>
    </row>
    <row r="739" spans="5:6" x14ac:dyDescent="0.25">
      <c r="E739" s="42"/>
      <c r="F739" s="42"/>
    </row>
    <row r="740" spans="5:6" x14ac:dyDescent="0.25">
      <c r="E740" s="42"/>
      <c r="F740" s="42"/>
    </row>
    <row r="741" spans="5:6" x14ac:dyDescent="0.25">
      <c r="E741" s="42"/>
      <c r="F741" s="42"/>
    </row>
    <row r="742" spans="5:6" x14ac:dyDescent="0.25">
      <c r="E742" s="42"/>
      <c r="F742" s="42"/>
    </row>
    <row r="743" spans="5:6" x14ac:dyDescent="0.25">
      <c r="E743" s="42"/>
      <c r="F743" s="42"/>
    </row>
    <row r="744" spans="5:6" x14ac:dyDescent="0.25">
      <c r="E744" s="42"/>
      <c r="F744" s="42"/>
    </row>
    <row r="745" spans="5:6" x14ac:dyDescent="0.25">
      <c r="E745" s="42"/>
      <c r="F745" s="42"/>
    </row>
    <row r="746" spans="5:6" x14ac:dyDescent="0.25">
      <c r="E746" s="42"/>
      <c r="F746" s="42"/>
    </row>
    <row r="747" spans="5:6" x14ac:dyDescent="0.25">
      <c r="E747" s="42"/>
      <c r="F747" s="42"/>
    </row>
    <row r="748" spans="5:6" x14ac:dyDescent="0.25">
      <c r="E748" s="42"/>
      <c r="F748" s="42"/>
    </row>
    <row r="749" spans="5:6" x14ac:dyDescent="0.25">
      <c r="E749" s="42"/>
      <c r="F749" s="42"/>
    </row>
    <row r="750" spans="5:6" x14ac:dyDescent="0.25">
      <c r="E750" s="42"/>
      <c r="F750" s="42"/>
    </row>
    <row r="751" spans="5:6" x14ac:dyDescent="0.25">
      <c r="E751" s="42"/>
      <c r="F751" s="42"/>
    </row>
    <row r="752" spans="5:6" x14ac:dyDescent="0.25">
      <c r="E752" s="42"/>
      <c r="F752" s="42"/>
    </row>
    <row r="753" spans="5:6" x14ac:dyDescent="0.25">
      <c r="E753" s="42"/>
      <c r="F753" s="42"/>
    </row>
    <row r="754" spans="5:6" x14ac:dyDescent="0.25">
      <c r="E754" s="42"/>
      <c r="F754" s="42"/>
    </row>
    <row r="755" spans="5:6" x14ac:dyDescent="0.25">
      <c r="E755" s="42"/>
      <c r="F755" s="42"/>
    </row>
    <row r="756" spans="5:6" x14ac:dyDescent="0.25">
      <c r="E756" s="42"/>
      <c r="F756" s="42"/>
    </row>
    <row r="757" spans="5:6" x14ac:dyDescent="0.25">
      <c r="E757" s="42"/>
      <c r="F757" s="42"/>
    </row>
    <row r="758" spans="5:6" x14ac:dyDescent="0.25">
      <c r="E758" s="42"/>
      <c r="F758" s="42"/>
    </row>
    <row r="759" spans="5:6" x14ac:dyDescent="0.25">
      <c r="E759" s="42"/>
      <c r="F759" s="42"/>
    </row>
    <row r="760" spans="5:6" x14ac:dyDescent="0.25">
      <c r="E760" s="42"/>
      <c r="F760" s="42"/>
    </row>
    <row r="761" spans="5:6" x14ac:dyDescent="0.25">
      <c r="E761" s="42"/>
      <c r="F761" s="42"/>
    </row>
    <row r="762" spans="5:6" x14ac:dyDescent="0.25">
      <c r="E762" s="42"/>
      <c r="F762" s="42"/>
    </row>
    <row r="763" spans="5:6" x14ac:dyDescent="0.25">
      <c r="E763" s="42"/>
      <c r="F763" s="42"/>
    </row>
    <row r="764" spans="5:6" x14ac:dyDescent="0.25">
      <c r="E764" s="42"/>
      <c r="F764" s="42"/>
    </row>
    <row r="765" spans="5:6" x14ac:dyDescent="0.25">
      <c r="E765" s="42"/>
      <c r="F765" s="42"/>
    </row>
    <row r="766" spans="5:6" x14ac:dyDescent="0.25">
      <c r="E766" s="42"/>
      <c r="F766" s="42"/>
    </row>
    <row r="767" spans="5:6" x14ac:dyDescent="0.25">
      <c r="E767" s="42"/>
      <c r="F767" s="42"/>
    </row>
    <row r="768" spans="5:6" x14ac:dyDescent="0.25">
      <c r="E768" s="42"/>
      <c r="F768" s="42"/>
    </row>
    <row r="769" spans="5:6" x14ac:dyDescent="0.25">
      <c r="E769" s="42"/>
      <c r="F769" s="42"/>
    </row>
    <row r="770" spans="5:6" x14ac:dyDescent="0.25">
      <c r="E770" s="42"/>
      <c r="F770" s="42"/>
    </row>
    <row r="771" spans="5:6" x14ac:dyDescent="0.25">
      <c r="E771" s="42"/>
      <c r="F771" s="42"/>
    </row>
    <row r="772" spans="5:6" x14ac:dyDescent="0.25">
      <c r="E772" s="42"/>
      <c r="F772" s="42"/>
    </row>
    <row r="773" spans="5:6" x14ac:dyDescent="0.25">
      <c r="E773" s="42"/>
      <c r="F773" s="42"/>
    </row>
    <row r="774" spans="5:6" x14ac:dyDescent="0.25">
      <c r="E774" s="42"/>
      <c r="F774" s="42"/>
    </row>
    <row r="775" spans="5:6" x14ac:dyDescent="0.25">
      <c r="E775" s="42"/>
      <c r="F775" s="42"/>
    </row>
    <row r="776" spans="5:6" x14ac:dyDescent="0.25">
      <c r="E776" s="42"/>
      <c r="F776" s="42"/>
    </row>
    <row r="777" spans="5:6" x14ac:dyDescent="0.25">
      <c r="E777" s="42"/>
      <c r="F777" s="42"/>
    </row>
    <row r="778" spans="5:6" x14ac:dyDescent="0.25">
      <c r="E778" s="42"/>
      <c r="F778" s="42"/>
    </row>
    <row r="779" spans="5:6" x14ac:dyDescent="0.25">
      <c r="E779" s="42"/>
      <c r="F779" s="42"/>
    </row>
    <row r="780" spans="5:6" x14ac:dyDescent="0.25">
      <c r="E780" s="42"/>
      <c r="F780" s="42"/>
    </row>
    <row r="781" spans="5:6" x14ac:dyDescent="0.25">
      <c r="E781" s="42"/>
      <c r="F781" s="42"/>
    </row>
    <row r="782" spans="5:6" x14ac:dyDescent="0.25">
      <c r="E782" s="42"/>
      <c r="F782" s="42"/>
    </row>
    <row r="783" spans="5:6" x14ac:dyDescent="0.25">
      <c r="E783" s="42"/>
      <c r="F783" s="42"/>
    </row>
    <row r="784" spans="5:6" x14ac:dyDescent="0.25">
      <c r="E784" s="42"/>
      <c r="F784" s="42"/>
    </row>
    <row r="785" spans="5:6" x14ac:dyDescent="0.25">
      <c r="E785" s="42"/>
      <c r="F785" s="42"/>
    </row>
    <row r="786" spans="5:6" x14ac:dyDescent="0.25">
      <c r="E786" s="42"/>
      <c r="F786" s="42"/>
    </row>
    <row r="787" spans="5:6" x14ac:dyDescent="0.25">
      <c r="E787" s="42"/>
      <c r="F787" s="42"/>
    </row>
    <row r="788" spans="5:6" x14ac:dyDescent="0.25">
      <c r="E788" s="42"/>
      <c r="F788" s="42"/>
    </row>
    <row r="789" spans="5:6" x14ac:dyDescent="0.25">
      <c r="E789" s="42"/>
      <c r="F789" s="42"/>
    </row>
    <row r="790" spans="5:6" x14ac:dyDescent="0.25">
      <c r="E790" s="42"/>
      <c r="F790" s="42"/>
    </row>
    <row r="791" spans="5:6" x14ac:dyDescent="0.25">
      <c r="E791" s="42"/>
      <c r="F791" s="42"/>
    </row>
    <row r="792" spans="5:6" x14ac:dyDescent="0.25">
      <c r="E792" s="42"/>
      <c r="F792" s="42"/>
    </row>
    <row r="793" spans="5:6" x14ac:dyDescent="0.25">
      <c r="E793" s="42"/>
      <c r="F793" s="42"/>
    </row>
    <row r="794" spans="5:6" x14ac:dyDescent="0.25">
      <c r="E794" s="42"/>
      <c r="F794" s="42"/>
    </row>
    <row r="795" spans="5:6" x14ac:dyDescent="0.25">
      <c r="E795" s="42"/>
      <c r="F795" s="42"/>
    </row>
    <row r="796" spans="5:6" x14ac:dyDescent="0.25">
      <c r="E796" s="42"/>
      <c r="F796" s="42"/>
    </row>
    <row r="797" spans="5:6" x14ac:dyDescent="0.25">
      <c r="E797" s="42"/>
      <c r="F797" s="42"/>
    </row>
    <row r="798" spans="5:6" x14ac:dyDescent="0.25">
      <c r="E798" s="42"/>
      <c r="F798" s="42"/>
    </row>
    <row r="799" spans="5:6" x14ac:dyDescent="0.25">
      <c r="E799" s="42"/>
      <c r="F799" s="42"/>
    </row>
    <row r="800" spans="5:6" x14ac:dyDescent="0.25">
      <c r="E800" s="42"/>
      <c r="F800" s="42"/>
    </row>
    <row r="801" spans="5:6" x14ac:dyDescent="0.25">
      <c r="E801" s="42"/>
      <c r="F801" s="42"/>
    </row>
    <row r="802" spans="5:6" x14ac:dyDescent="0.25">
      <c r="E802" s="42"/>
      <c r="F802" s="42"/>
    </row>
    <row r="803" spans="5:6" x14ac:dyDescent="0.25">
      <c r="E803" s="42"/>
      <c r="F803" s="42"/>
    </row>
    <row r="804" spans="5:6" x14ac:dyDescent="0.25">
      <c r="E804" s="42"/>
      <c r="F804" s="42"/>
    </row>
    <row r="805" spans="5:6" x14ac:dyDescent="0.25">
      <c r="E805" s="42"/>
      <c r="F805" s="42"/>
    </row>
    <row r="806" spans="5:6" x14ac:dyDescent="0.25">
      <c r="E806" s="42"/>
      <c r="F806" s="42"/>
    </row>
    <row r="807" spans="5:6" x14ac:dyDescent="0.25">
      <c r="E807" s="42"/>
      <c r="F807" s="42"/>
    </row>
    <row r="808" spans="5:6" x14ac:dyDescent="0.25">
      <c r="E808" s="42"/>
      <c r="F808" s="42"/>
    </row>
    <row r="809" spans="5:6" x14ac:dyDescent="0.25">
      <c r="E809" s="42"/>
      <c r="F809" s="42"/>
    </row>
    <row r="810" spans="5:6" x14ac:dyDescent="0.25">
      <c r="E810" s="42"/>
      <c r="F810" s="42"/>
    </row>
    <row r="811" spans="5:6" x14ac:dyDescent="0.25">
      <c r="E811" s="42"/>
      <c r="F811" s="42"/>
    </row>
    <row r="812" spans="5:6" x14ac:dyDescent="0.25">
      <c r="E812" s="42"/>
      <c r="F812" s="42"/>
    </row>
    <row r="813" spans="5:6" x14ac:dyDescent="0.25">
      <c r="E813" s="42"/>
      <c r="F813" s="42"/>
    </row>
    <row r="814" spans="5:6" x14ac:dyDescent="0.25">
      <c r="E814" s="42"/>
      <c r="F814" s="42"/>
    </row>
    <row r="815" spans="5:6" x14ac:dyDescent="0.25">
      <c r="E815" s="42"/>
      <c r="F815" s="42"/>
    </row>
    <row r="816" spans="5:6" x14ac:dyDescent="0.25">
      <c r="E816" s="42"/>
      <c r="F816" s="42"/>
    </row>
    <row r="817" spans="5:6" x14ac:dyDescent="0.25">
      <c r="E817" s="42"/>
      <c r="F817" s="42"/>
    </row>
    <row r="818" spans="5:6" x14ac:dyDescent="0.25">
      <c r="E818" s="42"/>
      <c r="F818" s="42"/>
    </row>
    <row r="819" spans="5:6" x14ac:dyDescent="0.25">
      <c r="E819" s="42"/>
      <c r="F819" s="42"/>
    </row>
    <row r="820" spans="5:6" x14ac:dyDescent="0.25">
      <c r="E820" s="42"/>
      <c r="F820" s="42"/>
    </row>
    <row r="821" spans="5:6" x14ac:dyDescent="0.25">
      <c r="E821" s="42"/>
      <c r="F821" s="42"/>
    </row>
    <row r="822" spans="5:6" x14ac:dyDescent="0.25">
      <c r="E822" s="42"/>
      <c r="F822" s="42"/>
    </row>
    <row r="823" spans="5:6" x14ac:dyDescent="0.25">
      <c r="E823" s="42"/>
      <c r="F823" s="42"/>
    </row>
    <row r="824" spans="5:6" x14ac:dyDescent="0.25">
      <c r="E824" s="42"/>
      <c r="F824" s="42"/>
    </row>
    <row r="825" spans="5:6" x14ac:dyDescent="0.25">
      <c r="E825" s="42"/>
      <c r="F825" s="42"/>
    </row>
    <row r="826" spans="5:6" x14ac:dyDescent="0.25">
      <c r="E826" s="42"/>
      <c r="F826" s="42"/>
    </row>
    <row r="827" spans="5:6" x14ac:dyDescent="0.25">
      <c r="E827" s="42"/>
      <c r="F827" s="42"/>
    </row>
    <row r="828" spans="5:6" x14ac:dyDescent="0.25">
      <c r="E828" s="42"/>
      <c r="F828" s="42"/>
    </row>
    <row r="829" spans="5:6" x14ac:dyDescent="0.25">
      <c r="E829" s="42"/>
      <c r="F829" s="42"/>
    </row>
    <row r="830" spans="5:6" x14ac:dyDescent="0.25">
      <c r="E830" s="42"/>
      <c r="F830" s="42"/>
    </row>
    <row r="831" spans="5:6" x14ac:dyDescent="0.25">
      <c r="E831" s="42"/>
      <c r="F831" s="42"/>
    </row>
    <row r="832" spans="5:6" x14ac:dyDescent="0.25">
      <c r="E832" s="42"/>
      <c r="F832" s="42"/>
    </row>
    <row r="833" spans="5:6" x14ac:dyDescent="0.25">
      <c r="E833" s="42"/>
      <c r="F833" s="42"/>
    </row>
    <row r="834" spans="5:6" x14ac:dyDescent="0.25">
      <c r="E834" s="42"/>
      <c r="F834" s="42"/>
    </row>
    <row r="835" spans="5:6" x14ac:dyDescent="0.25">
      <c r="E835" s="42"/>
      <c r="F835" s="42"/>
    </row>
    <row r="836" spans="5:6" x14ac:dyDescent="0.25">
      <c r="E836" s="42"/>
      <c r="F836" s="42"/>
    </row>
    <row r="837" spans="5:6" x14ac:dyDescent="0.25">
      <c r="E837" s="42"/>
      <c r="F837" s="42"/>
    </row>
    <row r="838" spans="5:6" x14ac:dyDescent="0.25">
      <c r="E838" s="42"/>
      <c r="F838" s="42"/>
    </row>
    <row r="839" spans="5:6" x14ac:dyDescent="0.25">
      <c r="E839" s="42"/>
      <c r="F839" s="42"/>
    </row>
    <row r="840" spans="5:6" x14ac:dyDescent="0.25">
      <c r="E840" s="42"/>
      <c r="F840" s="42"/>
    </row>
    <row r="841" spans="5:6" x14ac:dyDescent="0.25">
      <c r="E841" s="42"/>
      <c r="F841" s="42"/>
    </row>
    <row r="842" spans="5:6" x14ac:dyDescent="0.25">
      <c r="E842" s="42"/>
      <c r="F842" s="42"/>
    </row>
    <row r="843" spans="5:6" x14ac:dyDescent="0.25">
      <c r="E843" s="42"/>
      <c r="F843" s="42"/>
    </row>
    <row r="844" spans="5:6" x14ac:dyDescent="0.25">
      <c r="E844" s="42"/>
      <c r="F844" s="42"/>
    </row>
    <row r="845" spans="5:6" x14ac:dyDescent="0.25">
      <c r="E845" s="42"/>
      <c r="F845" s="42"/>
    </row>
    <row r="846" spans="5:6" x14ac:dyDescent="0.25">
      <c r="E846" s="42"/>
      <c r="F846" s="42"/>
    </row>
    <row r="847" spans="5:6" x14ac:dyDescent="0.25">
      <c r="E847" s="42"/>
      <c r="F847" s="42"/>
    </row>
    <row r="848" spans="5:6" x14ac:dyDescent="0.25">
      <c r="E848" s="42"/>
      <c r="F848" s="42"/>
    </row>
    <row r="849" spans="5:6" x14ac:dyDescent="0.25">
      <c r="E849" s="42"/>
      <c r="F849" s="42"/>
    </row>
    <row r="850" spans="5:6" x14ac:dyDescent="0.25">
      <c r="E850" s="42"/>
      <c r="F850" s="42"/>
    </row>
    <row r="851" spans="5:6" x14ac:dyDescent="0.25">
      <c r="E851" s="42"/>
      <c r="F851" s="42"/>
    </row>
    <row r="852" spans="5:6" x14ac:dyDescent="0.25">
      <c r="E852" s="42"/>
      <c r="F852" s="42"/>
    </row>
    <row r="853" spans="5:6" x14ac:dyDescent="0.25">
      <c r="E853" s="42"/>
      <c r="F853" s="42"/>
    </row>
    <row r="854" spans="5:6" x14ac:dyDescent="0.25">
      <c r="E854" s="42"/>
      <c r="F854" s="42"/>
    </row>
    <row r="855" spans="5:6" x14ac:dyDescent="0.25">
      <c r="E855" s="42"/>
      <c r="F855" s="42"/>
    </row>
    <row r="856" spans="5:6" x14ac:dyDescent="0.25">
      <c r="E856" s="42"/>
      <c r="F856" s="42"/>
    </row>
    <row r="857" spans="5:6" x14ac:dyDescent="0.25">
      <c r="E857" s="42"/>
      <c r="F857" s="42"/>
    </row>
    <row r="858" spans="5:6" x14ac:dyDescent="0.25">
      <c r="E858" s="42"/>
      <c r="F858" s="42"/>
    </row>
    <row r="859" spans="5:6" x14ac:dyDescent="0.25">
      <c r="E859" s="42"/>
      <c r="F859" s="42"/>
    </row>
    <row r="860" spans="5:6" x14ac:dyDescent="0.25">
      <c r="E860" s="42"/>
      <c r="F860" s="42"/>
    </row>
    <row r="861" spans="5:6" x14ac:dyDescent="0.25">
      <c r="E861" s="42"/>
      <c r="F861" s="42"/>
    </row>
    <row r="862" spans="5:6" x14ac:dyDescent="0.25">
      <c r="E862" s="42"/>
      <c r="F862" s="42"/>
    </row>
    <row r="863" spans="5:6" x14ac:dyDescent="0.25">
      <c r="E863" s="42"/>
      <c r="F863" s="42"/>
    </row>
    <row r="864" spans="5:6" x14ac:dyDescent="0.25">
      <c r="E864" s="42"/>
      <c r="F864" s="42"/>
    </row>
    <row r="865" spans="5:6" x14ac:dyDescent="0.25">
      <c r="E865" s="42"/>
      <c r="F865" s="42"/>
    </row>
    <row r="866" spans="5:6" x14ac:dyDescent="0.25">
      <c r="E866" s="42"/>
      <c r="F866" s="42"/>
    </row>
    <row r="867" spans="5:6" x14ac:dyDescent="0.25">
      <c r="E867" s="42"/>
      <c r="F867" s="42"/>
    </row>
    <row r="868" spans="5:6" x14ac:dyDescent="0.25">
      <c r="E868" s="42"/>
      <c r="F868" s="42"/>
    </row>
    <row r="869" spans="5:6" x14ac:dyDescent="0.25">
      <c r="E869" s="42"/>
      <c r="F869" s="42"/>
    </row>
    <row r="870" spans="5:6" x14ac:dyDescent="0.25">
      <c r="E870" s="42"/>
      <c r="F870" s="42"/>
    </row>
    <row r="871" spans="5:6" x14ac:dyDescent="0.25">
      <c r="E871" s="42"/>
      <c r="F871" s="42"/>
    </row>
    <row r="872" spans="5:6" x14ac:dyDescent="0.25">
      <c r="E872" s="42"/>
      <c r="F872" s="42"/>
    </row>
    <row r="873" spans="5:6" x14ac:dyDescent="0.25">
      <c r="E873" s="42"/>
      <c r="F873" s="42"/>
    </row>
    <row r="874" spans="5:6" x14ac:dyDescent="0.25">
      <c r="E874" s="42"/>
      <c r="F874" s="42"/>
    </row>
    <row r="875" spans="5:6" x14ac:dyDescent="0.25">
      <c r="E875" s="42"/>
      <c r="F875" s="42"/>
    </row>
    <row r="876" spans="5:6" x14ac:dyDescent="0.25">
      <c r="E876" s="42"/>
      <c r="F876" s="42"/>
    </row>
    <row r="877" spans="5:6" x14ac:dyDescent="0.25">
      <c r="E877" s="42"/>
      <c r="F877" s="42"/>
    </row>
    <row r="878" spans="5:6" x14ac:dyDescent="0.25">
      <c r="E878" s="42"/>
      <c r="F878" s="42"/>
    </row>
    <row r="879" spans="5:6" x14ac:dyDescent="0.25">
      <c r="E879" s="42"/>
      <c r="F879" s="42"/>
    </row>
    <row r="880" spans="5:6" x14ac:dyDescent="0.25">
      <c r="E880" s="42"/>
      <c r="F880" s="42"/>
    </row>
    <row r="881" spans="5:6" x14ac:dyDescent="0.25">
      <c r="E881" s="42"/>
      <c r="F881" s="42"/>
    </row>
    <row r="882" spans="5:6" x14ac:dyDescent="0.25">
      <c r="E882" s="42"/>
      <c r="F882" s="42"/>
    </row>
    <row r="883" spans="5:6" x14ac:dyDescent="0.25">
      <c r="E883" s="42"/>
      <c r="F883" s="42"/>
    </row>
    <row r="884" spans="5:6" x14ac:dyDescent="0.25">
      <c r="E884" s="42"/>
      <c r="F884" s="42"/>
    </row>
    <row r="885" spans="5:6" x14ac:dyDescent="0.25">
      <c r="E885" s="42"/>
      <c r="F885" s="42"/>
    </row>
    <row r="886" spans="5:6" x14ac:dyDescent="0.25">
      <c r="E886" s="42"/>
      <c r="F886" s="42"/>
    </row>
    <row r="887" spans="5:6" x14ac:dyDescent="0.25">
      <c r="E887" s="42"/>
      <c r="F887" s="42"/>
    </row>
    <row r="888" spans="5:6" x14ac:dyDescent="0.25">
      <c r="E888" s="42"/>
      <c r="F888" s="42"/>
    </row>
    <row r="889" spans="5:6" x14ac:dyDescent="0.25">
      <c r="E889" s="42"/>
      <c r="F889" s="42"/>
    </row>
    <row r="890" spans="5:6" x14ac:dyDescent="0.25">
      <c r="E890" s="42"/>
      <c r="F890" s="42"/>
    </row>
    <row r="891" spans="5:6" x14ac:dyDescent="0.25">
      <c r="E891" s="42"/>
      <c r="F891" s="42"/>
    </row>
    <row r="892" spans="5:6" x14ac:dyDescent="0.25">
      <c r="E892" s="42"/>
      <c r="F892" s="42"/>
    </row>
    <row r="893" spans="5:6" x14ac:dyDescent="0.25">
      <c r="E893" s="42"/>
      <c r="F893" s="42"/>
    </row>
    <row r="894" spans="5:6" x14ac:dyDescent="0.25">
      <c r="E894" s="42"/>
      <c r="F894" s="42"/>
    </row>
    <row r="895" spans="5:6" x14ac:dyDescent="0.25">
      <c r="E895" s="42"/>
      <c r="F895" s="42"/>
    </row>
    <row r="896" spans="5:6" x14ac:dyDescent="0.25">
      <c r="E896" s="42"/>
      <c r="F896" s="42"/>
    </row>
    <row r="897" spans="5:6" x14ac:dyDescent="0.25">
      <c r="E897" s="42"/>
      <c r="F897" s="42"/>
    </row>
    <row r="898" spans="5:6" x14ac:dyDescent="0.25">
      <c r="E898" s="42"/>
      <c r="F898" s="42"/>
    </row>
    <row r="899" spans="5:6" x14ac:dyDescent="0.25">
      <c r="E899" s="42"/>
      <c r="F899" s="42"/>
    </row>
    <row r="900" spans="5:6" x14ac:dyDescent="0.25">
      <c r="E900" s="42"/>
      <c r="F900" s="42"/>
    </row>
    <row r="901" spans="5:6" x14ac:dyDescent="0.25">
      <c r="E901" s="42"/>
      <c r="F901" s="42"/>
    </row>
    <row r="902" spans="5:6" x14ac:dyDescent="0.25">
      <c r="E902" s="42"/>
      <c r="F902" s="42"/>
    </row>
    <row r="903" spans="5:6" x14ac:dyDescent="0.25">
      <c r="E903" s="42"/>
      <c r="F903" s="42"/>
    </row>
    <row r="904" spans="5:6" x14ac:dyDescent="0.25">
      <c r="E904" s="42"/>
      <c r="F904" s="42"/>
    </row>
    <row r="905" spans="5:6" x14ac:dyDescent="0.25">
      <c r="E905" s="42"/>
      <c r="F905" s="42"/>
    </row>
    <row r="906" spans="5:6" x14ac:dyDescent="0.25">
      <c r="E906" s="42"/>
      <c r="F906" s="42"/>
    </row>
    <row r="907" spans="5:6" x14ac:dyDescent="0.25">
      <c r="E907" s="42"/>
      <c r="F907" s="42"/>
    </row>
    <row r="908" spans="5:6" x14ac:dyDescent="0.25">
      <c r="E908" s="42"/>
      <c r="F908" s="42"/>
    </row>
    <row r="909" spans="5:6" x14ac:dyDescent="0.25">
      <c r="E909" s="42"/>
      <c r="F909" s="42"/>
    </row>
    <row r="910" spans="5:6" x14ac:dyDescent="0.25">
      <c r="E910" s="42"/>
      <c r="F910" s="42"/>
    </row>
    <row r="911" spans="5:6" x14ac:dyDescent="0.25">
      <c r="E911" s="42"/>
      <c r="F911" s="42"/>
    </row>
    <row r="912" spans="5:6" x14ac:dyDescent="0.25">
      <c r="E912" s="42"/>
      <c r="F912" s="42"/>
    </row>
    <row r="913" spans="5:6" x14ac:dyDescent="0.25">
      <c r="E913" s="42"/>
      <c r="F913" s="42"/>
    </row>
    <row r="914" spans="5:6" x14ac:dyDescent="0.25">
      <c r="E914" s="42"/>
      <c r="F914" s="42"/>
    </row>
    <row r="915" spans="5:6" x14ac:dyDescent="0.25">
      <c r="E915" s="42"/>
      <c r="F915" s="42"/>
    </row>
    <row r="916" spans="5:6" x14ac:dyDescent="0.25">
      <c r="E916" s="42"/>
      <c r="F916" s="42"/>
    </row>
    <row r="917" spans="5:6" x14ac:dyDescent="0.25">
      <c r="E917" s="42"/>
      <c r="F917" s="42"/>
    </row>
    <row r="918" spans="5:6" x14ac:dyDescent="0.25">
      <c r="E918" s="42"/>
      <c r="F918" s="42"/>
    </row>
    <row r="919" spans="5:6" x14ac:dyDescent="0.25">
      <c r="E919" s="42"/>
      <c r="F919" s="42"/>
    </row>
    <row r="920" spans="5:6" x14ac:dyDescent="0.25">
      <c r="E920" s="42"/>
      <c r="F920" s="42"/>
    </row>
    <row r="921" spans="5:6" x14ac:dyDescent="0.25">
      <c r="E921" s="42"/>
      <c r="F921" s="42"/>
    </row>
    <row r="922" spans="5:6" x14ac:dyDescent="0.25">
      <c r="E922" s="42"/>
      <c r="F922" s="42"/>
    </row>
    <row r="923" spans="5:6" x14ac:dyDescent="0.25">
      <c r="E923" s="42"/>
      <c r="F923" s="42"/>
    </row>
    <row r="924" spans="5:6" x14ac:dyDescent="0.25">
      <c r="E924" s="42"/>
      <c r="F924" s="42"/>
    </row>
    <row r="925" spans="5:6" x14ac:dyDescent="0.25">
      <c r="E925" s="42"/>
      <c r="F925" s="42"/>
    </row>
    <row r="926" spans="5:6" x14ac:dyDescent="0.25">
      <c r="E926" s="42"/>
      <c r="F926" s="42"/>
    </row>
    <row r="927" spans="5:6" x14ac:dyDescent="0.25">
      <c r="E927" s="42"/>
      <c r="F927" s="42"/>
    </row>
    <row r="928" spans="5:6" x14ac:dyDescent="0.25">
      <c r="E928" s="42"/>
      <c r="F928" s="42"/>
    </row>
    <row r="929" spans="5:6" x14ac:dyDescent="0.25">
      <c r="E929" s="42"/>
      <c r="F929" s="42"/>
    </row>
    <row r="930" spans="5:6" x14ac:dyDescent="0.25">
      <c r="E930" s="42"/>
      <c r="F930" s="42"/>
    </row>
    <row r="931" spans="5:6" x14ac:dyDescent="0.25">
      <c r="E931" s="42"/>
      <c r="F931" s="42"/>
    </row>
    <row r="932" spans="5:6" x14ac:dyDescent="0.25">
      <c r="E932" s="42"/>
      <c r="F932" s="42"/>
    </row>
    <row r="933" spans="5:6" x14ac:dyDescent="0.25">
      <c r="E933" s="42"/>
      <c r="F933" s="42"/>
    </row>
    <row r="934" spans="5:6" x14ac:dyDescent="0.25">
      <c r="E934" s="42"/>
      <c r="F934" s="42"/>
    </row>
    <row r="935" spans="5:6" x14ac:dyDescent="0.25">
      <c r="E935" s="42"/>
      <c r="F935" s="42"/>
    </row>
    <row r="936" spans="5:6" x14ac:dyDescent="0.25">
      <c r="E936" s="42"/>
      <c r="F936" s="42"/>
    </row>
    <row r="937" spans="5:6" x14ac:dyDescent="0.25">
      <c r="E937" s="42"/>
      <c r="F937" s="42"/>
    </row>
    <row r="938" spans="5:6" x14ac:dyDescent="0.25">
      <c r="E938" s="42"/>
      <c r="F938" s="42"/>
    </row>
    <row r="939" spans="5:6" x14ac:dyDescent="0.25">
      <c r="E939" s="42"/>
      <c r="F939" s="42"/>
    </row>
    <row r="940" spans="5:6" x14ac:dyDescent="0.25">
      <c r="E940" s="42"/>
      <c r="F940" s="42"/>
    </row>
    <row r="941" spans="5:6" x14ac:dyDescent="0.25">
      <c r="E941" s="42"/>
      <c r="F941" s="42"/>
    </row>
    <row r="942" spans="5:6" x14ac:dyDescent="0.25">
      <c r="E942" s="42"/>
      <c r="F942" s="42"/>
    </row>
    <row r="943" spans="5:6" x14ac:dyDescent="0.25">
      <c r="E943" s="42"/>
      <c r="F943" s="42"/>
    </row>
    <row r="944" spans="5:6" x14ac:dyDescent="0.25">
      <c r="E944" s="42"/>
      <c r="F944" s="42"/>
    </row>
    <row r="945" spans="5:6" x14ac:dyDescent="0.25">
      <c r="E945" s="42"/>
      <c r="F945" s="42"/>
    </row>
    <row r="946" spans="5:6" x14ac:dyDescent="0.25">
      <c r="E946" s="42"/>
      <c r="F946" s="42"/>
    </row>
    <row r="947" spans="5:6" x14ac:dyDescent="0.25">
      <c r="E947" s="42"/>
      <c r="F947" s="42"/>
    </row>
    <row r="948" spans="5:6" x14ac:dyDescent="0.25">
      <c r="E948" s="42"/>
      <c r="F948" s="42"/>
    </row>
    <row r="949" spans="5:6" x14ac:dyDescent="0.25">
      <c r="E949" s="42"/>
      <c r="F949" s="42"/>
    </row>
    <row r="950" spans="5:6" x14ac:dyDescent="0.25">
      <c r="E950" s="42"/>
      <c r="F950" s="42"/>
    </row>
    <row r="951" spans="5:6" x14ac:dyDescent="0.25">
      <c r="E951" s="42"/>
      <c r="F951" s="42"/>
    </row>
    <row r="952" spans="5:6" x14ac:dyDescent="0.25">
      <c r="E952" s="42"/>
      <c r="F952" s="42"/>
    </row>
    <row r="953" spans="5:6" x14ac:dyDescent="0.25">
      <c r="E953" s="42"/>
      <c r="F953" s="42"/>
    </row>
    <row r="954" spans="5:6" x14ac:dyDescent="0.25">
      <c r="E954" s="42"/>
      <c r="F954" s="42"/>
    </row>
    <row r="955" spans="5:6" x14ac:dyDescent="0.25">
      <c r="E955" s="42"/>
      <c r="F955" s="42"/>
    </row>
    <row r="956" spans="5:6" x14ac:dyDescent="0.25">
      <c r="E956" s="42"/>
      <c r="F956" s="42"/>
    </row>
    <row r="957" spans="5:6" x14ac:dyDescent="0.25">
      <c r="E957" s="42"/>
      <c r="F957" s="42"/>
    </row>
    <row r="958" spans="5:6" x14ac:dyDescent="0.25">
      <c r="E958" s="42"/>
      <c r="F958" s="42"/>
    </row>
    <row r="959" spans="5:6" x14ac:dyDescent="0.25">
      <c r="E959" s="42"/>
      <c r="F959" s="42"/>
    </row>
    <row r="960" spans="5:6" x14ac:dyDescent="0.25">
      <c r="E960" s="42"/>
      <c r="F960" s="42"/>
    </row>
    <row r="961" spans="5:6" x14ac:dyDescent="0.25">
      <c r="E961" s="42"/>
      <c r="F961" s="42"/>
    </row>
    <row r="962" spans="5:6" x14ac:dyDescent="0.25">
      <c r="E962" s="42"/>
      <c r="F962" s="42"/>
    </row>
    <row r="963" spans="5:6" x14ac:dyDescent="0.25">
      <c r="E963" s="42"/>
      <c r="F963" s="42"/>
    </row>
    <row r="964" spans="5:6" x14ac:dyDescent="0.25">
      <c r="E964" s="42"/>
      <c r="F964" s="42"/>
    </row>
    <row r="965" spans="5:6" x14ac:dyDescent="0.25">
      <c r="E965" s="42"/>
      <c r="F965" s="42"/>
    </row>
    <row r="966" spans="5:6" x14ac:dyDescent="0.25">
      <c r="E966" s="42"/>
      <c r="F966" s="42"/>
    </row>
    <row r="967" spans="5:6" x14ac:dyDescent="0.25">
      <c r="E967" s="42"/>
      <c r="F967" s="42"/>
    </row>
    <row r="968" spans="5:6" x14ac:dyDescent="0.25">
      <c r="E968" s="42"/>
      <c r="F968" s="42"/>
    </row>
    <row r="969" spans="5:6" x14ac:dyDescent="0.25">
      <c r="E969" s="42"/>
      <c r="F969" s="42"/>
    </row>
    <row r="970" spans="5:6" x14ac:dyDescent="0.25">
      <c r="E970" s="42"/>
      <c r="F970" s="42"/>
    </row>
    <row r="971" spans="5:6" x14ac:dyDescent="0.25">
      <c r="E971" s="42"/>
      <c r="F971" s="42"/>
    </row>
    <row r="972" spans="5:6" x14ac:dyDescent="0.25">
      <c r="E972" s="42"/>
      <c r="F972" s="42"/>
    </row>
    <row r="973" spans="5:6" x14ac:dyDescent="0.25">
      <c r="E973" s="42"/>
      <c r="F973" s="42"/>
    </row>
    <row r="974" spans="5:6" x14ac:dyDescent="0.25">
      <c r="E974" s="42"/>
      <c r="F974" s="42"/>
    </row>
    <row r="975" spans="5:6" x14ac:dyDescent="0.25">
      <c r="E975" s="42"/>
      <c r="F975" s="42"/>
    </row>
    <row r="976" spans="5:6" x14ac:dyDescent="0.25">
      <c r="E976" s="42"/>
      <c r="F976" s="42"/>
    </row>
    <row r="977" spans="5:6" x14ac:dyDescent="0.25">
      <c r="E977" s="42"/>
      <c r="F977" s="42"/>
    </row>
    <row r="978" spans="5:6" x14ac:dyDescent="0.25">
      <c r="E978" s="42"/>
      <c r="F978" s="42"/>
    </row>
    <row r="979" spans="5:6" x14ac:dyDescent="0.25">
      <c r="E979" s="42"/>
      <c r="F979" s="42"/>
    </row>
    <row r="980" spans="5:6" x14ac:dyDescent="0.25">
      <c r="E980" s="42"/>
      <c r="F980" s="42"/>
    </row>
    <row r="981" spans="5:6" x14ac:dyDescent="0.25">
      <c r="E981" s="42"/>
      <c r="F981" s="42"/>
    </row>
    <row r="982" spans="5:6" x14ac:dyDescent="0.25">
      <c r="E982" s="42"/>
      <c r="F982" s="42"/>
    </row>
    <row r="983" spans="5:6" x14ac:dyDescent="0.25">
      <c r="E983" s="42"/>
      <c r="F983" s="42"/>
    </row>
    <row r="984" spans="5:6" x14ac:dyDescent="0.25">
      <c r="E984" s="42"/>
      <c r="F984" s="42"/>
    </row>
    <row r="985" spans="5:6" x14ac:dyDescent="0.25">
      <c r="E985" s="42"/>
      <c r="F985" s="42"/>
    </row>
    <row r="986" spans="5:6" x14ac:dyDescent="0.25">
      <c r="E986" s="42"/>
      <c r="F986" s="42"/>
    </row>
    <row r="987" spans="5:6" x14ac:dyDescent="0.25">
      <c r="E987" s="42"/>
      <c r="F987" s="42"/>
    </row>
    <row r="988" spans="5:6" x14ac:dyDescent="0.25">
      <c r="E988" s="42"/>
      <c r="F988" s="42"/>
    </row>
    <row r="989" spans="5:6" x14ac:dyDescent="0.25">
      <c r="E989" s="42"/>
      <c r="F989" s="42"/>
    </row>
    <row r="990" spans="5:6" x14ac:dyDescent="0.25">
      <c r="E990" s="42"/>
      <c r="F990" s="42"/>
    </row>
    <row r="991" spans="5:6" x14ac:dyDescent="0.25">
      <c r="E991" s="42"/>
      <c r="F991" s="42"/>
    </row>
    <row r="992" spans="5:6" x14ac:dyDescent="0.25">
      <c r="E992" s="42"/>
      <c r="F992" s="42"/>
    </row>
    <row r="993" spans="5:6" x14ac:dyDescent="0.25">
      <c r="E993" s="42"/>
      <c r="F993" s="42"/>
    </row>
    <row r="994" spans="5:6" x14ac:dyDescent="0.25">
      <c r="E994" s="42"/>
      <c r="F994" s="42"/>
    </row>
    <row r="995" spans="5:6" x14ac:dyDescent="0.25">
      <c r="E995" s="42"/>
      <c r="F995" s="42"/>
    </row>
    <row r="996" spans="5:6" x14ac:dyDescent="0.25">
      <c r="E996" s="42"/>
      <c r="F996" s="42"/>
    </row>
    <row r="997" spans="5:6" x14ac:dyDescent="0.25">
      <c r="E997" s="42"/>
      <c r="F997" s="42"/>
    </row>
    <row r="998" spans="5:6" x14ac:dyDescent="0.25">
      <c r="E998" s="42"/>
      <c r="F998" s="42"/>
    </row>
    <row r="999" spans="5:6" x14ac:dyDescent="0.25">
      <c r="E999" s="42"/>
      <c r="F999" s="42"/>
    </row>
    <row r="1000" spans="5:6" x14ac:dyDescent="0.25">
      <c r="E1000" s="42"/>
      <c r="F1000" s="42"/>
    </row>
    <row r="1001" spans="5:6" x14ac:dyDescent="0.25">
      <c r="E1001" s="42"/>
      <c r="F1001" s="42"/>
    </row>
    <row r="1002" spans="5:6" x14ac:dyDescent="0.25">
      <c r="E1002" s="42"/>
      <c r="F1002" s="42"/>
    </row>
    <row r="1003" spans="5:6" x14ac:dyDescent="0.25">
      <c r="E1003" s="42"/>
      <c r="F1003" s="42"/>
    </row>
    <row r="1004" spans="5:6" x14ac:dyDescent="0.25">
      <c r="E1004" s="42"/>
      <c r="F1004" s="42"/>
    </row>
    <row r="1005" spans="5:6" x14ac:dyDescent="0.25">
      <c r="E1005" s="42"/>
      <c r="F1005" s="42"/>
    </row>
    <row r="1006" spans="5:6" x14ac:dyDescent="0.25">
      <c r="E1006" s="42"/>
      <c r="F1006" s="42"/>
    </row>
    <row r="1007" spans="5:6" x14ac:dyDescent="0.25">
      <c r="E1007" s="42"/>
      <c r="F1007" s="42"/>
    </row>
    <row r="1008" spans="5:6" x14ac:dyDescent="0.25">
      <c r="E1008" s="42"/>
      <c r="F1008" s="42"/>
    </row>
    <row r="1009" spans="5:6" x14ac:dyDescent="0.25">
      <c r="E1009" s="42"/>
      <c r="F1009" s="42"/>
    </row>
  </sheetData>
  <mergeCells count="4">
    <mergeCell ref="B8:I8"/>
    <mergeCell ref="J8:J9"/>
    <mergeCell ref="K8:R8"/>
    <mergeCell ref="Q4:R7"/>
  </mergeCells>
  <phoneticPr fontId="9" type="noConversion"/>
  <dataValidations count="1">
    <dataValidation operator="notBetween" showInputMessage="1" showErrorMessage="1" sqref="U5:Y5" xr:uid="{AA947867-649A-4942-8E20-B33F6238D62D}"/>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Fill="0" autoPict="0" macro="[0]!GatherData">
                <anchor moveWithCells="1" sizeWithCells="1">
                  <from>
                    <xdr:col>5</xdr:col>
                    <xdr:colOff>133350</xdr:colOff>
                    <xdr:row>2</xdr:row>
                    <xdr:rowOff>95250</xdr:rowOff>
                  </from>
                  <to>
                    <xdr:col>6</xdr:col>
                    <xdr:colOff>304800</xdr:colOff>
                    <xdr:row>3</xdr:row>
                    <xdr:rowOff>133350</xdr:rowOff>
                  </to>
                </anchor>
              </controlPr>
            </control>
          </mc:Choice>
        </mc:AlternateContent>
        <mc:AlternateContent xmlns:mc="http://schemas.openxmlformats.org/markup-compatibility/2006">
          <mc:Choice Requires="x14">
            <control shapeId="79874" r:id="rId4" name="Button 2">
              <controlPr defaultSize="0" print="0" autoFill="0" autoPict="0" macro="[0]!ClearPrices">
                <anchor moveWithCells="1" sizeWithCells="1">
                  <from>
                    <xdr:col>5</xdr:col>
                    <xdr:colOff>133350</xdr:colOff>
                    <xdr:row>4</xdr:row>
                    <xdr:rowOff>47625</xdr:rowOff>
                  </from>
                  <to>
                    <xdr:col>6</xdr:col>
                    <xdr:colOff>304800</xdr:colOff>
                    <xdr:row>5</xdr:row>
                    <xdr:rowOff>85725</xdr:rowOff>
                  </to>
                </anchor>
              </controlPr>
            </control>
          </mc:Choice>
        </mc:AlternateContent>
        <mc:AlternateContent xmlns:mc="http://schemas.openxmlformats.org/markup-compatibility/2006">
          <mc:Choice Requires="x14">
            <control shapeId="79875" r:id="rId5" name="Button 3">
              <controlPr defaultSize="0" print="0" autoFill="0" autoPict="0" macro="[0]!CalculateGreeks">
                <anchor moveWithCells="1" sizeWithCells="1">
                  <from>
                    <xdr:col>6</xdr:col>
                    <xdr:colOff>438150</xdr:colOff>
                    <xdr:row>2</xdr:row>
                    <xdr:rowOff>95250</xdr:rowOff>
                  </from>
                  <to>
                    <xdr:col>7</xdr:col>
                    <xdr:colOff>476250</xdr:colOff>
                    <xdr:row>5</xdr:row>
                    <xdr:rowOff>76200</xdr:rowOff>
                  </to>
                </anchor>
              </controlPr>
            </control>
          </mc:Choice>
        </mc:AlternateContent>
        <mc:AlternateContent xmlns:mc="http://schemas.openxmlformats.org/markup-compatibility/2006">
          <mc:Choice Requires="x14">
            <control shapeId="79896" r:id="rId6" name="Button 24">
              <controlPr defaultSize="0" print="0" autoFill="0" autoPict="0" macro="[0]!open_strategies">
                <anchor moveWithCells="1" sizeWithCells="1">
                  <from>
                    <xdr:col>25</xdr:col>
                    <xdr:colOff>114300</xdr:colOff>
                    <xdr:row>2</xdr:row>
                    <xdr:rowOff>114300</xdr:rowOff>
                  </from>
                  <to>
                    <xdr:col>25</xdr:col>
                    <xdr:colOff>828675</xdr:colOff>
                    <xdr:row>5</xdr:row>
                    <xdr:rowOff>95250</xdr:rowOff>
                  </to>
                </anchor>
              </controlPr>
            </control>
          </mc:Choice>
        </mc:AlternateContent>
        <mc:AlternateContent xmlns:mc="http://schemas.openxmlformats.org/markup-compatibility/2006">
          <mc:Choice Requires="x14">
            <control shapeId="79897" r:id="rId7" name="Button 25">
              <controlPr defaultSize="0" print="0" autoFill="0" autoPict="0" macro="[0]!clear_openstrats">
                <anchor moveWithCells="1" sizeWithCells="1">
                  <from>
                    <xdr:col>25</xdr:col>
                    <xdr:colOff>95250</xdr:colOff>
                    <xdr:row>5</xdr:row>
                    <xdr:rowOff>171450</xdr:rowOff>
                  </from>
                  <to>
                    <xdr:col>25</xdr:col>
                    <xdr:colOff>838200</xdr:colOff>
                    <xdr:row>7</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D7521EE-5A6C-41CF-8C4D-072604796D7A}">
          <x14:formula1>
            <xm:f>'Assumptions &amp; Lists'!$D$4:$E$4</xm:f>
          </x14:formula1>
          <xm:sqref>E5</xm:sqref>
        </x14:dataValidation>
        <x14:dataValidation type="list" allowBlank="1" showInputMessage="1" showErrorMessage="1" xr:uid="{92AA4250-FF3A-4DCB-B930-A01DF8B05F3D}">
          <x14:formula1>
            <xm:f>'Assumptions &amp; Lists'!$D$15:$E$15</xm:f>
          </x14:formula1>
          <xm:sqref>U6:Y6</xm:sqref>
        </x14:dataValidation>
        <x14:dataValidation type="list" allowBlank="1" showInputMessage="1" showErrorMessage="1" xr:uid="{C1E756F7-BC2B-47A7-A730-E55B4922E001}">
          <x14:formula1>
            <xm:f>'Assumptions &amp; Lists'!$D$16:$F$16</xm:f>
          </x14:formula1>
          <xm:sqref>U4:Y4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65590-3B81-4937-9C82-B1B0345F23AD}">
  <sheetPr codeName="Sheet10"/>
  <dimension ref="A1:AU1009"/>
  <sheetViews>
    <sheetView tabSelected="1" zoomScaleNormal="100" workbookViewId="0">
      <selection activeCell="J7" sqref="J7"/>
    </sheetView>
  </sheetViews>
  <sheetFormatPr defaultColWidth="12.7109375" defaultRowHeight="15" x14ac:dyDescent="0.25"/>
  <cols>
    <col min="1" max="1" width="3.28515625" style="1" customWidth="1"/>
    <col min="2" max="2" width="12.7109375" style="39"/>
    <col min="3" max="3" width="25.140625" style="41" customWidth="1"/>
    <col min="4" max="4" width="14.7109375" style="41" bestFit="1" customWidth="1"/>
    <col min="5" max="5" width="12.28515625" style="47" bestFit="1" customWidth="1"/>
    <col min="6" max="6" width="7.5703125" style="45" customWidth="1"/>
    <col min="7" max="7" width="10" style="94" customWidth="1"/>
    <col min="8" max="8" width="13.42578125" style="41" customWidth="1"/>
    <col min="9" max="9" width="9.42578125" style="41" customWidth="1"/>
    <col min="10" max="10" width="12" style="43" bestFit="1" customWidth="1"/>
    <col min="11" max="11" width="16.42578125" style="41" customWidth="1"/>
    <col min="12" max="12" width="10.28515625" style="95" customWidth="1"/>
    <col min="13" max="13" width="10" style="44" customWidth="1"/>
    <col min="14" max="14" width="9.28515625" style="45" customWidth="1"/>
    <col min="15" max="15" width="7.7109375" style="45" bestFit="1" customWidth="1"/>
    <col min="16" max="17" width="12.7109375" style="41"/>
    <col min="18" max="18" width="12.7109375" style="46"/>
    <col min="19" max="19" width="3" style="7" bestFit="1" customWidth="1"/>
    <col min="20" max="20" width="14.140625" style="20" hidden="1" customWidth="1"/>
    <col min="21" max="22" width="12.7109375" style="172" hidden="1" customWidth="1"/>
    <col min="23" max="23" width="13.42578125" style="172" hidden="1" customWidth="1"/>
    <col min="24" max="25" width="12.7109375" style="172" hidden="1" customWidth="1"/>
    <col min="26" max="26" width="16.42578125" style="46" hidden="1" customWidth="1"/>
    <col min="27" max="27" width="17.7109375" style="46" hidden="1" customWidth="1"/>
    <col min="28" max="28" width="3" style="11" hidden="1" customWidth="1"/>
    <col min="29" max="29" width="12.7109375" style="20" hidden="1" customWidth="1"/>
    <col min="30" max="30" width="21.7109375" style="172" hidden="1" customWidth="1"/>
    <col min="31" max="31" width="12.7109375" style="172" hidden="1" customWidth="1"/>
    <col min="32" max="32" width="13.42578125" style="172" hidden="1" customWidth="1"/>
    <col min="33" max="33" width="10.28515625" style="172" hidden="1" customWidth="1"/>
    <col min="34" max="34" width="12" style="172" hidden="1" customWidth="1"/>
    <col min="35" max="35" width="18.28515625" style="46" hidden="1" customWidth="1"/>
    <col min="36" max="36" width="12.7109375" style="46" hidden="1" customWidth="1"/>
    <col min="37" max="37" width="4.5703125" style="2" hidden="1" customWidth="1"/>
    <col min="38" max="43" width="12.7109375" style="2" hidden="1" customWidth="1"/>
    <col min="44" max="44" width="11.7109375" style="2" hidden="1" customWidth="1"/>
    <col min="45" max="47" width="12.7109375" style="2" hidden="1" customWidth="1"/>
    <col min="48" max="16384" width="12.7109375" style="2"/>
  </cols>
  <sheetData>
    <row r="1" spans="1:44" x14ac:dyDescent="0.25">
      <c r="A1" s="212"/>
      <c r="B1" s="11"/>
      <c r="C1" s="212"/>
      <c r="D1" s="11"/>
      <c r="E1" s="212"/>
      <c r="F1" s="11"/>
      <c r="G1" s="212"/>
      <c r="H1" s="11"/>
      <c r="I1" s="212"/>
      <c r="J1" s="11"/>
      <c r="K1" s="212"/>
      <c r="L1" s="11"/>
      <c r="M1" s="212"/>
      <c r="N1" s="11"/>
      <c r="O1" s="212"/>
      <c r="P1" s="11"/>
      <c r="Q1" s="212"/>
      <c r="R1" s="11"/>
      <c r="S1" s="212"/>
      <c r="T1" s="11"/>
      <c r="U1" s="212"/>
      <c r="V1" s="11"/>
      <c r="W1" s="212"/>
      <c r="X1" s="11"/>
      <c r="Y1" s="212"/>
      <c r="Z1" s="11"/>
      <c r="AA1" s="212"/>
      <c r="AC1" s="212"/>
      <c r="AD1" s="11"/>
      <c r="AE1" s="212"/>
      <c r="AF1" s="11"/>
      <c r="AG1" s="212"/>
      <c r="AH1" s="11"/>
      <c r="AI1" s="212"/>
      <c r="AJ1" s="11"/>
      <c r="AL1" s="6"/>
    </row>
    <row r="2" spans="1:44" s="6" customFormat="1" ht="15.75" thickBot="1" x14ac:dyDescent="0.3">
      <c r="A2" s="4"/>
      <c r="B2" s="3"/>
      <c r="C2" s="189"/>
      <c r="D2" s="3"/>
      <c r="E2" s="4"/>
      <c r="F2" s="3"/>
      <c r="G2" s="4"/>
      <c r="H2" s="3"/>
      <c r="I2" s="61"/>
      <c r="J2" s="12"/>
      <c r="K2" s="61"/>
      <c r="L2" s="12"/>
      <c r="M2" s="61"/>
      <c r="N2" s="12"/>
      <c r="O2" s="61"/>
      <c r="P2" s="12"/>
      <c r="Q2" s="61"/>
      <c r="R2" s="12"/>
      <c r="S2" s="12"/>
      <c r="T2" s="3"/>
      <c r="U2" s="3"/>
      <c r="V2" s="3"/>
      <c r="W2" s="3"/>
      <c r="X2" s="11"/>
      <c r="Y2" s="3"/>
      <c r="Z2" s="5"/>
      <c r="AA2" s="12"/>
      <c r="AB2" s="13"/>
      <c r="AC2" s="13"/>
      <c r="AD2" s="180"/>
      <c r="AE2" s="180"/>
      <c r="AF2" s="180"/>
      <c r="AG2" s="180"/>
      <c r="AH2" s="180"/>
      <c r="AI2" s="220"/>
      <c r="AJ2" s="220"/>
      <c r="AL2" s="221"/>
      <c r="AM2" s="221"/>
    </row>
    <row r="3" spans="1:44" ht="14.45" customHeight="1" thickBot="1" x14ac:dyDescent="0.3">
      <c r="B3" s="14" t="s">
        <v>9</v>
      </c>
      <c r="C3" s="196" t="e" vm="3">
        <v>#VALUE!</v>
      </c>
      <c r="D3" s="16" t="s">
        <v>26</v>
      </c>
      <c r="E3" s="199">
        <v>2.5000000000000001E-3</v>
      </c>
      <c r="F3" s="18"/>
      <c r="G3" s="184">
        <v>0.25</v>
      </c>
      <c r="H3" s="193" t="s">
        <v>94</v>
      </c>
      <c r="I3" s="194"/>
      <c r="J3" s="209" t="s">
        <v>95</v>
      </c>
      <c r="K3" s="210" t="b">
        <f>FALSE</f>
        <v>0</v>
      </c>
      <c r="L3" s="276" t="b">
        <f>TRUE</f>
        <v>1</v>
      </c>
      <c r="M3" s="246" t="s">
        <v>119</v>
      </c>
      <c r="N3" s="185"/>
      <c r="O3" s="185"/>
      <c r="P3" s="185"/>
      <c r="Q3" s="185"/>
      <c r="R3" s="185"/>
      <c r="S3" s="11"/>
      <c r="T3" s="258" t="s">
        <v>41</v>
      </c>
      <c r="U3" s="265"/>
      <c r="V3" s="268" t="s">
        <v>42</v>
      </c>
      <c r="W3" s="265"/>
      <c r="X3" s="268" t="s">
        <v>43</v>
      </c>
      <c r="Y3" s="265"/>
      <c r="Z3" s="5"/>
      <c r="AA3" s="11"/>
      <c r="AC3" s="258" t="s">
        <v>49</v>
      </c>
      <c r="AD3" s="265"/>
      <c r="AE3" s="268" t="s">
        <v>42</v>
      </c>
      <c r="AF3" s="265"/>
      <c r="AG3" s="73" t="s">
        <v>58</v>
      </c>
      <c r="AH3" s="266" t="s">
        <v>59</v>
      </c>
      <c r="AI3" s="267"/>
      <c r="AJ3" s="48" t="s">
        <v>43</v>
      </c>
      <c r="AL3" s="6"/>
      <c r="AM3" s="6"/>
      <c r="AN3" s="6"/>
      <c r="AO3" s="6"/>
      <c r="AP3" s="6"/>
      <c r="AQ3" s="6"/>
      <c r="AR3" s="6"/>
    </row>
    <row r="4" spans="1:44" ht="14.45" customHeight="1" x14ac:dyDescent="0.4">
      <c r="B4" s="20" t="s">
        <v>10</v>
      </c>
      <c r="C4" s="197" cm="1">
        <f t="array" ref="C4">_FV(C3,"Price")</f>
        <v>27.12</v>
      </c>
      <c r="D4" s="22" t="s">
        <v>11</v>
      </c>
      <c r="E4" s="200">
        <v>3.4000000000000002E-2</v>
      </c>
      <c r="F4" s="24"/>
      <c r="G4" s="25"/>
      <c r="H4" s="192" t="s">
        <v>91</v>
      </c>
      <c r="I4" s="202" cm="1">
        <f t="array" aca="1" ref="I4" ca="1">histvol(C3,MAX(7,MIN(1000,C6*days_yr)),FALSE)</f>
        <v>0.20843820062849963</v>
      </c>
      <c r="J4" s="211" t="s">
        <v>96</v>
      </c>
      <c r="K4" s="213"/>
      <c r="L4" s="277"/>
      <c r="M4" s="215"/>
      <c r="N4" s="185"/>
      <c r="O4" s="185"/>
      <c r="P4" s="185"/>
      <c r="Q4" s="190"/>
      <c r="R4" s="190"/>
      <c r="S4" s="11"/>
      <c r="T4" s="20" t="s">
        <v>1</v>
      </c>
      <c r="U4" s="175" t="s">
        <v>7</v>
      </c>
      <c r="V4" s="50" t="s">
        <v>79</v>
      </c>
      <c r="W4" s="51">
        <v>0.25</v>
      </c>
      <c r="X4" s="52"/>
      <c r="Y4" s="53"/>
      <c r="Z4" s="5"/>
      <c r="AA4" s="11"/>
      <c r="AC4" s="20" t="s">
        <v>78</v>
      </c>
      <c r="AD4" s="179" t="s">
        <v>52</v>
      </c>
      <c r="AE4" s="50" t="s">
        <v>83</v>
      </c>
      <c r="AF4" s="68">
        <v>0.25</v>
      </c>
      <c r="AG4" s="71"/>
      <c r="AH4" s="52" t="s">
        <v>101</v>
      </c>
      <c r="AI4" s="218"/>
      <c r="AL4" s="6"/>
      <c r="AM4" s="6"/>
      <c r="AN4" s="6"/>
      <c r="AO4" s="6"/>
      <c r="AP4" s="6"/>
      <c r="AQ4" s="6"/>
      <c r="AR4" s="6"/>
    </row>
    <row r="5" spans="1:44" ht="14.45" customHeight="1" x14ac:dyDescent="0.4">
      <c r="B5" s="20" t="s">
        <v>12</v>
      </c>
      <c r="C5" s="244">
        <v>45002.729166666664</v>
      </c>
      <c r="D5" s="22" t="s">
        <v>2</v>
      </c>
      <c r="E5" s="222" t="s">
        <v>8</v>
      </c>
      <c r="F5" s="24"/>
      <c r="G5" s="25"/>
      <c r="H5" s="192" t="s">
        <v>92</v>
      </c>
      <c r="I5" s="202" cm="1">
        <f t="array" aca="1" ref="I5" ca="1">histvol(C3,MAX(7,MIN(1000,C6*days_yr)),TRUE)</f>
        <v>0.25094130797008191</v>
      </c>
      <c r="J5" s="207" t="s">
        <v>97</v>
      </c>
      <c r="K5" s="280"/>
      <c r="L5" s="278"/>
      <c r="M5" s="216"/>
      <c r="N5" s="243"/>
      <c r="O5" s="243"/>
      <c r="P5" s="185"/>
      <c r="Q5" s="190"/>
      <c r="R5" s="190"/>
      <c r="S5" s="11"/>
      <c r="T5" s="20" t="s">
        <v>2</v>
      </c>
      <c r="U5" s="54" t="s">
        <v>4</v>
      </c>
      <c r="V5" s="173" t="s">
        <v>44</v>
      </c>
      <c r="W5" s="174" t="s">
        <v>15</v>
      </c>
      <c r="X5" s="52"/>
      <c r="Y5" s="49"/>
      <c r="Z5" s="5"/>
      <c r="AA5" s="11"/>
      <c r="AC5" s="20" t="s">
        <v>38</v>
      </c>
      <c r="AD5" s="49" t="s">
        <v>40</v>
      </c>
      <c r="AE5" s="173" t="s">
        <v>62</v>
      </c>
      <c r="AF5" s="177">
        <v>0.5</v>
      </c>
      <c r="AG5" s="71"/>
      <c r="AH5" s="52" t="s">
        <v>53</v>
      </c>
      <c r="AI5" s="219"/>
      <c r="AL5" s="6"/>
      <c r="AM5" s="6"/>
      <c r="AN5" s="6"/>
      <c r="AO5" s="6"/>
      <c r="AP5" s="6"/>
      <c r="AQ5" s="6"/>
      <c r="AR5" s="6"/>
    </row>
    <row r="6" spans="1:44" ht="15" customHeight="1" thickBot="1" x14ac:dyDescent="0.45">
      <c r="B6" s="29" t="s">
        <v>25</v>
      </c>
      <c r="C6" s="198">
        <f ca="1">IF(C5="","",(C5-NOW())/days_yr)</f>
        <v>0.1539024875148827</v>
      </c>
      <c r="D6" s="31" t="s">
        <v>27</v>
      </c>
      <c r="E6" s="201">
        <v>35</v>
      </c>
      <c r="F6" s="33"/>
      <c r="G6" s="34"/>
      <c r="H6" s="195" t="s">
        <v>93</v>
      </c>
      <c r="I6" s="203">
        <f ca="1">AVERAGE(I4:I5)</f>
        <v>0.22968975429929078</v>
      </c>
      <c r="J6" s="208" t="s">
        <v>98</v>
      </c>
      <c r="K6" s="214"/>
      <c r="L6" s="279"/>
      <c r="M6" s="217"/>
      <c r="N6" s="242"/>
      <c r="O6" s="242"/>
      <c r="P6" s="185"/>
      <c r="Q6" s="190"/>
      <c r="R6" s="190"/>
      <c r="S6" s="11"/>
      <c r="T6" s="20" t="s">
        <v>0</v>
      </c>
      <c r="U6" s="49" t="s">
        <v>118</v>
      </c>
      <c r="V6" s="269" t="s">
        <v>59</v>
      </c>
      <c r="W6" s="270"/>
      <c r="Y6" s="49"/>
      <c r="Z6" s="5"/>
      <c r="AA6" s="11"/>
      <c r="AC6" s="20" t="s">
        <v>2</v>
      </c>
      <c r="AD6" s="54" t="s">
        <v>8</v>
      </c>
      <c r="AE6" s="52" t="s">
        <v>74</v>
      </c>
      <c r="AF6" s="69" t="b">
        <v>1</v>
      </c>
      <c r="AG6" s="71"/>
      <c r="AH6" s="173" t="s">
        <v>102</v>
      </c>
      <c r="AI6" s="247"/>
      <c r="AL6" s="6"/>
      <c r="AM6" s="6"/>
      <c r="AN6" s="6"/>
      <c r="AO6" s="6"/>
      <c r="AP6" s="6"/>
      <c r="AQ6" s="6"/>
      <c r="AR6" s="6"/>
    </row>
    <row r="7" spans="1:44" ht="15" customHeight="1" thickBot="1" x14ac:dyDescent="0.45">
      <c r="A7" s="8"/>
      <c r="B7" s="9"/>
      <c r="C7" s="62"/>
      <c r="D7" s="11"/>
      <c r="E7" s="9"/>
      <c r="F7" s="9"/>
      <c r="G7" s="176"/>
      <c r="H7" s="9"/>
      <c r="I7" s="188"/>
      <c r="J7" s="188"/>
      <c r="K7" s="61"/>
      <c r="L7" s="188"/>
      <c r="M7" s="188"/>
      <c r="N7" s="188"/>
      <c r="O7" s="188"/>
      <c r="P7" s="11"/>
      <c r="Q7" s="191"/>
      <c r="R7" s="191"/>
      <c r="S7" s="11"/>
      <c r="T7" s="20" t="s">
        <v>38</v>
      </c>
      <c r="U7" s="49" t="s">
        <v>39</v>
      </c>
      <c r="V7" s="50" t="s">
        <v>88</v>
      </c>
      <c r="W7" s="49" t="str" cm="1">
        <f t="array" ref="W7">IFERROR(BreakEven(U4,U6,U8),"")</f>
        <v>28,00</v>
      </c>
      <c r="X7" s="52"/>
      <c r="Y7" s="49"/>
      <c r="Z7" s="5"/>
      <c r="AA7" s="11"/>
      <c r="AC7" s="20" t="str">
        <f>IF(AD4="Straddle","ATM (blank)",IF($AD$4="Strangle","|Put Delta|",IF(RIGHT($AD$4,10)="TimeSpread","Long |Delta|","High |Delta|")))</f>
        <v>High |Delta|</v>
      </c>
      <c r="AD7" s="54">
        <v>0.7</v>
      </c>
      <c r="AE7" s="172" t="s">
        <v>81</v>
      </c>
      <c r="AF7" s="178" t="s">
        <v>15</v>
      </c>
      <c r="AG7" s="71"/>
      <c r="AH7" s="248"/>
      <c r="AI7" s="249"/>
      <c r="AL7" s="6"/>
      <c r="AM7" s="6"/>
      <c r="AN7" s="6"/>
      <c r="AO7" s="6"/>
      <c r="AP7" s="6"/>
      <c r="AQ7" s="6"/>
      <c r="AR7" s="6"/>
    </row>
    <row r="8" spans="1:44" ht="15" customHeight="1" thickBot="1" x14ac:dyDescent="0.3">
      <c r="B8" s="258" t="s">
        <v>7</v>
      </c>
      <c r="C8" s="259"/>
      <c r="D8" s="259"/>
      <c r="E8" s="259"/>
      <c r="F8" s="259"/>
      <c r="G8" s="259"/>
      <c r="H8" s="259"/>
      <c r="I8" s="259"/>
      <c r="J8" s="260" t="s">
        <v>0</v>
      </c>
      <c r="K8" s="259" t="s">
        <v>5</v>
      </c>
      <c r="L8" s="259"/>
      <c r="M8" s="259"/>
      <c r="N8" s="259"/>
      <c r="O8" s="259"/>
      <c r="P8" s="259"/>
      <c r="Q8" s="259"/>
      <c r="R8" s="262"/>
      <c r="S8" s="11"/>
      <c r="T8" s="29" t="s">
        <v>84</v>
      </c>
      <c r="U8" s="55" t="str" cm="1">
        <f t="array" ref="U8">IFERROR(_xlfn.IFS(AND(U4="Put",U7="Short"),INDEX(K10:K1048576,MATCH($U$6,$J$10:$J$1048576,0)),AND(U4="Put",U7="Long"),INDEX(L10:L1048576,MATCH($U$6,$J$10:$J$1048576,0)),AND(U4="Call",U7="Short"),INDEX(I10:I1048576,MATCH($U$6,$J$10:$J$1048576,0)),AND(U4="Call",U7="Long"),INDEX(H10:H1048576,MATCH($U$6,$J$10:$J$1048576,0))),"")</f>
        <v/>
      </c>
      <c r="V8" s="50" t="str">
        <f>IF(U7="Long","IV Ask Price","IV Bid Price")</f>
        <v>IV Bid Price</v>
      </c>
      <c r="W8" s="53" t="str" cm="1">
        <f t="array" ref="W8">IF(U8="","",IFERROR(AmericanVolatility($C$4,$U$6,$C$6,$E$3,$E$4,$U$8,25,$U$4,$U$5),""))</f>
        <v/>
      </c>
      <c r="X8" s="31"/>
      <c r="Y8" s="55"/>
      <c r="Z8" s="245"/>
      <c r="AA8" s="171">
        <f>COUNTA(AA10:AA1048576)</f>
        <v>0</v>
      </c>
      <c r="AC8" s="29" t="str">
        <f>IF(AD4="Straddle","ATM (blank)",IF($AD$4="Strangle","Call Delta",IF(RIGHT($AD$4,10)="TimeSpread","Short |Delta|","Low |Delta|")))</f>
        <v>Low |Delta|</v>
      </c>
      <c r="AD8" s="76">
        <v>0.4</v>
      </c>
      <c r="AE8" s="56" t="str">
        <f>IF(RIGHT(strategy,10)="TimeSpread",IF(AD5="Short","(T_2-t)/T_2","(T_1-t)/T_1"),"(T-t)/T")</f>
        <v>(T-t)/T</v>
      </c>
      <c r="AF8" s="55">
        <v>0.5</v>
      </c>
      <c r="AG8" s="72"/>
      <c r="AH8" s="52"/>
      <c r="AI8" s="74"/>
      <c r="AJ8" s="57"/>
      <c r="AL8" s="6"/>
      <c r="AM8" s="6"/>
      <c r="AN8" s="6"/>
      <c r="AO8" s="6"/>
      <c r="AP8" s="6"/>
      <c r="AQ8" s="6"/>
      <c r="AR8" s="6"/>
    </row>
    <row r="9" spans="1:44" ht="15.75" thickBot="1" x14ac:dyDescent="0.3">
      <c r="B9" s="36" t="s">
        <v>21</v>
      </c>
      <c r="C9" s="37" t="s">
        <v>15</v>
      </c>
      <c r="D9" s="37" t="s">
        <v>20</v>
      </c>
      <c r="E9" s="37" t="s">
        <v>16</v>
      </c>
      <c r="F9" s="37" t="s">
        <v>17</v>
      </c>
      <c r="G9" s="93" t="s">
        <v>46</v>
      </c>
      <c r="H9" s="37" t="s">
        <v>18</v>
      </c>
      <c r="I9" s="37" t="s">
        <v>19</v>
      </c>
      <c r="J9" s="261"/>
      <c r="K9" s="37" t="s">
        <v>19</v>
      </c>
      <c r="L9" s="93" t="s">
        <v>18</v>
      </c>
      <c r="M9" s="37" t="s">
        <v>47</v>
      </c>
      <c r="N9" s="37" t="s">
        <v>17</v>
      </c>
      <c r="O9" s="37" t="s">
        <v>16</v>
      </c>
      <c r="P9" s="37" t="s">
        <v>20</v>
      </c>
      <c r="Q9" s="37" t="s">
        <v>15</v>
      </c>
      <c r="R9" s="38" t="s">
        <v>21</v>
      </c>
      <c r="S9" s="11"/>
      <c r="T9" s="58" t="s">
        <v>3</v>
      </c>
      <c r="U9" s="59" t="s">
        <v>17</v>
      </c>
      <c r="V9" s="59" t="s">
        <v>16</v>
      </c>
      <c r="W9" s="59" t="s">
        <v>20</v>
      </c>
      <c r="X9" s="59" t="s">
        <v>15</v>
      </c>
      <c r="Y9" s="59" t="s">
        <v>21</v>
      </c>
      <c r="Z9" s="60" t="s">
        <v>45</v>
      </c>
      <c r="AA9" s="60" t="s">
        <v>54</v>
      </c>
      <c r="AC9" s="58" t="s">
        <v>3</v>
      </c>
      <c r="AD9" s="59" t="s">
        <v>17</v>
      </c>
      <c r="AE9" s="59" t="s">
        <v>16</v>
      </c>
      <c r="AF9" s="59" t="s">
        <v>20</v>
      </c>
      <c r="AG9" s="59" t="s">
        <v>15</v>
      </c>
      <c r="AH9" s="59" t="s">
        <v>21</v>
      </c>
      <c r="AI9" s="60" t="str">
        <f>IF(RIGHT($AD$4,10)="TimeSpread","Theoretical PayOff","PayOffatT")</f>
        <v>PayOffatT</v>
      </c>
      <c r="AJ9" s="60"/>
      <c r="AL9" s="6"/>
      <c r="AM9" s="6"/>
      <c r="AN9" s="6"/>
      <c r="AO9" s="6"/>
      <c r="AP9" s="6"/>
      <c r="AQ9" s="6"/>
      <c r="AR9" s="6"/>
    </row>
    <row r="10" spans="1:44" x14ac:dyDescent="0.25">
      <c r="A10" s="66"/>
      <c r="C10" s="40"/>
      <c r="E10" s="42"/>
      <c r="F10" s="42"/>
      <c r="J10" s="204"/>
      <c r="M10" s="205"/>
      <c r="N10" s="206"/>
      <c r="O10" s="206"/>
      <c r="Q10" s="40"/>
      <c r="S10" s="65"/>
      <c r="AL10" s="6"/>
      <c r="AM10" s="6"/>
      <c r="AN10" s="6"/>
      <c r="AO10" s="6"/>
      <c r="AP10" s="6"/>
      <c r="AQ10" s="6"/>
      <c r="AR10" s="6"/>
    </row>
    <row r="11" spans="1:44" x14ac:dyDescent="0.25">
      <c r="A11" s="66"/>
      <c r="C11" s="40"/>
      <c r="E11" s="42"/>
      <c r="F11" s="42"/>
      <c r="J11" s="204"/>
      <c r="M11" s="205"/>
      <c r="N11" s="206"/>
      <c r="O11" s="206"/>
      <c r="Q11" s="40"/>
      <c r="S11" s="65"/>
      <c r="AL11" s="6"/>
      <c r="AM11" s="6"/>
      <c r="AN11" s="6"/>
      <c r="AO11" s="6"/>
      <c r="AP11" s="6"/>
      <c r="AQ11" s="6"/>
      <c r="AR11" s="6"/>
    </row>
    <row r="12" spans="1:44" x14ac:dyDescent="0.25">
      <c r="A12" s="66"/>
      <c r="C12" s="40"/>
      <c r="E12" s="42"/>
      <c r="F12" s="42"/>
      <c r="J12" s="204"/>
      <c r="M12" s="205"/>
      <c r="N12" s="206"/>
      <c r="O12" s="206"/>
      <c r="Q12" s="40"/>
      <c r="S12" s="65"/>
      <c r="AL12" s="6"/>
      <c r="AM12" s="6"/>
      <c r="AN12" s="6"/>
      <c r="AO12" s="6"/>
      <c r="AP12" s="6"/>
      <c r="AQ12" s="6"/>
      <c r="AR12" s="6"/>
    </row>
    <row r="13" spans="1:44" x14ac:dyDescent="0.25">
      <c r="A13" s="66"/>
      <c r="C13" s="40"/>
      <c r="E13" s="42"/>
      <c r="F13" s="42"/>
      <c r="J13" s="204"/>
      <c r="M13" s="205"/>
      <c r="N13" s="206"/>
      <c r="O13" s="206"/>
      <c r="Q13" s="40"/>
      <c r="S13" s="65"/>
      <c r="AL13" s="6"/>
      <c r="AM13" s="6"/>
      <c r="AN13" s="6"/>
      <c r="AO13" s="6"/>
      <c r="AP13" s="6"/>
      <c r="AQ13" s="6"/>
      <c r="AR13" s="6"/>
    </row>
    <row r="14" spans="1:44" x14ac:dyDescent="0.25">
      <c r="A14" s="66"/>
      <c r="C14" s="40"/>
      <c r="E14" s="42"/>
      <c r="F14" s="42"/>
      <c r="J14" s="204"/>
      <c r="M14" s="205"/>
      <c r="N14" s="206"/>
      <c r="O14" s="206"/>
      <c r="Q14" s="40"/>
      <c r="S14" s="65"/>
      <c r="AL14" s="6"/>
      <c r="AM14" s="6"/>
      <c r="AN14" s="6"/>
      <c r="AO14" s="6"/>
      <c r="AP14" s="6"/>
      <c r="AQ14" s="6"/>
      <c r="AR14" s="6"/>
    </row>
    <row r="15" spans="1:44" x14ac:dyDescent="0.25">
      <c r="A15" s="66"/>
      <c r="C15" s="40"/>
      <c r="E15" s="42"/>
      <c r="F15" s="42"/>
      <c r="J15" s="204"/>
      <c r="M15" s="205"/>
      <c r="N15" s="206"/>
      <c r="O15" s="206"/>
      <c r="Q15" s="40"/>
      <c r="S15" s="65"/>
      <c r="AL15" s="6"/>
      <c r="AM15" s="6"/>
      <c r="AN15" s="6"/>
      <c r="AO15" s="6"/>
      <c r="AP15" s="6"/>
      <c r="AQ15" s="6"/>
      <c r="AR15" s="6"/>
    </row>
    <row r="16" spans="1:44" x14ac:dyDescent="0.25">
      <c r="A16" s="66"/>
      <c r="E16" s="42"/>
      <c r="F16" s="42"/>
      <c r="S16" s="65"/>
      <c r="AL16" s="6"/>
      <c r="AM16" s="6"/>
      <c r="AN16" s="6"/>
      <c r="AO16" s="6"/>
      <c r="AP16" s="6"/>
      <c r="AQ16" s="6"/>
      <c r="AR16" s="6"/>
    </row>
    <row r="17" spans="1:44" x14ac:dyDescent="0.25">
      <c r="A17" s="66"/>
      <c r="E17" s="42"/>
      <c r="F17" s="42"/>
      <c r="S17" s="65"/>
      <c r="AB17" s="7"/>
      <c r="AL17" s="6"/>
      <c r="AM17" s="6"/>
      <c r="AN17" s="6"/>
      <c r="AO17" s="6"/>
      <c r="AP17" s="6"/>
      <c r="AQ17" s="6"/>
      <c r="AR17" s="6"/>
    </row>
    <row r="18" spans="1:44" x14ac:dyDescent="0.25">
      <c r="A18" s="66"/>
      <c r="E18" s="42"/>
      <c r="F18" s="42"/>
      <c r="S18" s="65"/>
      <c r="AL18" s="6"/>
      <c r="AM18" s="6"/>
      <c r="AN18" s="6"/>
      <c r="AO18" s="6"/>
      <c r="AP18" s="6"/>
      <c r="AQ18" s="6"/>
      <c r="AR18" s="6"/>
    </row>
    <row r="19" spans="1:44" x14ac:dyDescent="0.25">
      <c r="A19" s="70"/>
      <c r="E19" s="42"/>
      <c r="F19" s="42"/>
      <c r="S19" s="65"/>
      <c r="AL19" s="6"/>
      <c r="AM19" s="6"/>
      <c r="AN19" s="6"/>
      <c r="AO19" s="6"/>
      <c r="AP19" s="6"/>
      <c r="AQ19" s="6"/>
      <c r="AR19" s="6"/>
    </row>
    <row r="20" spans="1:44" x14ac:dyDescent="0.25">
      <c r="A20" s="70"/>
      <c r="C20" s="40"/>
      <c r="E20" s="42"/>
      <c r="F20" s="42"/>
      <c r="S20" s="65"/>
      <c r="AL20" s="6"/>
      <c r="AM20" s="6"/>
      <c r="AN20" s="6"/>
      <c r="AO20" s="6"/>
      <c r="AP20" s="6"/>
      <c r="AQ20" s="6"/>
      <c r="AR20" s="6"/>
    </row>
    <row r="21" spans="1:44" x14ac:dyDescent="0.25">
      <c r="A21" s="66"/>
      <c r="E21" s="42"/>
      <c r="F21" s="42"/>
      <c r="S21" s="65"/>
      <c r="AL21" s="6"/>
      <c r="AM21" s="6"/>
      <c r="AN21" s="6"/>
      <c r="AO21" s="6"/>
      <c r="AP21" s="6"/>
      <c r="AQ21" s="6"/>
      <c r="AR21" s="6"/>
    </row>
    <row r="22" spans="1:44" x14ac:dyDescent="0.25">
      <c r="A22" s="66"/>
      <c r="E22" s="42"/>
      <c r="F22" s="42"/>
      <c r="S22" s="65"/>
      <c r="AL22" s="6"/>
      <c r="AM22" s="6"/>
      <c r="AN22" s="6"/>
      <c r="AO22" s="6"/>
      <c r="AP22" s="6"/>
      <c r="AQ22" s="6"/>
      <c r="AR22" s="6"/>
    </row>
    <row r="23" spans="1:44" x14ac:dyDescent="0.25">
      <c r="C23" s="40"/>
      <c r="E23" s="42"/>
      <c r="F23" s="42"/>
      <c r="S23" s="65"/>
      <c r="AL23" s="6"/>
      <c r="AM23" s="6"/>
      <c r="AN23" s="6"/>
      <c r="AO23" s="6"/>
      <c r="AP23" s="6"/>
      <c r="AQ23" s="6"/>
      <c r="AR23" s="6"/>
    </row>
    <row r="24" spans="1:44" x14ac:dyDescent="0.25">
      <c r="C24" s="40"/>
      <c r="E24" s="42"/>
      <c r="F24" s="42"/>
      <c r="S24" s="65"/>
      <c r="AL24" s="6"/>
      <c r="AM24" s="6"/>
      <c r="AN24" s="6"/>
      <c r="AO24" s="6"/>
      <c r="AP24" s="6"/>
      <c r="AQ24" s="6"/>
      <c r="AR24" s="6"/>
    </row>
    <row r="25" spans="1:44" x14ac:dyDescent="0.25">
      <c r="C25" s="40"/>
      <c r="E25" s="42"/>
      <c r="F25" s="42"/>
      <c r="S25" s="65"/>
      <c r="AL25" s="6"/>
      <c r="AM25" s="6"/>
      <c r="AN25" s="6"/>
      <c r="AO25" s="6"/>
      <c r="AP25" s="6"/>
      <c r="AQ25" s="6"/>
      <c r="AR25" s="6"/>
    </row>
    <row r="26" spans="1:44" x14ac:dyDescent="0.25">
      <c r="C26" s="40"/>
      <c r="E26" s="42"/>
      <c r="F26" s="42"/>
      <c r="AL26" s="6"/>
      <c r="AM26" s="6"/>
      <c r="AN26" s="6"/>
      <c r="AO26" s="6"/>
      <c r="AP26" s="6"/>
      <c r="AQ26" s="6"/>
      <c r="AR26" s="6"/>
    </row>
    <row r="27" spans="1:44" x14ac:dyDescent="0.25">
      <c r="C27" s="40"/>
      <c r="E27" s="42"/>
      <c r="F27" s="42"/>
      <c r="AL27" s="6"/>
      <c r="AM27" s="6"/>
      <c r="AN27" s="6"/>
      <c r="AO27" s="6"/>
      <c r="AP27" s="6"/>
      <c r="AQ27" s="6"/>
      <c r="AR27" s="6"/>
    </row>
    <row r="28" spans="1:44" x14ac:dyDescent="0.25">
      <c r="C28" s="40"/>
      <c r="E28" s="42"/>
      <c r="F28" s="42"/>
      <c r="AL28" s="6"/>
      <c r="AM28" s="6"/>
      <c r="AN28" s="6"/>
      <c r="AO28" s="6"/>
      <c r="AP28" s="6"/>
      <c r="AQ28" s="6"/>
      <c r="AR28" s="6"/>
    </row>
    <row r="29" spans="1:44" x14ac:dyDescent="0.25">
      <c r="C29" s="40"/>
      <c r="E29" s="42"/>
      <c r="F29" s="42"/>
    </row>
    <row r="30" spans="1:44" x14ac:dyDescent="0.25">
      <c r="C30" s="40"/>
      <c r="E30" s="42"/>
      <c r="F30" s="42"/>
    </row>
    <row r="31" spans="1:44" x14ac:dyDescent="0.25">
      <c r="C31" s="40"/>
      <c r="E31" s="42"/>
      <c r="F31" s="42"/>
    </row>
    <row r="32" spans="1:44" x14ac:dyDescent="0.25">
      <c r="E32" s="42"/>
      <c r="F32" s="42"/>
    </row>
    <row r="33" spans="5:6" x14ac:dyDescent="0.25">
      <c r="E33" s="42"/>
      <c r="F33" s="42"/>
    </row>
    <row r="34" spans="5:6" x14ac:dyDescent="0.25">
      <c r="E34" s="42"/>
      <c r="F34" s="42"/>
    </row>
    <row r="35" spans="5:6" x14ac:dyDescent="0.25">
      <c r="E35" s="42"/>
      <c r="F35" s="42"/>
    </row>
    <row r="36" spans="5:6" x14ac:dyDescent="0.25">
      <c r="E36" s="42"/>
      <c r="F36" s="42"/>
    </row>
    <row r="37" spans="5:6" x14ac:dyDescent="0.25">
      <c r="E37" s="42"/>
      <c r="F37" s="42"/>
    </row>
    <row r="38" spans="5:6" x14ac:dyDescent="0.25">
      <c r="E38" s="42"/>
      <c r="F38" s="42"/>
    </row>
    <row r="39" spans="5:6" x14ac:dyDescent="0.25">
      <c r="E39" s="42"/>
      <c r="F39" s="42"/>
    </row>
    <row r="40" spans="5:6" x14ac:dyDescent="0.25">
      <c r="E40" s="42"/>
      <c r="F40" s="42"/>
    </row>
    <row r="41" spans="5:6" x14ac:dyDescent="0.25">
      <c r="E41" s="42"/>
      <c r="F41" s="42"/>
    </row>
    <row r="42" spans="5:6" x14ac:dyDescent="0.25">
      <c r="E42" s="42"/>
      <c r="F42" s="42"/>
    </row>
    <row r="43" spans="5:6" x14ac:dyDescent="0.25">
      <c r="E43" s="42"/>
      <c r="F43" s="42"/>
    </row>
    <row r="44" spans="5:6" x14ac:dyDescent="0.25">
      <c r="E44" s="42"/>
      <c r="F44" s="42"/>
    </row>
    <row r="45" spans="5:6" x14ac:dyDescent="0.25">
      <c r="E45" s="42"/>
      <c r="F45" s="42"/>
    </row>
    <row r="46" spans="5:6" x14ac:dyDescent="0.25">
      <c r="E46" s="42"/>
      <c r="F46" s="42"/>
    </row>
    <row r="47" spans="5:6" x14ac:dyDescent="0.25">
      <c r="E47" s="42"/>
      <c r="F47" s="42"/>
    </row>
    <row r="48" spans="5:6" x14ac:dyDescent="0.25">
      <c r="E48" s="42"/>
      <c r="F48" s="42"/>
    </row>
    <row r="49" spans="5:6" x14ac:dyDescent="0.25">
      <c r="E49" s="42"/>
      <c r="F49" s="42"/>
    </row>
    <row r="50" spans="5:6" x14ac:dyDescent="0.25">
      <c r="E50" s="42"/>
      <c r="F50" s="42"/>
    </row>
    <row r="51" spans="5:6" x14ac:dyDescent="0.25">
      <c r="E51" s="42"/>
      <c r="F51" s="42"/>
    </row>
    <row r="52" spans="5:6" x14ac:dyDescent="0.25">
      <c r="E52" s="42"/>
      <c r="F52" s="42"/>
    </row>
    <row r="53" spans="5:6" x14ac:dyDescent="0.25">
      <c r="E53" s="42"/>
      <c r="F53" s="42"/>
    </row>
    <row r="54" spans="5:6" x14ac:dyDescent="0.25">
      <c r="E54" s="42"/>
      <c r="F54" s="42"/>
    </row>
    <row r="55" spans="5:6" x14ac:dyDescent="0.25">
      <c r="E55" s="42"/>
      <c r="F55" s="42"/>
    </row>
    <row r="56" spans="5:6" x14ac:dyDescent="0.25">
      <c r="E56" s="42"/>
      <c r="F56" s="42"/>
    </row>
    <row r="57" spans="5:6" x14ac:dyDescent="0.25">
      <c r="E57" s="42"/>
      <c r="F57" s="42"/>
    </row>
    <row r="58" spans="5:6" x14ac:dyDescent="0.25">
      <c r="E58" s="42"/>
      <c r="F58" s="42"/>
    </row>
    <row r="59" spans="5:6" x14ac:dyDescent="0.25">
      <c r="E59" s="42"/>
      <c r="F59" s="42"/>
    </row>
    <row r="60" spans="5:6" x14ac:dyDescent="0.25">
      <c r="E60" s="42"/>
      <c r="F60" s="42"/>
    </row>
    <row r="61" spans="5:6" x14ac:dyDescent="0.25">
      <c r="E61" s="42"/>
      <c r="F61" s="42"/>
    </row>
    <row r="62" spans="5:6" x14ac:dyDescent="0.25">
      <c r="E62" s="42"/>
      <c r="F62" s="42"/>
    </row>
    <row r="63" spans="5:6" x14ac:dyDescent="0.25">
      <c r="E63" s="42"/>
      <c r="F63" s="42"/>
    </row>
    <row r="64" spans="5:6" x14ac:dyDescent="0.25">
      <c r="E64" s="42"/>
      <c r="F64" s="42"/>
    </row>
    <row r="65" spans="5:6" x14ac:dyDescent="0.25">
      <c r="E65" s="42"/>
      <c r="F65" s="42"/>
    </row>
    <row r="66" spans="5:6" x14ac:dyDescent="0.25">
      <c r="E66" s="42"/>
      <c r="F66" s="42"/>
    </row>
    <row r="67" spans="5:6" x14ac:dyDescent="0.25">
      <c r="E67" s="42"/>
      <c r="F67" s="42"/>
    </row>
    <row r="68" spans="5:6" x14ac:dyDescent="0.25">
      <c r="E68" s="42"/>
      <c r="F68" s="42"/>
    </row>
    <row r="69" spans="5:6" x14ac:dyDescent="0.25">
      <c r="E69" s="42"/>
      <c r="F69" s="42"/>
    </row>
    <row r="70" spans="5:6" x14ac:dyDescent="0.25">
      <c r="E70" s="42"/>
      <c r="F70" s="42"/>
    </row>
    <row r="71" spans="5:6" x14ac:dyDescent="0.25">
      <c r="E71" s="42"/>
      <c r="F71" s="42"/>
    </row>
    <row r="72" spans="5:6" x14ac:dyDescent="0.25">
      <c r="E72" s="42"/>
      <c r="F72" s="42"/>
    </row>
    <row r="73" spans="5:6" x14ac:dyDescent="0.25">
      <c r="E73" s="42"/>
      <c r="F73" s="42"/>
    </row>
    <row r="74" spans="5:6" x14ac:dyDescent="0.25">
      <c r="E74" s="42"/>
      <c r="F74" s="42"/>
    </row>
    <row r="75" spans="5:6" x14ac:dyDescent="0.25">
      <c r="E75" s="42"/>
      <c r="F75" s="42"/>
    </row>
    <row r="76" spans="5:6" x14ac:dyDescent="0.25">
      <c r="E76" s="42"/>
      <c r="F76" s="42"/>
    </row>
    <row r="77" spans="5:6" x14ac:dyDescent="0.25">
      <c r="E77" s="42"/>
      <c r="F77" s="42"/>
    </row>
    <row r="78" spans="5:6" x14ac:dyDescent="0.25">
      <c r="E78" s="42"/>
      <c r="F78" s="42"/>
    </row>
    <row r="79" spans="5:6" x14ac:dyDescent="0.25">
      <c r="E79" s="42"/>
      <c r="F79" s="42"/>
    </row>
    <row r="80" spans="5:6" x14ac:dyDescent="0.25">
      <c r="E80" s="42"/>
      <c r="F80" s="42"/>
    </row>
    <row r="81" spans="5:6" x14ac:dyDescent="0.25">
      <c r="E81" s="42"/>
      <c r="F81" s="42"/>
    </row>
    <row r="82" spans="5:6" x14ac:dyDescent="0.25">
      <c r="E82" s="42"/>
      <c r="F82" s="42"/>
    </row>
    <row r="83" spans="5:6" x14ac:dyDescent="0.25">
      <c r="E83" s="42"/>
      <c r="F83" s="42"/>
    </row>
    <row r="84" spans="5:6" x14ac:dyDescent="0.25">
      <c r="E84" s="42"/>
      <c r="F84" s="42"/>
    </row>
    <row r="85" spans="5:6" x14ac:dyDescent="0.25">
      <c r="E85" s="42"/>
      <c r="F85" s="42"/>
    </row>
    <row r="86" spans="5:6" x14ac:dyDescent="0.25">
      <c r="E86" s="42"/>
      <c r="F86" s="42"/>
    </row>
    <row r="87" spans="5:6" x14ac:dyDescent="0.25">
      <c r="E87" s="42"/>
      <c r="F87" s="42"/>
    </row>
    <row r="88" spans="5:6" x14ac:dyDescent="0.25">
      <c r="E88" s="42"/>
      <c r="F88" s="42"/>
    </row>
    <row r="89" spans="5:6" x14ac:dyDescent="0.25">
      <c r="E89" s="42"/>
      <c r="F89" s="42"/>
    </row>
    <row r="90" spans="5:6" x14ac:dyDescent="0.25">
      <c r="E90" s="42"/>
      <c r="F90" s="42"/>
    </row>
    <row r="91" spans="5:6" x14ac:dyDescent="0.25">
      <c r="E91" s="42"/>
      <c r="F91" s="42"/>
    </row>
    <row r="92" spans="5:6" x14ac:dyDescent="0.25">
      <c r="E92" s="42"/>
      <c r="F92" s="42"/>
    </row>
    <row r="93" spans="5:6" x14ac:dyDescent="0.25">
      <c r="E93" s="42"/>
      <c r="F93" s="42"/>
    </row>
    <row r="94" spans="5:6" x14ac:dyDescent="0.25">
      <c r="E94" s="42"/>
      <c r="F94" s="42"/>
    </row>
    <row r="95" spans="5:6" x14ac:dyDescent="0.25">
      <c r="E95" s="42"/>
      <c r="F95" s="42"/>
    </row>
    <row r="96" spans="5:6" x14ac:dyDescent="0.25">
      <c r="E96" s="42"/>
      <c r="F96" s="42"/>
    </row>
    <row r="97" spans="5:6" x14ac:dyDescent="0.25">
      <c r="E97" s="42"/>
      <c r="F97" s="42"/>
    </row>
    <row r="98" spans="5:6" x14ac:dyDescent="0.25">
      <c r="E98" s="42"/>
      <c r="F98" s="42"/>
    </row>
    <row r="99" spans="5:6" x14ac:dyDescent="0.25">
      <c r="E99" s="42"/>
      <c r="F99" s="42"/>
    </row>
    <row r="100" spans="5:6" x14ac:dyDescent="0.25">
      <c r="E100" s="42"/>
      <c r="F100" s="42"/>
    </row>
    <row r="101" spans="5:6" x14ac:dyDescent="0.25">
      <c r="E101" s="42"/>
      <c r="F101" s="42"/>
    </row>
    <row r="102" spans="5:6" x14ac:dyDescent="0.25">
      <c r="E102" s="42"/>
      <c r="F102" s="42"/>
    </row>
    <row r="103" spans="5:6" x14ac:dyDescent="0.25">
      <c r="E103" s="42"/>
      <c r="F103" s="42"/>
    </row>
    <row r="104" spans="5:6" x14ac:dyDescent="0.25">
      <c r="E104" s="42"/>
      <c r="F104" s="42"/>
    </row>
    <row r="105" spans="5:6" x14ac:dyDescent="0.25">
      <c r="E105" s="42"/>
      <c r="F105" s="42"/>
    </row>
    <row r="106" spans="5:6" x14ac:dyDescent="0.25">
      <c r="E106" s="42"/>
      <c r="F106" s="42"/>
    </row>
    <row r="107" spans="5:6" x14ac:dyDescent="0.25">
      <c r="E107" s="42"/>
      <c r="F107" s="42"/>
    </row>
    <row r="108" spans="5:6" x14ac:dyDescent="0.25">
      <c r="E108" s="42"/>
      <c r="F108" s="42"/>
    </row>
    <row r="109" spans="5:6" x14ac:dyDescent="0.25">
      <c r="E109" s="42"/>
      <c r="F109" s="42"/>
    </row>
    <row r="110" spans="5:6" x14ac:dyDescent="0.25">
      <c r="E110" s="42"/>
      <c r="F110" s="42"/>
    </row>
    <row r="111" spans="5:6" x14ac:dyDescent="0.25">
      <c r="E111" s="42"/>
      <c r="F111" s="42"/>
    </row>
    <row r="112" spans="5:6" x14ac:dyDescent="0.25">
      <c r="E112" s="42"/>
      <c r="F112" s="42"/>
    </row>
    <row r="113" spans="5:6" x14ac:dyDescent="0.25">
      <c r="E113" s="42"/>
      <c r="F113" s="42"/>
    </row>
    <row r="114" spans="5:6" x14ac:dyDescent="0.25">
      <c r="E114" s="42"/>
      <c r="F114" s="42"/>
    </row>
    <row r="115" spans="5:6" x14ac:dyDescent="0.25">
      <c r="E115" s="42"/>
      <c r="F115" s="42"/>
    </row>
    <row r="116" spans="5:6" x14ac:dyDescent="0.25">
      <c r="E116" s="42"/>
      <c r="F116" s="42"/>
    </row>
    <row r="117" spans="5:6" x14ac:dyDescent="0.25">
      <c r="E117" s="42"/>
      <c r="F117" s="42"/>
    </row>
    <row r="118" spans="5:6" x14ac:dyDescent="0.25">
      <c r="E118" s="42"/>
      <c r="F118" s="42"/>
    </row>
    <row r="119" spans="5:6" x14ac:dyDescent="0.25">
      <c r="E119" s="42"/>
      <c r="F119" s="42"/>
    </row>
    <row r="120" spans="5:6" x14ac:dyDescent="0.25">
      <c r="E120" s="42"/>
      <c r="F120" s="42"/>
    </row>
    <row r="121" spans="5:6" x14ac:dyDescent="0.25">
      <c r="E121" s="42"/>
      <c r="F121" s="42"/>
    </row>
    <row r="122" spans="5:6" x14ac:dyDescent="0.25">
      <c r="E122" s="42"/>
      <c r="F122" s="42"/>
    </row>
    <row r="123" spans="5:6" x14ac:dyDescent="0.25">
      <c r="E123" s="42"/>
      <c r="F123" s="42"/>
    </row>
    <row r="124" spans="5:6" x14ac:dyDescent="0.25">
      <c r="E124" s="42"/>
      <c r="F124" s="42"/>
    </row>
    <row r="125" spans="5:6" x14ac:dyDescent="0.25">
      <c r="E125" s="42"/>
      <c r="F125" s="42"/>
    </row>
    <row r="126" spans="5:6" x14ac:dyDescent="0.25">
      <c r="E126" s="42"/>
      <c r="F126" s="42"/>
    </row>
    <row r="127" spans="5:6" x14ac:dyDescent="0.25">
      <c r="E127" s="42"/>
      <c r="F127" s="42"/>
    </row>
    <row r="128" spans="5:6" x14ac:dyDescent="0.25">
      <c r="E128" s="42"/>
      <c r="F128" s="42"/>
    </row>
    <row r="129" spans="5:6" x14ac:dyDescent="0.25">
      <c r="E129" s="42"/>
      <c r="F129" s="42"/>
    </row>
    <row r="130" spans="5:6" x14ac:dyDescent="0.25">
      <c r="E130" s="42"/>
      <c r="F130" s="42"/>
    </row>
    <row r="131" spans="5:6" x14ac:dyDescent="0.25">
      <c r="E131" s="42"/>
      <c r="F131" s="42"/>
    </row>
    <row r="132" spans="5:6" x14ac:dyDescent="0.25">
      <c r="E132" s="42"/>
      <c r="F132" s="42"/>
    </row>
    <row r="133" spans="5:6" x14ac:dyDescent="0.25">
      <c r="E133" s="42"/>
      <c r="F133" s="42"/>
    </row>
    <row r="134" spans="5:6" x14ac:dyDescent="0.25">
      <c r="E134" s="42"/>
      <c r="F134" s="42"/>
    </row>
    <row r="135" spans="5:6" x14ac:dyDescent="0.25">
      <c r="E135" s="42"/>
      <c r="F135" s="42"/>
    </row>
    <row r="136" spans="5:6" x14ac:dyDescent="0.25">
      <c r="E136" s="42"/>
      <c r="F136" s="42"/>
    </row>
    <row r="137" spans="5:6" x14ac:dyDescent="0.25">
      <c r="E137" s="42"/>
      <c r="F137" s="42"/>
    </row>
    <row r="138" spans="5:6" x14ac:dyDescent="0.25">
      <c r="E138" s="42"/>
      <c r="F138" s="42"/>
    </row>
    <row r="139" spans="5:6" x14ac:dyDescent="0.25">
      <c r="E139" s="42"/>
      <c r="F139" s="42"/>
    </row>
    <row r="140" spans="5:6" x14ac:dyDescent="0.25">
      <c r="E140" s="42"/>
      <c r="F140" s="42"/>
    </row>
    <row r="141" spans="5:6" x14ac:dyDescent="0.25">
      <c r="E141" s="42"/>
      <c r="F141" s="42"/>
    </row>
    <row r="142" spans="5:6" x14ac:dyDescent="0.25">
      <c r="E142" s="42"/>
      <c r="F142" s="42"/>
    </row>
    <row r="143" spans="5:6" x14ac:dyDescent="0.25">
      <c r="E143" s="42"/>
      <c r="F143" s="42"/>
    </row>
    <row r="144" spans="5:6" x14ac:dyDescent="0.25">
      <c r="E144" s="42"/>
      <c r="F144" s="42"/>
    </row>
    <row r="145" spans="5:6" x14ac:dyDescent="0.25">
      <c r="E145" s="42"/>
      <c r="F145" s="42"/>
    </row>
    <row r="146" spans="5:6" x14ac:dyDescent="0.25">
      <c r="E146" s="42"/>
      <c r="F146" s="42"/>
    </row>
    <row r="147" spans="5:6" x14ac:dyDescent="0.25">
      <c r="E147" s="42"/>
      <c r="F147" s="42"/>
    </row>
    <row r="148" spans="5:6" x14ac:dyDescent="0.25">
      <c r="E148" s="42"/>
      <c r="F148" s="42"/>
    </row>
    <row r="149" spans="5:6" x14ac:dyDescent="0.25">
      <c r="E149" s="42"/>
      <c r="F149" s="42"/>
    </row>
    <row r="150" spans="5:6" x14ac:dyDescent="0.25">
      <c r="E150" s="42"/>
      <c r="F150" s="42"/>
    </row>
    <row r="151" spans="5:6" x14ac:dyDescent="0.25">
      <c r="E151" s="42"/>
      <c r="F151" s="42"/>
    </row>
    <row r="152" spans="5:6" x14ac:dyDescent="0.25">
      <c r="E152" s="42"/>
      <c r="F152" s="42"/>
    </row>
    <row r="153" spans="5:6" x14ac:dyDescent="0.25">
      <c r="E153" s="42"/>
      <c r="F153" s="42"/>
    </row>
    <row r="154" spans="5:6" x14ac:dyDescent="0.25">
      <c r="E154" s="42"/>
      <c r="F154" s="42"/>
    </row>
    <row r="155" spans="5:6" x14ac:dyDescent="0.25">
      <c r="E155" s="42"/>
      <c r="F155" s="42"/>
    </row>
    <row r="156" spans="5:6" x14ac:dyDescent="0.25">
      <c r="E156" s="42"/>
      <c r="F156" s="42"/>
    </row>
    <row r="157" spans="5:6" x14ac:dyDescent="0.25">
      <c r="E157" s="42"/>
      <c r="F157" s="42"/>
    </row>
    <row r="158" spans="5:6" x14ac:dyDescent="0.25">
      <c r="E158" s="42"/>
      <c r="F158" s="42"/>
    </row>
    <row r="159" spans="5:6" x14ac:dyDescent="0.25">
      <c r="E159" s="42"/>
      <c r="F159" s="42"/>
    </row>
    <row r="160" spans="5:6" x14ac:dyDescent="0.25">
      <c r="E160" s="42"/>
      <c r="F160" s="42"/>
    </row>
    <row r="161" spans="5:6" x14ac:dyDescent="0.25">
      <c r="E161" s="42"/>
      <c r="F161" s="42"/>
    </row>
    <row r="162" spans="5:6" x14ac:dyDescent="0.25">
      <c r="E162" s="42"/>
      <c r="F162" s="42"/>
    </row>
    <row r="163" spans="5:6" x14ac:dyDescent="0.25">
      <c r="E163" s="42"/>
      <c r="F163" s="42"/>
    </row>
    <row r="164" spans="5:6" x14ac:dyDescent="0.25">
      <c r="E164" s="42"/>
      <c r="F164" s="42"/>
    </row>
    <row r="165" spans="5:6" x14ac:dyDescent="0.25">
      <c r="E165" s="42"/>
      <c r="F165" s="42"/>
    </row>
    <row r="166" spans="5:6" x14ac:dyDescent="0.25">
      <c r="E166" s="42"/>
      <c r="F166" s="42"/>
    </row>
    <row r="167" spans="5:6" x14ac:dyDescent="0.25">
      <c r="E167" s="42"/>
      <c r="F167" s="42"/>
    </row>
    <row r="168" spans="5:6" x14ac:dyDescent="0.25">
      <c r="E168" s="42"/>
      <c r="F168" s="42"/>
    </row>
    <row r="169" spans="5:6" x14ac:dyDescent="0.25">
      <c r="E169" s="42"/>
      <c r="F169" s="42"/>
    </row>
    <row r="170" spans="5:6" x14ac:dyDescent="0.25">
      <c r="E170" s="42"/>
      <c r="F170" s="42"/>
    </row>
    <row r="171" spans="5:6" x14ac:dyDescent="0.25">
      <c r="E171" s="42"/>
      <c r="F171" s="42"/>
    </row>
    <row r="172" spans="5:6" x14ac:dyDescent="0.25">
      <c r="E172" s="42"/>
      <c r="F172" s="42"/>
    </row>
    <row r="173" spans="5:6" x14ac:dyDescent="0.25">
      <c r="E173" s="42"/>
      <c r="F173" s="42"/>
    </row>
    <row r="174" spans="5:6" x14ac:dyDescent="0.25">
      <c r="E174" s="42"/>
      <c r="F174" s="42"/>
    </row>
    <row r="175" spans="5:6" x14ac:dyDescent="0.25">
      <c r="E175" s="42"/>
      <c r="F175" s="42"/>
    </row>
    <row r="176" spans="5:6" x14ac:dyDescent="0.25">
      <c r="E176" s="42"/>
      <c r="F176" s="42"/>
    </row>
    <row r="177" spans="5:6" x14ac:dyDescent="0.25">
      <c r="E177" s="42"/>
      <c r="F177" s="42"/>
    </row>
    <row r="178" spans="5:6" x14ac:dyDescent="0.25">
      <c r="E178" s="42"/>
      <c r="F178" s="42"/>
    </row>
    <row r="179" spans="5:6" x14ac:dyDescent="0.25">
      <c r="E179" s="42"/>
      <c r="F179" s="42"/>
    </row>
    <row r="180" spans="5:6" x14ac:dyDescent="0.25">
      <c r="E180" s="42"/>
      <c r="F180" s="42"/>
    </row>
    <row r="181" spans="5:6" x14ac:dyDescent="0.25">
      <c r="E181" s="42"/>
      <c r="F181" s="42"/>
    </row>
    <row r="182" spans="5:6" x14ac:dyDescent="0.25">
      <c r="E182" s="42"/>
      <c r="F182" s="42"/>
    </row>
    <row r="183" spans="5:6" x14ac:dyDescent="0.25">
      <c r="E183" s="42"/>
      <c r="F183" s="42"/>
    </row>
    <row r="184" spans="5:6" x14ac:dyDescent="0.25">
      <c r="E184" s="42"/>
      <c r="F184" s="42"/>
    </row>
    <row r="185" spans="5:6" x14ac:dyDescent="0.25">
      <c r="E185" s="42"/>
      <c r="F185" s="42"/>
    </row>
    <row r="186" spans="5:6" x14ac:dyDescent="0.25">
      <c r="E186" s="42"/>
      <c r="F186" s="42"/>
    </row>
    <row r="187" spans="5:6" x14ac:dyDescent="0.25">
      <c r="E187" s="42"/>
      <c r="F187" s="42"/>
    </row>
    <row r="188" spans="5:6" x14ac:dyDescent="0.25">
      <c r="E188" s="42"/>
      <c r="F188" s="42"/>
    </row>
    <row r="189" spans="5:6" x14ac:dyDescent="0.25">
      <c r="E189" s="42"/>
      <c r="F189" s="42"/>
    </row>
    <row r="190" spans="5:6" x14ac:dyDescent="0.25">
      <c r="E190" s="42"/>
      <c r="F190" s="42"/>
    </row>
    <row r="191" spans="5:6" x14ac:dyDescent="0.25">
      <c r="E191" s="42"/>
      <c r="F191" s="42"/>
    </row>
    <row r="192" spans="5:6" x14ac:dyDescent="0.25">
      <c r="E192" s="42"/>
      <c r="F192" s="42"/>
    </row>
    <row r="193" spans="5:6" x14ac:dyDescent="0.25">
      <c r="E193" s="42"/>
      <c r="F193" s="42"/>
    </row>
    <row r="194" spans="5:6" x14ac:dyDescent="0.25">
      <c r="E194" s="42"/>
      <c r="F194" s="42"/>
    </row>
    <row r="195" spans="5:6" x14ac:dyDescent="0.25">
      <c r="E195" s="42"/>
      <c r="F195" s="42"/>
    </row>
    <row r="196" spans="5:6" x14ac:dyDescent="0.25">
      <c r="E196" s="42"/>
      <c r="F196" s="42"/>
    </row>
    <row r="197" spans="5:6" x14ac:dyDescent="0.25">
      <c r="E197" s="42"/>
      <c r="F197" s="42"/>
    </row>
    <row r="198" spans="5:6" x14ac:dyDescent="0.25">
      <c r="E198" s="42"/>
      <c r="F198" s="42"/>
    </row>
    <row r="199" spans="5:6" x14ac:dyDescent="0.25">
      <c r="E199" s="42"/>
      <c r="F199" s="42"/>
    </row>
    <row r="200" spans="5:6" x14ac:dyDescent="0.25">
      <c r="E200" s="42"/>
      <c r="F200" s="42"/>
    </row>
    <row r="201" spans="5:6" x14ac:dyDescent="0.25">
      <c r="E201" s="42"/>
      <c r="F201" s="42"/>
    </row>
    <row r="202" spans="5:6" x14ac:dyDescent="0.25">
      <c r="E202" s="42"/>
      <c r="F202" s="42"/>
    </row>
    <row r="203" spans="5:6" x14ac:dyDescent="0.25">
      <c r="E203" s="42"/>
      <c r="F203" s="42"/>
    </row>
    <row r="204" spans="5:6" x14ac:dyDescent="0.25">
      <c r="E204" s="42"/>
      <c r="F204" s="42"/>
    </row>
    <row r="205" spans="5:6" x14ac:dyDescent="0.25">
      <c r="E205" s="42"/>
      <c r="F205" s="42"/>
    </row>
    <row r="206" spans="5:6" x14ac:dyDescent="0.25">
      <c r="E206" s="42"/>
      <c r="F206" s="42"/>
    </row>
    <row r="207" spans="5:6" x14ac:dyDescent="0.25">
      <c r="E207" s="42"/>
      <c r="F207" s="42"/>
    </row>
    <row r="208" spans="5:6" x14ac:dyDescent="0.25">
      <c r="E208" s="42"/>
      <c r="F208" s="42"/>
    </row>
    <row r="209" spans="5:6" x14ac:dyDescent="0.25">
      <c r="E209" s="42"/>
      <c r="F209" s="42"/>
    </row>
    <row r="210" spans="5:6" x14ac:dyDescent="0.25">
      <c r="E210" s="42"/>
      <c r="F210" s="42"/>
    </row>
    <row r="211" spans="5:6" x14ac:dyDescent="0.25">
      <c r="E211" s="42"/>
      <c r="F211" s="42"/>
    </row>
    <row r="212" spans="5:6" x14ac:dyDescent="0.25">
      <c r="E212" s="42"/>
      <c r="F212" s="42"/>
    </row>
    <row r="213" spans="5:6" x14ac:dyDescent="0.25">
      <c r="E213" s="42"/>
      <c r="F213" s="42"/>
    </row>
    <row r="214" spans="5:6" x14ac:dyDescent="0.25">
      <c r="E214" s="42"/>
      <c r="F214" s="42"/>
    </row>
    <row r="215" spans="5:6" x14ac:dyDescent="0.25">
      <c r="E215" s="42"/>
      <c r="F215" s="42"/>
    </row>
    <row r="216" spans="5:6" x14ac:dyDescent="0.25">
      <c r="E216" s="42"/>
      <c r="F216" s="42"/>
    </row>
    <row r="217" spans="5:6" x14ac:dyDescent="0.25">
      <c r="E217" s="42"/>
      <c r="F217" s="42"/>
    </row>
    <row r="218" spans="5:6" x14ac:dyDescent="0.25">
      <c r="E218" s="42"/>
      <c r="F218" s="42"/>
    </row>
    <row r="219" spans="5:6" x14ac:dyDescent="0.25">
      <c r="E219" s="42"/>
      <c r="F219" s="42"/>
    </row>
    <row r="220" spans="5:6" x14ac:dyDescent="0.25">
      <c r="E220" s="42"/>
      <c r="F220" s="42"/>
    </row>
    <row r="221" spans="5:6" x14ac:dyDescent="0.25">
      <c r="E221" s="42"/>
      <c r="F221" s="42"/>
    </row>
    <row r="222" spans="5:6" x14ac:dyDescent="0.25">
      <c r="E222" s="42"/>
      <c r="F222" s="42"/>
    </row>
    <row r="223" spans="5:6" x14ac:dyDescent="0.25">
      <c r="E223" s="42"/>
      <c r="F223" s="42"/>
    </row>
    <row r="224" spans="5:6" x14ac:dyDescent="0.25">
      <c r="E224" s="42"/>
      <c r="F224" s="42"/>
    </row>
    <row r="225" spans="5:6" x14ac:dyDescent="0.25">
      <c r="E225" s="42"/>
      <c r="F225" s="42"/>
    </row>
    <row r="226" spans="5:6" x14ac:dyDescent="0.25">
      <c r="E226" s="42"/>
      <c r="F226" s="42"/>
    </row>
    <row r="227" spans="5:6" x14ac:dyDescent="0.25">
      <c r="E227" s="42"/>
      <c r="F227" s="42"/>
    </row>
    <row r="228" spans="5:6" x14ac:dyDescent="0.25">
      <c r="E228" s="42"/>
      <c r="F228" s="42"/>
    </row>
    <row r="229" spans="5:6" x14ac:dyDescent="0.25">
      <c r="E229" s="42"/>
      <c r="F229" s="42"/>
    </row>
    <row r="230" spans="5:6" x14ac:dyDescent="0.25">
      <c r="E230" s="42"/>
      <c r="F230" s="42"/>
    </row>
    <row r="231" spans="5:6" x14ac:dyDescent="0.25">
      <c r="E231" s="42"/>
      <c r="F231" s="42"/>
    </row>
    <row r="232" spans="5:6" x14ac:dyDescent="0.25">
      <c r="E232" s="42"/>
      <c r="F232" s="42"/>
    </row>
    <row r="233" spans="5:6" x14ac:dyDescent="0.25">
      <c r="E233" s="42"/>
      <c r="F233" s="42"/>
    </row>
    <row r="234" spans="5:6" x14ac:dyDescent="0.25">
      <c r="E234" s="42"/>
      <c r="F234" s="42"/>
    </row>
    <row r="235" spans="5:6" x14ac:dyDescent="0.25">
      <c r="E235" s="42"/>
      <c r="F235" s="42"/>
    </row>
    <row r="236" spans="5:6" x14ac:dyDescent="0.25">
      <c r="E236" s="42"/>
      <c r="F236" s="42"/>
    </row>
    <row r="237" spans="5:6" x14ac:dyDescent="0.25">
      <c r="E237" s="42"/>
      <c r="F237" s="42"/>
    </row>
    <row r="238" spans="5:6" x14ac:dyDescent="0.25">
      <c r="E238" s="42"/>
      <c r="F238" s="42"/>
    </row>
    <row r="239" spans="5:6" x14ac:dyDescent="0.25">
      <c r="E239" s="42"/>
      <c r="F239" s="42"/>
    </row>
    <row r="240" spans="5:6" x14ac:dyDescent="0.25">
      <c r="E240" s="42"/>
      <c r="F240" s="42"/>
    </row>
    <row r="241" spans="5:6" x14ac:dyDescent="0.25">
      <c r="E241" s="42"/>
      <c r="F241" s="42"/>
    </row>
    <row r="242" spans="5:6" x14ac:dyDescent="0.25">
      <c r="E242" s="42"/>
      <c r="F242" s="42"/>
    </row>
    <row r="243" spans="5:6" x14ac:dyDescent="0.25">
      <c r="E243" s="42"/>
      <c r="F243" s="42"/>
    </row>
    <row r="244" spans="5:6" x14ac:dyDescent="0.25">
      <c r="E244" s="42"/>
      <c r="F244" s="42"/>
    </row>
    <row r="245" spans="5:6" x14ac:dyDescent="0.25">
      <c r="E245" s="42"/>
      <c r="F245" s="42"/>
    </row>
    <row r="246" spans="5:6" x14ac:dyDescent="0.25">
      <c r="E246" s="42"/>
      <c r="F246" s="42"/>
    </row>
    <row r="247" spans="5:6" x14ac:dyDescent="0.25">
      <c r="E247" s="42"/>
      <c r="F247" s="42"/>
    </row>
    <row r="248" spans="5:6" x14ac:dyDescent="0.25">
      <c r="E248" s="42"/>
      <c r="F248" s="42"/>
    </row>
    <row r="249" spans="5:6" x14ac:dyDescent="0.25">
      <c r="E249" s="42"/>
      <c r="F249" s="42"/>
    </row>
    <row r="250" spans="5:6" x14ac:dyDescent="0.25">
      <c r="E250" s="42"/>
      <c r="F250" s="42"/>
    </row>
    <row r="251" spans="5:6" x14ac:dyDescent="0.25">
      <c r="E251" s="42"/>
      <c r="F251" s="42"/>
    </row>
    <row r="252" spans="5:6" x14ac:dyDescent="0.25">
      <c r="E252" s="42"/>
      <c r="F252" s="42"/>
    </row>
    <row r="253" spans="5:6" x14ac:dyDescent="0.25">
      <c r="E253" s="42"/>
      <c r="F253" s="42"/>
    </row>
    <row r="254" spans="5:6" x14ac:dyDescent="0.25">
      <c r="E254" s="42"/>
      <c r="F254" s="42"/>
    </row>
    <row r="255" spans="5:6" x14ac:dyDescent="0.25">
      <c r="E255" s="42"/>
      <c r="F255" s="42"/>
    </row>
    <row r="256" spans="5:6" x14ac:dyDescent="0.25">
      <c r="E256" s="42"/>
      <c r="F256" s="42"/>
    </row>
    <row r="257" spans="5:6" x14ac:dyDescent="0.25">
      <c r="E257" s="42"/>
      <c r="F257" s="42"/>
    </row>
    <row r="258" spans="5:6" x14ac:dyDescent="0.25">
      <c r="E258" s="42"/>
      <c r="F258" s="42"/>
    </row>
    <row r="259" spans="5:6" x14ac:dyDescent="0.25">
      <c r="E259" s="42"/>
      <c r="F259" s="42"/>
    </row>
    <row r="260" spans="5:6" x14ac:dyDescent="0.25">
      <c r="E260" s="42"/>
      <c r="F260" s="42"/>
    </row>
    <row r="261" spans="5:6" x14ac:dyDescent="0.25">
      <c r="E261" s="42"/>
      <c r="F261" s="42"/>
    </row>
    <row r="262" spans="5:6" x14ac:dyDescent="0.25">
      <c r="E262" s="42"/>
      <c r="F262" s="42"/>
    </row>
    <row r="263" spans="5:6" x14ac:dyDescent="0.25">
      <c r="E263" s="42"/>
      <c r="F263" s="42"/>
    </row>
    <row r="264" spans="5:6" x14ac:dyDescent="0.25">
      <c r="E264" s="42"/>
      <c r="F264" s="42"/>
    </row>
    <row r="265" spans="5:6" x14ac:dyDescent="0.25">
      <c r="E265" s="42"/>
      <c r="F265" s="42"/>
    </row>
    <row r="266" spans="5:6" x14ac:dyDescent="0.25">
      <c r="E266" s="42"/>
      <c r="F266" s="42"/>
    </row>
    <row r="267" spans="5:6" x14ac:dyDescent="0.25">
      <c r="E267" s="42"/>
      <c r="F267" s="42"/>
    </row>
    <row r="268" spans="5:6" x14ac:dyDescent="0.25">
      <c r="E268" s="42"/>
      <c r="F268" s="42"/>
    </row>
    <row r="269" spans="5:6" x14ac:dyDescent="0.25">
      <c r="E269" s="42"/>
      <c r="F269" s="42"/>
    </row>
    <row r="270" spans="5:6" x14ac:dyDescent="0.25">
      <c r="E270" s="42"/>
      <c r="F270" s="42"/>
    </row>
    <row r="271" spans="5:6" x14ac:dyDescent="0.25">
      <c r="E271" s="42"/>
      <c r="F271" s="42"/>
    </row>
    <row r="272" spans="5:6" x14ac:dyDescent="0.25">
      <c r="E272" s="42"/>
      <c r="F272" s="42"/>
    </row>
    <row r="273" spans="5:6" x14ac:dyDescent="0.25">
      <c r="E273" s="42"/>
      <c r="F273" s="42"/>
    </row>
    <row r="274" spans="5:6" x14ac:dyDescent="0.25">
      <c r="E274" s="42"/>
      <c r="F274" s="42"/>
    </row>
    <row r="275" spans="5:6" x14ac:dyDescent="0.25">
      <c r="E275" s="42"/>
      <c r="F275" s="42"/>
    </row>
    <row r="276" spans="5:6" x14ac:dyDescent="0.25">
      <c r="E276" s="42"/>
      <c r="F276" s="42"/>
    </row>
    <row r="277" spans="5:6" x14ac:dyDescent="0.25">
      <c r="E277" s="42"/>
      <c r="F277" s="42"/>
    </row>
    <row r="278" spans="5:6" x14ac:dyDescent="0.25">
      <c r="E278" s="42"/>
      <c r="F278" s="42"/>
    </row>
    <row r="279" spans="5:6" x14ac:dyDescent="0.25">
      <c r="E279" s="42"/>
      <c r="F279" s="42"/>
    </row>
    <row r="280" spans="5:6" x14ac:dyDescent="0.25">
      <c r="E280" s="42"/>
      <c r="F280" s="42"/>
    </row>
    <row r="281" spans="5:6" x14ac:dyDescent="0.25">
      <c r="E281" s="42"/>
      <c r="F281" s="42"/>
    </row>
    <row r="282" spans="5:6" x14ac:dyDescent="0.25">
      <c r="E282" s="42"/>
      <c r="F282" s="42"/>
    </row>
    <row r="283" spans="5:6" x14ac:dyDescent="0.25">
      <c r="E283" s="42"/>
      <c r="F283" s="42"/>
    </row>
    <row r="284" spans="5:6" x14ac:dyDescent="0.25">
      <c r="E284" s="42"/>
      <c r="F284" s="42"/>
    </row>
    <row r="285" spans="5:6" x14ac:dyDescent="0.25">
      <c r="E285" s="42"/>
      <c r="F285" s="42"/>
    </row>
    <row r="286" spans="5:6" x14ac:dyDescent="0.25">
      <c r="E286" s="42"/>
      <c r="F286" s="42"/>
    </row>
    <row r="287" spans="5:6" x14ac:dyDescent="0.25">
      <c r="E287" s="42"/>
      <c r="F287" s="42"/>
    </row>
    <row r="288" spans="5:6" x14ac:dyDescent="0.25">
      <c r="E288" s="42"/>
      <c r="F288" s="42"/>
    </row>
    <row r="289" spans="5:6" x14ac:dyDescent="0.25">
      <c r="E289" s="42"/>
      <c r="F289" s="42"/>
    </row>
    <row r="290" spans="5:6" x14ac:dyDescent="0.25">
      <c r="E290" s="42"/>
      <c r="F290" s="42"/>
    </row>
    <row r="291" spans="5:6" x14ac:dyDescent="0.25">
      <c r="E291" s="42"/>
      <c r="F291" s="42"/>
    </row>
    <row r="292" spans="5:6" x14ac:dyDescent="0.25">
      <c r="E292" s="42"/>
      <c r="F292" s="42"/>
    </row>
    <row r="293" spans="5:6" x14ac:dyDescent="0.25">
      <c r="E293" s="42"/>
      <c r="F293" s="42"/>
    </row>
    <row r="294" spans="5:6" x14ac:dyDescent="0.25">
      <c r="E294" s="42"/>
      <c r="F294" s="42"/>
    </row>
    <row r="295" spans="5:6" x14ac:dyDescent="0.25">
      <c r="E295" s="42"/>
      <c r="F295" s="42"/>
    </row>
    <row r="296" spans="5:6" x14ac:dyDescent="0.25">
      <c r="E296" s="42"/>
      <c r="F296" s="42"/>
    </row>
    <row r="297" spans="5:6" x14ac:dyDescent="0.25">
      <c r="E297" s="42"/>
      <c r="F297" s="42"/>
    </row>
    <row r="298" spans="5:6" x14ac:dyDescent="0.25">
      <c r="E298" s="42"/>
      <c r="F298" s="42"/>
    </row>
    <row r="299" spans="5:6" x14ac:dyDescent="0.25">
      <c r="E299" s="42"/>
      <c r="F299" s="42"/>
    </row>
    <row r="300" spans="5:6" x14ac:dyDescent="0.25">
      <c r="E300" s="42"/>
      <c r="F300" s="42"/>
    </row>
    <row r="301" spans="5:6" x14ac:dyDescent="0.25">
      <c r="E301" s="42"/>
      <c r="F301" s="42"/>
    </row>
    <row r="302" spans="5:6" x14ac:dyDescent="0.25">
      <c r="E302" s="42"/>
      <c r="F302" s="42"/>
    </row>
    <row r="303" spans="5:6" x14ac:dyDescent="0.25">
      <c r="E303" s="42"/>
      <c r="F303" s="42"/>
    </row>
    <row r="304" spans="5:6" x14ac:dyDescent="0.25">
      <c r="E304" s="42"/>
      <c r="F304" s="42"/>
    </row>
    <row r="305" spans="5:6" x14ac:dyDescent="0.25">
      <c r="E305" s="42"/>
      <c r="F305" s="42"/>
    </row>
    <row r="306" spans="5:6" x14ac:dyDescent="0.25">
      <c r="E306" s="42"/>
      <c r="F306" s="42"/>
    </row>
    <row r="307" spans="5:6" x14ac:dyDescent="0.25">
      <c r="E307" s="42"/>
      <c r="F307" s="42"/>
    </row>
    <row r="308" spans="5:6" x14ac:dyDescent="0.25">
      <c r="E308" s="42"/>
      <c r="F308" s="42"/>
    </row>
    <row r="309" spans="5:6" x14ac:dyDescent="0.25">
      <c r="E309" s="42"/>
      <c r="F309" s="42"/>
    </row>
    <row r="310" spans="5:6" x14ac:dyDescent="0.25">
      <c r="E310" s="42"/>
      <c r="F310" s="42"/>
    </row>
    <row r="311" spans="5:6" x14ac:dyDescent="0.25">
      <c r="E311" s="42"/>
      <c r="F311" s="42"/>
    </row>
    <row r="312" spans="5:6" x14ac:dyDescent="0.25">
      <c r="E312" s="42"/>
      <c r="F312" s="42"/>
    </row>
    <row r="313" spans="5:6" x14ac:dyDescent="0.25">
      <c r="E313" s="42"/>
      <c r="F313" s="42"/>
    </row>
    <row r="314" spans="5:6" x14ac:dyDescent="0.25">
      <c r="E314" s="42"/>
      <c r="F314" s="42"/>
    </row>
    <row r="315" spans="5:6" x14ac:dyDescent="0.25">
      <c r="E315" s="42"/>
      <c r="F315" s="42"/>
    </row>
    <row r="316" spans="5:6" x14ac:dyDescent="0.25">
      <c r="E316" s="42"/>
      <c r="F316" s="42"/>
    </row>
    <row r="317" spans="5:6" x14ac:dyDescent="0.25">
      <c r="E317" s="42"/>
      <c r="F317" s="42"/>
    </row>
    <row r="318" spans="5:6" x14ac:dyDescent="0.25">
      <c r="E318" s="42"/>
      <c r="F318" s="42"/>
    </row>
    <row r="319" spans="5:6" x14ac:dyDescent="0.25">
      <c r="E319" s="42"/>
      <c r="F319" s="42"/>
    </row>
    <row r="320" spans="5:6" x14ac:dyDescent="0.25">
      <c r="E320" s="42"/>
      <c r="F320" s="42"/>
    </row>
    <row r="321" spans="5:6" x14ac:dyDescent="0.25">
      <c r="E321" s="42"/>
      <c r="F321" s="42"/>
    </row>
    <row r="322" spans="5:6" x14ac:dyDescent="0.25">
      <c r="E322" s="42"/>
      <c r="F322" s="42"/>
    </row>
    <row r="323" spans="5:6" x14ac:dyDescent="0.25">
      <c r="E323" s="42"/>
      <c r="F323" s="42"/>
    </row>
    <row r="324" spans="5:6" x14ac:dyDescent="0.25">
      <c r="E324" s="42"/>
      <c r="F324" s="42"/>
    </row>
    <row r="325" spans="5:6" x14ac:dyDescent="0.25">
      <c r="E325" s="42"/>
      <c r="F325" s="42"/>
    </row>
    <row r="326" spans="5:6" x14ac:dyDescent="0.25">
      <c r="E326" s="42"/>
      <c r="F326" s="42"/>
    </row>
    <row r="327" spans="5:6" x14ac:dyDescent="0.25">
      <c r="E327" s="42"/>
      <c r="F327" s="42"/>
    </row>
    <row r="328" spans="5:6" x14ac:dyDescent="0.25">
      <c r="E328" s="42"/>
      <c r="F328" s="42"/>
    </row>
    <row r="329" spans="5:6" x14ac:dyDescent="0.25">
      <c r="E329" s="42"/>
      <c r="F329" s="42"/>
    </row>
    <row r="330" spans="5:6" x14ac:dyDescent="0.25">
      <c r="E330" s="42"/>
      <c r="F330" s="42"/>
    </row>
    <row r="331" spans="5:6" x14ac:dyDescent="0.25">
      <c r="E331" s="42"/>
      <c r="F331" s="42"/>
    </row>
    <row r="332" spans="5:6" x14ac:dyDescent="0.25">
      <c r="E332" s="42"/>
      <c r="F332" s="42"/>
    </row>
    <row r="333" spans="5:6" x14ac:dyDescent="0.25">
      <c r="E333" s="42"/>
      <c r="F333" s="42"/>
    </row>
    <row r="334" spans="5:6" x14ac:dyDescent="0.25">
      <c r="E334" s="42"/>
      <c r="F334" s="42"/>
    </row>
    <row r="335" spans="5:6" x14ac:dyDescent="0.25">
      <c r="E335" s="42"/>
      <c r="F335" s="42"/>
    </row>
    <row r="336" spans="5:6" x14ac:dyDescent="0.25">
      <c r="E336" s="42"/>
      <c r="F336" s="42"/>
    </row>
    <row r="337" spans="5:6" x14ac:dyDescent="0.25">
      <c r="E337" s="42"/>
      <c r="F337" s="42"/>
    </row>
    <row r="338" spans="5:6" x14ac:dyDescent="0.25">
      <c r="E338" s="42"/>
      <c r="F338" s="42"/>
    </row>
    <row r="339" spans="5:6" x14ac:dyDescent="0.25">
      <c r="E339" s="42"/>
      <c r="F339" s="42"/>
    </row>
    <row r="340" spans="5:6" x14ac:dyDescent="0.25">
      <c r="E340" s="42"/>
      <c r="F340" s="42"/>
    </row>
    <row r="341" spans="5:6" x14ac:dyDescent="0.25">
      <c r="E341" s="42"/>
      <c r="F341" s="42"/>
    </row>
    <row r="342" spans="5:6" x14ac:dyDescent="0.25">
      <c r="E342" s="42"/>
      <c r="F342" s="42"/>
    </row>
    <row r="343" spans="5:6" x14ac:dyDescent="0.25">
      <c r="E343" s="42"/>
      <c r="F343" s="42"/>
    </row>
    <row r="344" spans="5:6" x14ac:dyDescent="0.25">
      <c r="E344" s="42"/>
      <c r="F344" s="42"/>
    </row>
    <row r="345" spans="5:6" x14ac:dyDescent="0.25">
      <c r="E345" s="42"/>
      <c r="F345" s="42"/>
    </row>
    <row r="346" spans="5:6" x14ac:dyDescent="0.25">
      <c r="E346" s="42"/>
      <c r="F346" s="42"/>
    </row>
    <row r="347" spans="5:6" x14ac:dyDescent="0.25">
      <c r="E347" s="42"/>
      <c r="F347" s="42"/>
    </row>
    <row r="348" spans="5:6" x14ac:dyDescent="0.25">
      <c r="E348" s="42"/>
      <c r="F348" s="42"/>
    </row>
    <row r="349" spans="5:6" x14ac:dyDescent="0.25">
      <c r="E349" s="42"/>
      <c r="F349" s="42"/>
    </row>
    <row r="350" spans="5:6" x14ac:dyDescent="0.25">
      <c r="E350" s="42"/>
      <c r="F350" s="42"/>
    </row>
    <row r="351" spans="5:6" x14ac:dyDescent="0.25">
      <c r="E351" s="42"/>
      <c r="F351" s="42"/>
    </row>
    <row r="352" spans="5:6" x14ac:dyDescent="0.25">
      <c r="E352" s="42"/>
      <c r="F352" s="42"/>
    </row>
    <row r="353" spans="5:6" x14ac:dyDescent="0.25">
      <c r="E353" s="42"/>
      <c r="F353" s="42"/>
    </row>
    <row r="354" spans="5:6" x14ac:dyDescent="0.25">
      <c r="E354" s="42"/>
      <c r="F354" s="42"/>
    </row>
    <row r="355" spans="5:6" x14ac:dyDescent="0.25">
      <c r="E355" s="42"/>
      <c r="F355" s="42"/>
    </row>
    <row r="356" spans="5:6" x14ac:dyDescent="0.25">
      <c r="E356" s="42"/>
      <c r="F356" s="42"/>
    </row>
    <row r="357" spans="5:6" x14ac:dyDescent="0.25">
      <c r="E357" s="42"/>
      <c r="F357" s="42"/>
    </row>
    <row r="358" spans="5:6" x14ac:dyDescent="0.25">
      <c r="E358" s="42"/>
      <c r="F358" s="42"/>
    </row>
    <row r="359" spans="5:6" x14ac:dyDescent="0.25">
      <c r="E359" s="42"/>
      <c r="F359" s="42"/>
    </row>
    <row r="360" spans="5:6" x14ac:dyDescent="0.25">
      <c r="E360" s="42"/>
      <c r="F360" s="42"/>
    </row>
    <row r="361" spans="5:6" x14ac:dyDescent="0.25">
      <c r="E361" s="42"/>
      <c r="F361" s="42"/>
    </row>
    <row r="362" spans="5:6" x14ac:dyDescent="0.25">
      <c r="E362" s="42"/>
      <c r="F362" s="42"/>
    </row>
    <row r="363" spans="5:6" x14ac:dyDescent="0.25">
      <c r="E363" s="42"/>
      <c r="F363" s="42"/>
    </row>
    <row r="364" spans="5:6" x14ac:dyDescent="0.25">
      <c r="E364" s="42"/>
      <c r="F364" s="42"/>
    </row>
    <row r="365" spans="5:6" x14ac:dyDescent="0.25">
      <c r="E365" s="42"/>
      <c r="F365" s="42"/>
    </row>
    <row r="366" spans="5:6" x14ac:dyDescent="0.25">
      <c r="E366" s="42"/>
      <c r="F366" s="42"/>
    </row>
    <row r="367" spans="5:6" x14ac:dyDescent="0.25">
      <c r="E367" s="42"/>
      <c r="F367" s="42"/>
    </row>
    <row r="368" spans="5:6" x14ac:dyDescent="0.25">
      <c r="E368" s="42"/>
      <c r="F368" s="42"/>
    </row>
    <row r="369" spans="5:6" x14ac:dyDescent="0.25">
      <c r="E369" s="42"/>
      <c r="F369" s="42"/>
    </row>
    <row r="370" spans="5:6" x14ac:dyDescent="0.25">
      <c r="E370" s="42"/>
      <c r="F370" s="42"/>
    </row>
    <row r="371" spans="5:6" x14ac:dyDescent="0.25">
      <c r="E371" s="42"/>
      <c r="F371" s="42"/>
    </row>
    <row r="372" spans="5:6" x14ac:dyDescent="0.25">
      <c r="E372" s="42"/>
      <c r="F372" s="42"/>
    </row>
    <row r="373" spans="5:6" x14ac:dyDescent="0.25">
      <c r="E373" s="42"/>
      <c r="F373" s="42"/>
    </row>
    <row r="374" spans="5:6" x14ac:dyDescent="0.25">
      <c r="E374" s="42"/>
      <c r="F374" s="42"/>
    </row>
    <row r="375" spans="5:6" x14ac:dyDescent="0.25">
      <c r="E375" s="42"/>
      <c r="F375" s="42"/>
    </row>
    <row r="376" spans="5:6" x14ac:dyDescent="0.25">
      <c r="E376" s="42"/>
      <c r="F376" s="42"/>
    </row>
    <row r="377" spans="5:6" x14ac:dyDescent="0.25">
      <c r="E377" s="42"/>
      <c r="F377" s="42"/>
    </row>
    <row r="378" spans="5:6" x14ac:dyDescent="0.25">
      <c r="E378" s="42"/>
      <c r="F378" s="42"/>
    </row>
    <row r="379" spans="5:6" x14ac:dyDescent="0.25">
      <c r="E379" s="42"/>
      <c r="F379" s="42"/>
    </row>
    <row r="380" spans="5:6" x14ac:dyDescent="0.25">
      <c r="E380" s="42"/>
      <c r="F380" s="42"/>
    </row>
    <row r="381" spans="5:6" x14ac:dyDescent="0.25">
      <c r="E381" s="42"/>
      <c r="F381" s="42"/>
    </row>
    <row r="382" spans="5:6" x14ac:dyDescent="0.25">
      <c r="E382" s="42"/>
      <c r="F382" s="42"/>
    </row>
    <row r="383" spans="5:6" x14ac:dyDescent="0.25">
      <c r="E383" s="42"/>
      <c r="F383" s="42"/>
    </row>
    <row r="384" spans="5:6" x14ac:dyDescent="0.25">
      <c r="E384" s="42"/>
      <c r="F384" s="42"/>
    </row>
    <row r="385" spans="5:6" x14ac:dyDescent="0.25">
      <c r="E385" s="42"/>
      <c r="F385" s="42"/>
    </row>
    <row r="386" spans="5:6" x14ac:dyDescent="0.25">
      <c r="E386" s="42"/>
      <c r="F386" s="42"/>
    </row>
    <row r="387" spans="5:6" x14ac:dyDescent="0.25">
      <c r="E387" s="42"/>
      <c r="F387" s="42"/>
    </row>
    <row r="388" spans="5:6" x14ac:dyDescent="0.25">
      <c r="E388" s="42"/>
      <c r="F388" s="42"/>
    </row>
    <row r="389" spans="5:6" x14ac:dyDescent="0.25">
      <c r="E389" s="42"/>
      <c r="F389" s="42"/>
    </row>
    <row r="390" spans="5:6" x14ac:dyDescent="0.25">
      <c r="E390" s="42"/>
      <c r="F390" s="42"/>
    </row>
    <row r="391" spans="5:6" x14ac:dyDescent="0.25">
      <c r="E391" s="42"/>
      <c r="F391" s="42"/>
    </row>
    <row r="392" spans="5:6" x14ac:dyDescent="0.25">
      <c r="E392" s="42"/>
      <c r="F392" s="42"/>
    </row>
    <row r="393" spans="5:6" x14ac:dyDescent="0.25">
      <c r="E393" s="42"/>
      <c r="F393" s="42"/>
    </row>
    <row r="394" spans="5:6" x14ac:dyDescent="0.25">
      <c r="E394" s="42"/>
      <c r="F394" s="42"/>
    </row>
    <row r="395" spans="5:6" x14ac:dyDescent="0.25">
      <c r="E395" s="42"/>
      <c r="F395" s="42"/>
    </row>
    <row r="396" spans="5:6" x14ac:dyDescent="0.25">
      <c r="E396" s="42"/>
      <c r="F396" s="42"/>
    </row>
    <row r="397" spans="5:6" x14ac:dyDescent="0.25">
      <c r="E397" s="42"/>
      <c r="F397" s="42"/>
    </row>
    <row r="398" spans="5:6" x14ac:dyDescent="0.25">
      <c r="E398" s="42"/>
      <c r="F398" s="42"/>
    </row>
    <row r="399" spans="5:6" x14ac:dyDescent="0.25">
      <c r="E399" s="42"/>
      <c r="F399" s="42"/>
    </row>
    <row r="400" spans="5:6" x14ac:dyDescent="0.25">
      <c r="E400" s="42"/>
      <c r="F400" s="42"/>
    </row>
    <row r="401" spans="5:6" x14ac:dyDescent="0.25">
      <c r="E401" s="42"/>
      <c r="F401" s="42"/>
    </row>
    <row r="402" spans="5:6" x14ac:dyDescent="0.25">
      <c r="E402" s="42"/>
      <c r="F402" s="42"/>
    </row>
    <row r="403" spans="5:6" x14ac:dyDescent="0.25">
      <c r="E403" s="42"/>
      <c r="F403" s="42"/>
    </row>
    <row r="404" spans="5:6" x14ac:dyDescent="0.25">
      <c r="E404" s="42"/>
      <c r="F404" s="42"/>
    </row>
    <row r="405" spans="5:6" x14ac:dyDescent="0.25">
      <c r="E405" s="42"/>
      <c r="F405" s="42"/>
    </row>
    <row r="406" spans="5:6" x14ac:dyDescent="0.25">
      <c r="E406" s="42"/>
      <c r="F406" s="42"/>
    </row>
    <row r="407" spans="5:6" x14ac:dyDescent="0.25">
      <c r="E407" s="42"/>
      <c r="F407" s="42"/>
    </row>
    <row r="408" spans="5:6" x14ac:dyDescent="0.25">
      <c r="E408" s="42"/>
      <c r="F408" s="42"/>
    </row>
    <row r="409" spans="5:6" x14ac:dyDescent="0.25">
      <c r="E409" s="42"/>
      <c r="F409" s="42"/>
    </row>
    <row r="410" spans="5:6" x14ac:dyDescent="0.25">
      <c r="E410" s="42"/>
      <c r="F410" s="42"/>
    </row>
    <row r="411" spans="5:6" x14ac:dyDescent="0.25">
      <c r="E411" s="42"/>
      <c r="F411" s="42"/>
    </row>
    <row r="412" spans="5:6" x14ac:dyDescent="0.25">
      <c r="E412" s="42"/>
      <c r="F412" s="42"/>
    </row>
    <row r="413" spans="5:6" x14ac:dyDescent="0.25">
      <c r="E413" s="42"/>
      <c r="F413" s="42"/>
    </row>
    <row r="414" spans="5:6" x14ac:dyDescent="0.25">
      <c r="E414" s="42"/>
      <c r="F414" s="42"/>
    </row>
    <row r="415" spans="5:6" x14ac:dyDescent="0.25">
      <c r="E415" s="42"/>
      <c r="F415" s="42"/>
    </row>
    <row r="416" spans="5:6" x14ac:dyDescent="0.25">
      <c r="E416" s="42"/>
      <c r="F416" s="42"/>
    </row>
    <row r="417" spans="5:6" x14ac:dyDescent="0.25">
      <c r="E417" s="42"/>
      <c r="F417" s="42"/>
    </row>
    <row r="418" spans="5:6" x14ac:dyDescent="0.25">
      <c r="E418" s="42"/>
      <c r="F418" s="42"/>
    </row>
    <row r="419" spans="5:6" x14ac:dyDescent="0.25">
      <c r="E419" s="42"/>
      <c r="F419" s="42"/>
    </row>
    <row r="420" spans="5:6" x14ac:dyDescent="0.25">
      <c r="E420" s="42"/>
      <c r="F420" s="42"/>
    </row>
    <row r="421" spans="5:6" x14ac:dyDescent="0.25">
      <c r="E421" s="42"/>
      <c r="F421" s="42"/>
    </row>
    <row r="422" spans="5:6" x14ac:dyDescent="0.25">
      <c r="E422" s="42"/>
      <c r="F422" s="42"/>
    </row>
    <row r="423" spans="5:6" x14ac:dyDescent="0.25">
      <c r="E423" s="42"/>
      <c r="F423" s="42"/>
    </row>
    <row r="424" spans="5:6" x14ac:dyDescent="0.25">
      <c r="E424" s="42"/>
      <c r="F424" s="42"/>
    </row>
    <row r="425" spans="5:6" x14ac:dyDescent="0.25">
      <c r="E425" s="42"/>
      <c r="F425" s="42"/>
    </row>
    <row r="426" spans="5:6" x14ac:dyDescent="0.25">
      <c r="E426" s="42"/>
      <c r="F426" s="42"/>
    </row>
    <row r="427" spans="5:6" x14ac:dyDescent="0.25">
      <c r="E427" s="42"/>
      <c r="F427" s="42"/>
    </row>
    <row r="428" spans="5:6" x14ac:dyDescent="0.25">
      <c r="E428" s="42"/>
      <c r="F428" s="42"/>
    </row>
    <row r="429" spans="5:6" x14ac:dyDescent="0.25">
      <c r="E429" s="42"/>
      <c r="F429" s="42"/>
    </row>
    <row r="430" spans="5:6" x14ac:dyDescent="0.25">
      <c r="E430" s="42"/>
      <c r="F430" s="42"/>
    </row>
    <row r="431" spans="5:6" x14ac:dyDescent="0.25">
      <c r="E431" s="42"/>
      <c r="F431" s="42"/>
    </row>
    <row r="432" spans="5:6" x14ac:dyDescent="0.25">
      <c r="E432" s="42"/>
      <c r="F432" s="42"/>
    </row>
    <row r="433" spans="5:6" x14ac:dyDescent="0.25">
      <c r="E433" s="42"/>
      <c r="F433" s="42"/>
    </row>
    <row r="434" spans="5:6" x14ac:dyDescent="0.25">
      <c r="E434" s="42"/>
      <c r="F434" s="42"/>
    </row>
    <row r="435" spans="5:6" x14ac:dyDescent="0.25">
      <c r="E435" s="42"/>
      <c r="F435" s="42"/>
    </row>
    <row r="436" spans="5:6" x14ac:dyDescent="0.25">
      <c r="E436" s="42"/>
      <c r="F436" s="42"/>
    </row>
    <row r="437" spans="5:6" x14ac:dyDescent="0.25">
      <c r="E437" s="42"/>
      <c r="F437" s="42"/>
    </row>
    <row r="438" spans="5:6" x14ac:dyDescent="0.25">
      <c r="E438" s="42"/>
      <c r="F438" s="42"/>
    </row>
    <row r="439" spans="5:6" x14ac:dyDescent="0.25">
      <c r="E439" s="42"/>
      <c r="F439" s="42"/>
    </row>
    <row r="440" spans="5:6" x14ac:dyDescent="0.25">
      <c r="E440" s="42"/>
      <c r="F440" s="42"/>
    </row>
    <row r="441" spans="5:6" x14ac:dyDescent="0.25">
      <c r="E441" s="42"/>
      <c r="F441" s="42"/>
    </row>
    <row r="442" spans="5:6" x14ac:dyDescent="0.25">
      <c r="E442" s="42"/>
      <c r="F442" s="42"/>
    </row>
    <row r="443" spans="5:6" x14ac:dyDescent="0.25">
      <c r="E443" s="42"/>
      <c r="F443" s="42"/>
    </row>
    <row r="444" spans="5:6" x14ac:dyDescent="0.25">
      <c r="E444" s="42"/>
      <c r="F444" s="42"/>
    </row>
    <row r="445" spans="5:6" x14ac:dyDescent="0.25">
      <c r="E445" s="42"/>
      <c r="F445" s="42"/>
    </row>
    <row r="446" spans="5:6" x14ac:dyDescent="0.25">
      <c r="E446" s="42"/>
      <c r="F446" s="42"/>
    </row>
    <row r="447" spans="5:6" x14ac:dyDescent="0.25">
      <c r="E447" s="42"/>
      <c r="F447" s="42"/>
    </row>
    <row r="448" spans="5:6" x14ac:dyDescent="0.25">
      <c r="E448" s="42"/>
      <c r="F448" s="42"/>
    </row>
    <row r="449" spans="5:6" x14ac:dyDescent="0.25">
      <c r="E449" s="42"/>
      <c r="F449" s="42"/>
    </row>
    <row r="450" spans="5:6" x14ac:dyDescent="0.25">
      <c r="E450" s="42"/>
      <c r="F450" s="42"/>
    </row>
    <row r="451" spans="5:6" x14ac:dyDescent="0.25">
      <c r="E451" s="42"/>
      <c r="F451" s="42"/>
    </row>
    <row r="452" spans="5:6" x14ac:dyDescent="0.25">
      <c r="E452" s="42"/>
      <c r="F452" s="42"/>
    </row>
    <row r="453" spans="5:6" x14ac:dyDescent="0.25">
      <c r="E453" s="42"/>
      <c r="F453" s="42"/>
    </row>
    <row r="454" spans="5:6" x14ac:dyDescent="0.25">
      <c r="E454" s="42"/>
      <c r="F454" s="42"/>
    </row>
    <row r="455" spans="5:6" x14ac:dyDescent="0.25">
      <c r="E455" s="42"/>
      <c r="F455" s="42"/>
    </row>
    <row r="456" spans="5:6" x14ac:dyDescent="0.25">
      <c r="E456" s="42"/>
      <c r="F456" s="42"/>
    </row>
    <row r="457" spans="5:6" x14ac:dyDescent="0.25">
      <c r="E457" s="42"/>
      <c r="F457" s="42"/>
    </row>
    <row r="458" spans="5:6" x14ac:dyDescent="0.25">
      <c r="E458" s="42"/>
      <c r="F458" s="42"/>
    </row>
    <row r="459" spans="5:6" x14ac:dyDescent="0.25">
      <c r="E459" s="42"/>
      <c r="F459" s="42"/>
    </row>
    <row r="460" spans="5:6" x14ac:dyDescent="0.25">
      <c r="E460" s="42"/>
      <c r="F460" s="42"/>
    </row>
    <row r="461" spans="5:6" x14ac:dyDescent="0.25">
      <c r="E461" s="42"/>
      <c r="F461" s="42"/>
    </row>
    <row r="462" spans="5:6" x14ac:dyDescent="0.25">
      <c r="E462" s="42"/>
      <c r="F462" s="42"/>
    </row>
    <row r="463" spans="5:6" x14ac:dyDescent="0.25">
      <c r="E463" s="42"/>
      <c r="F463" s="42"/>
    </row>
    <row r="464" spans="5:6" x14ac:dyDescent="0.25">
      <c r="E464" s="42"/>
      <c r="F464" s="42"/>
    </row>
    <row r="465" spans="5:6" x14ac:dyDescent="0.25">
      <c r="E465" s="42"/>
      <c r="F465" s="42"/>
    </row>
    <row r="466" spans="5:6" x14ac:dyDescent="0.25">
      <c r="E466" s="42"/>
      <c r="F466" s="42"/>
    </row>
    <row r="467" spans="5:6" x14ac:dyDescent="0.25">
      <c r="E467" s="42"/>
      <c r="F467" s="42"/>
    </row>
    <row r="468" spans="5:6" x14ac:dyDescent="0.25">
      <c r="E468" s="42"/>
      <c r="F468" s="42"/>
    </row>
    <row r="469" spans="5:6" x14ac:dyDescent="0.25">
      <c r="E469" s="42"/>
      <c r="F469" s="42"/>
    </row>
    <row r="470" spans="5:6" x14ac:dyDescent="0.25">
      <c r="E470" s="42"/>
      <c r="F470" s="42"/>
    </row>
    <row r="471" spans="5:6" x14ac:dyDescent="0.25">
      <c r="E471" s="42"/>
      <c r="F471" s="42"/>
    </row>
    <row r="472" spans="5:6" x14ac:dyDescent="0.25">
      <c r="E472" s="42"/>
      <c r="F472" s="42"/>
    </row>
    <row r="473" spans="5:6" x14ac:dyDescent="0.25">
      <c r="E473" s="42"/>
      <c r="F473" s="42"/>
    </row>
    <row r="474" spans="5:6" x14ac:dyDescent="0.25">
      <c r="E474" s="42"/>
      <c r="F474" s="42"/>
    </row>
    <row r="475" spans="5:6" x14ac:dyDescent="0.25">
      <c r="E475" s="42"/>
      <c r="F475" s="42"/>
    </row>
    <row r="476" spans="5:6" x14ac:dyDescent="0.25">
      <c r="E476" s="42"/>
      <c r="F476" s="42"/>
    </row>
    <row r="477" spans="5:6" x14ac:dyDescent="0.25">
      <c r="E477" s="42"/>
      <c r="F477" s="42"/>
    </row>
    <row r="478" spans="5:6" x14ac:dyDescent="0.25">
      <c r="E478" s="42"/>
      <c r="F478" s="42"/>
    </row>
    <row r="479" spans="5:6" x14ac:dyDescent="0.25">
      <c r="E479" s="42"/>
      <c r="F479" s="42"/>
    </row>
    <row r="480" spans="5:6" x14ac:dyDescent="0.25">
      <c r="E480" s="42"/>
      <c r="F480" s="42"/>
    </row>
    <row r="481" spans="5:6" x14ac:dyDescent="0.25">
      <c r="E481" s="42"/>
      <c r="F481" s="42"/>
    </row>
    <row r="482" spans="5:6" x14ac:dyDescent="0.25">
      <c r="E482" s="42"/>
      <c r="F482" s="42"/>
    </row>
    <row r="483" spans="5:6" x14ac:dyDescent="0.25">
      <c r="E483" s="42"/>
      <c r="F483" s="42"/>
    </row>
    <row r="484" spans="5:6" x14ac:dyDescent="0.25">
      <c r="E484" s="42"/>
      <c r="F484" s="42"/>
    </row>
    <row r="485" spans="5:6" x14ac:dyDescent="0.25">
      <c r="E485" s="42"/>
      <c r="F485" s="42"/>
    </row>
    <row r="486" spans="5:6" x14ac:dyDescent="0.25">
      <c r="E486" s="42"/>
      <c r="F486" s="42"/>
    </row>
    <row r="487" spans="5:6" x14ac:dyDescent="0.25">
      <c r="E487" s="42"/>
      <c r="F487" s="42"/>
    </row>
    <row r="488" spans="5:6" x14ac:dyDescent="0.25">
      <c r="E488" s="42"/>
      <c r="F488" s="42"/>
    </row>
    <row r="489" spans="5:6" x14ac:dyDescent="0.25">
      <c r="E489" s="42"/>
      <c r="F489" s="42"/>
    </row>
    <row r="490" spans="5:6" x14ac:dyDescent="0.25">
      <c r="E490" s="42"/>
      <c r="F490" s="42"/>
    </row>
    <row r="491" spans="5:6" x14ac:dyDescent="0.25">
      <c r="E491" s="42"/>
      <c r="F491" s="42"/>
    </row>
    <row r="492" spans="5:6" x14ac:dyDescent="0.25">
      <c r="E492" s="42"/>
      <c r="F492" s="42"/>
    </row>
    <row r="493" spans="5:6" x14ac:dyDescent="0.25">
      <c r="E493" s="42"/>
      <c r="F493" s="42"/>
    </row>
    <row r="494" spans="5:6" x14ac:dyDescent="0.25">
      <c r="E494" s="42"/>
      <c r="F494" s="42"/>
    </row>
    <row r="495" spans="5:6" x14ac:dyDescent="0.25">
      <c r="E495" s="42"/>
      <c r="F495" s="42"/>
    </row>
    <row r="496" spans="5:6" x14ac:dyDescent="0.25">
      <c r="E496" s="42"/>
      <c r="F496" s="42"/>
    </row>
    <row r="497" spans="5:6" x14ac:dyDescent="0.25">
      <c r="E497" s="42"/>
      <c r="F497" s="42"/>
    </row>
    <row r="498" spans="5:6" x14ac:dyDescent="0.25">
      <c r="E498" s="42"/>
      <c r="F498" s="42"/>
    </row>
    <row r="499" spans="5:6" x14ac:dyDescent="0.25">
      <c r="E499" s="42"/>
      <c r="F499" s="42"/>
    </row>
    <row r="500" spans="5:6" x14ac:dyDescent="0.25">
      <c r="E500" s="42"/>
      <c r="F500" s="42"/>
    </row>
    <row r="501" spans="5:6" x14ac:dyDescent="0.25">
      <c r="E501" s="42"/>
      <c r="F501" s="42"/>
    </row>
    <row r="502" spans="5:6" x14ac:dyDescent="0.25">
      <c r="E502" s="42"/>
      <c r="F502" s="42"/>
    </row>
    <row r="503" spans="5:6" x14ac:dyDescent="0.25">
      <c r="E503" s="42"/>
      <c r="F503" s="42"/>
    </row>
    <row r="504" spans="5:6" x14ac:dyDescent="0.25">
      <c r="E504" s="42"/>
      <c r="F504" s="42"/>
    </row>
    <row r="505" spans="5:6" x14ac:dyDescent="0.25">
      <c r="E505" s="42"/>
      <c r="F505" s="42"/>
    </row>
    <row r="506" spans="5:6" x14ac:dyDescent="0.25">
      <c r="E506" s="42"/>
      <c r="F506" s="42"/>
    </row>
    <row r="507" spans="5:6" x14ac:dyDescent="0.25">
      <c r="E507" s="42"/>
      <c r="F507" s="42"/>
    </row>
    <row r="508" spans="5:6" x14ac:dyDescent="0.25">
      <c r="E508" s="42"/>
      <c r="F508" s="42"/>
    </row>
    <row r="509" spans="5:6" x14ac:dyDescent="0.25">
      <c r="E509" s="42"/>
      <c r="F509" s="42"/>
    </row>
    <row r="510" spans="5:6" x14ac:dyDescent="0.25">
      <c r="E510" s="42"/>
      <c r="F510" s="42"/>
    </row>
    <row r="511" spans="5:6" x14ac:dyDescent="0.25">
      <c r="E511" s="42"/>
      <c r="F511" s="42"/>
    </row>
    <row r="512" spans="5:6" x14ac:dyDescent="0.25">
      <c r="E512" s="42"/>
      <c r="F512" s="42"/>
    </row>
    <row r="513" spans="5:6" x14ac:dyDescent="0.25">
      <c r="E513" s="42"/>
      <c r="F513" s="42"/>
    </row>
    <row r="514" spans="5:6" x14ac:dyDescent="0.25">
      <c r="E514" s="42"/>
      <c r="F514" s="42"/>
    </row>
    <row r="515" spans="5:6" x14ac:dyDescent="0.25">
      <c r="E515" s="42"/>
      <c r="F515" s="42"/>
    </row>
    <row r="516" spans="5:6" x14ac:dyDescent="0.25">
      <c r="E516" s="42"/>
      <c r="F516" s="42"/>
    </row>
    <row r="517" spans="5:6" x14ac:dyDescent="0.25">
      <c r="E517" s="42"/>
      <c r="F517" s="42"/>
    </row>
    <row r="518" spans="5:6" x14ac:dyDescent="0.25">
      <c r="E518" s="42"/>
      <c r="F518" s="42"/>
    </row>
    <row r="519" spans="5:6" x14ac:dyDescent="0.25">
      <c r="E519" s="42"/>
      <c r="F519" s="42"/>
    </row>
    <row r="520" spans="5:6" x14ac:dyDescent="0.25">
      <c r="E520" s="42"/>
      <c r="F520" s="42"/>
    </row>
    <row r="521" spans="5:6" x14ac:dyDescent="0.25">
      <c r="E521" s="42"/>
      <c r="F521" s="42"/>
    </row>
    <row r="522" spans="5:6" x14ac:dyDescent="0.25">
      <c r="E522" s="42"/>
      <c r="F522" s="42"/>
    </row>
    <row r="523" spans="5:6" x14ac:dyDescent="0.25">
      <c r="E523" s="42"/>
      <c r="F523" s="42"/>
    </row>
    <row r="524" spans="5:6" x14ac:dyDescent="0.25">
      <c r="E524" s="42"/>
      <c r="F524" s="42"/>
    </row>
    <row r="525" spans="5:6" x14ac:dyDescent="0.25">
      <c r="E525" s="42"/>
      <c r="F525" s="42"/>
    </row>
    <row r="526" spans="5:6" x14ac:dyDescent="0.25">
      <c r="E526" s="42"/>
      <c r="F526" s="42"/>
    </row>
    <row r="527" spans="5:6" x14ac:dyDescent="0.25">
      <c r="E527" s="42"/>
      <c r="F527" s="42"/>
    </row>
    <row r="528" spans="5:6" x14ac:dyDescent="0.25">
      <c r="E528" s="42"/>
      <c r="F528" s="42"/>
    </row>
    <row r="529" spans="5:6" x14ac:dyDescent="0.25">
      <c r="E529" s="42"/>
      <c r="F529" s="42"/>
    </row>
    <row r="530" spans="5:6" x14ac:dyDescent="0.25">
      <c r="E530" s="42"/>
      <c r="F530" s="42"/>
    </row>
    <row r="531" spans="5:6" x14ac:dyDescent="0.25">
      <c r="E531" s="42"/>
      <c r="F531" s="42"/>
    </row>
    <row r="532" spans="5:6" x14ac:dyDescent="0.25">
      <c r="E532" s="42"/>
      <c r="F532" s="42"/>
    </row>
    <row r="533" spans="5:6" x14ac:dyDescent="0.25">
      <c r="E533" s="42"/>
      <c r="F533" s="42"/>
    </row>
    <row r="534" spans="5:6" x14ac:dyDescent="0.25">
      <c r="E534" s="42"/>
      <c r="F534" s="42"/>
    </row>
    <row r="535" spans="5:6" x14ac:dyDescent="0.25">
      <c r="E535" s="42"/>
      <c r="F535" s="42"/>
    </row>
    <row r="536" spans="5:6" x14ac:dyDescent="0.25">
      <c r="E536" s="42"/>
      <c r="F536" s="42"/>
    </row>
    <row r="537" spans="5:6" x14ac:dyDescent="0.25">
      <c r="E537" s="42"/>
      <c r="F537" s="42"/>
    </row>
    <row r="538" spans="5:6" x14ac:dyDescent="0.25">
      <c r="E538" s="42"/>
      <c r="F538" s="42"/>
    </row>
    <row r="539" spans="5:6" x14ac:dyDescent="0.25">
      <c r="E539" s="42"/>
      <c r="F539" s="42"/>
    </row>
    <row r="540" spans="5:6" x14ac:dyDescent="0.25">
      <c r="E540" s="42"/>
      <c r="F540" s="42"/>
    </row>
    <row r="541" spans="5:6" x14ac:dyDescent="0.25">
      <c r="E541" s="42"/>
      <c r="F541" s="42"/>
    </row>
    <row r="542" spans="5:6" x14ac:dyDescent="0.25">
      <c r="E542" s="42"/>
      <c r="F542" s="42"/>
    </row>
    <row r="543" spans="5:6" x14ac:dyDescent="0.25">
      <c r="E543" s="42"/>
      <c r="F543" s="42"/>
    </row>
    <row r="544" spans="5:6" x14ac:dyDescent="0.25">
      <c r="E544" s="42"/>
      <c r="F544" s="42"/>
    </row>
    <row r="545" spans="5:6" x14ac:dyDescent="0.25">
      <c r="E545" s="42"/>
      <c r="F545" s="42"/>
    </row>
    <row r="546" spans="5:6" x14ac:dyDescent="0.25">
      <c r="E546" s="42"/>
      <c r="F546" s="42"/>
    </row>
    <row r="547" spans="5:6" x14ac:dyDescent="0.25">
      <c r="E547" s="42"/>
      <c r="F547" s="42"/>
    </row>
    <row r="548" spans="5:6" x14ac:dyDescent="0.25">
      <c r="E548" s="42"/>
      <c r="F548" s="42"/>
    </row>
    <row r="549" spans="5:6" x14ac:dyDescent="0.25">
      <c r="E549" s="42"/>
      <c r="F549" s="42"/>
    </row>
    <row r="550" spans="5:6" x14ac:dyDescent="0.25">
      <c r="E550" s="42"/>
      <c r="F550" s="42"/>
    </row>
    <row r="551" spans="5:6" x14ac:dyDescent="0.25">
      <c r="E551" s="42"/>
      <c r="F551" s="42"/>
    </row>
    <row r="552" spans="5:6" x14ac:dyDescent="0.25">
      <c r="E552" s="42"/>
      <c r="F552" s="42"/>
    </row>
    <row r="553" spans="5:6" x14ac:dyDescent="0.25">
      <c r="E553" s="42"/>
      <c r="F553" s="42"/>
    </row>
    <row r="554" spans="5:6" x14ac:dyDescent="0.25">
      <c r="E554" s="42"/>
      <c r="F554" s="42"/>
    </row>
    <row r="555" spans="5:6" x14ac:dyDescent="0.25">
      <c r="E555" s="42"/>
      <c r="F555" s="42"/>
    </row>
    <row r="556" spans="5:6" x14ac:dyDescent="0.25">
      <c r="E556" s="42"/>
      <c r="F556" s="42"/>
    </row>
    <row r="557" spans="5:6" x14ac:dyDescent="0.25">
      <c r="E557" s="42"/>
      <c r="F557" s="42"/>
    </row>
    <row r="558" spans="5:6" x14ac:dyDescent="0.25">
      <c r="E558" s="42"/>
      <c r="F558" s="42"/>
    </row>
    <row r="559" spans="5:6" x14ac:dyDescent="0.25">
      <c r="E559" s="42"/>
      <c r="F559" s="42"/>
    </row>
    <row r="560" spans="5:6" x14ac:dyDescent="0.25">
      <c r="E560" s="42"/>
      <c r="F560" s="42"/>
    </row>
    <row r="561" spans="5:6" x14ac:dyDescent="0.25">
      <c r="E561" s="42"/>
      <c r="F561" s="42"/>
    </row>
    <row r="562" spans="5:6" x14ac:dyDescent="0.25">
      <c r="E562" s="42"/>
      <c r="F562" s="42"/>
    </row>
    <row r="563" spans="5:6" x14ac:dyDescent="0.25">
      <c r="E563" s="42"/>
      <c r="F563" s="42"/>
    </row>
    <row r="564" spans="5:6" x14ac:dyDescent="0.25">
      <c r="E564" s="42"/>
      <c r="F564" s="42"/>
    </row>
    <row r="565" spans="5:6" x14ac:dyDescent="0.25">
      <c r="E565" s="42"/>
      <c r="F565" s="42"/>
    </row>
    <row r="566" spans="5:6" x14ac:dyDescent="0.25">
      <c r="E566" s="42"/>
      <c r="F566" s="42"/>
    </row>
    <row r="567" spans="5:6" x14ac:dyDescent="0.25">
      <c r="E567" s="42"/>
      <c r="F567" s="42"/>
    </row>
    <row r="568" spans="5:6" x14ac:dyDescent="0.25">
      <c r="E568" s="42"/>
      <c r="F568" s="42"/>
    </row>
    <row r="569" spans="5:6" x14ac:dyDescent="0.25">
      <c r="E569" s="42"/>
      <c r="F569" s="42"/>
    </row>
    <row r="570" spans="5:6" x14ac:dyDescent="0.25">
      <c r="E570" s="42"/>
      <c r="F570" s="42"/>
    </row>
    <row r="571" spans="5:6" x14ac:dyDescent="0.25">
      <c r="E571" s="42"/>
      <c r="F571" s="42"/>
    </row>
    <row r="572" spans="5:6" x14ac:dyDescent="0.25">
      <c r="E572" s="42"/>
      <c r="F572" s="42"/>
    </row>
    <row r="573" spans="5:6" x14ac:dyDescent="0.25">
      <c r="E573" s="42"/>
      <c r="F573" s="42"/>
    </row>
    <row r="574" spans="5:6" x14ac:dyDescent="0.25">
      <c r="E574" s="42"/>
      <c r="F574" s="42"/>
    </row>
    <row r="575" spans="5:6" x14ac:dyDescent="0.25">
      <c r="E575" s="42"/>
      <c r="F575" s="42"/>
    </row>
    <row r="576" spans="5:6" x14ac:dyDescent="0.25">
      <c r="E576" s="42"/>
      <c r="F576" s="42"/>
    </row>
    <row r="577" spans="5:6" x14ac:dyDescent="0.25">
      <c r="E577" s="42"/>
      <c r="F577" s="42"/>
    </row>
    <row r="578" spans="5:6" x14ac:dyDescent="0.25">
      <c r="E578" s="42"/>
      <c r="F578" s="42"/>
    </row>
    <row r="579" spans="5:6" x14ac:dyDescent="0.25">
      <c r="E579" s="42"/>
      <c r="F579" s="42"/>
    </row>
    <row r="580" spans="5:6" x14ac:dyDescent="0.25">
      <c r="E580" s="42"/>
      <c r="F580" s="42"/>
    </row>
    <row r="581" spans="5:6" x14ac:dyDescent="0.25">
      <c r="E581" s="42"/>
      <c r="F581" s="42"/>
    </row>
    <row r="582" spans="5:6" x14ac:dyDescent="0.25">
      <c r="E582" s="42"/>
      <c r="F582" s="42"/>
    </row>
    <row r="583" spans="5:6" x14ac:dyDescent="0.25">
      <c r="E583" s="42"/>
      <c r="F583" s="42"/>
    </row>
    <row r="584" spans="5:6" x14ac:dyDescent="0.25">
      <c r="E584" s="42"/>
      <c r="F584" s="42"/>
    </row>
    <row r="585" spans="5:6" x14ac:dyDescent="0.25">
      <c r="E585" s="42"/>
      <c r="F585" s="42"/>
    </row>
    <row r="586" spans="5:6" x14ac:dyDescent="0.25">
      <c r="E586" s="42"/>
      <c r="F586" s="42"/>
    </row>
    <row r="587" spans="5:6" x14ac:dyDescent="0.25">
      <c r="E587" s="42"/>
      <c r="F587" s="42"/>
    </row>
    <row r="588" spans="5:6" x14ac:dyDescent="0.25">
      <c r="E588" s="42"/>
      <c r="F588" s="42"/>
    </row>
    <row r="589" spans="5:6" x14ac:dyDescent="0.25">
      <c r="E589" s="42"/>
      <c r="F589" s="42"/>
    </row>
    <row r="590" spans="5:6" x14ac:dyDescent="0.25">
      <c r="E590" s="42"/>
      <c r="F590" s="42"/>
    </row>
    <row r="591" spans="5:6" x14ac:dyDescent="0.25">
      <c r="E591" s="42"/>
      <c r="F591" s="42"/>
    </row>
    <row r="592" spans="5:6" x14ac:dyDescent="0.25">
      <c r="E592" s="42"/>
      <c r="F592" s="42"/>
    </row>
    <row r="593" spans="5:6" x14ac:dyDescent="0.25">
      <c r="E593" s="42"/>
      <c r="F593" s="42"/>
    </row>
    <row r="594" spans="5:6" x14ac:dyDescent="0.25">
      <c r="E594" s="42"/>
      <c r="F594" s="42"/>
    </row>
    <row r="595" spans="5:6" x14ac:dyDescent="0.25">
      <c r="E595" s="42"/>
      <c r="F595" s="42"/>
    </row>
    <row r="596" spans="5:6" x14ac:dyDescent="0.25">
      <c r="E596" s="42"/>
      <c r="F596" s="42"/>
    </row>
    <row r="597" spans="5:6" x14ac:dyDescent="0.25">
      <c r="E597" s="42"/>
      <c r="F597" s="42"/>
    </row>
    <row r="598" spans="5:6" x14ac:dyDescent="0.25">
      <c r="E598" s="42"/>
      <c r="F598" s="42"/>
    </row>
    <row r="599" spans="5:6" x14ac:dyDescent="0.25">
      <c r="E599" s="42"/>
      <c r="F599" s="42"/>
    </row>
    <row r="600" spans="5:6" x14ac:dyDescent="0.25">
      <c r="E600" s="42"/>
      <c r="F600" s="42"/>
    </row>
    <row r="601" spans="5:6" x14ac:dyDescent="0.25">
      <c r="E601" s="42"/>
      <c r="F601" s="42"/>
    </row>
    <row r="602" spans="5:6" x14ac:dyDescent="0.25">
      <c r="E602" s="42"/>
      <c r="F602" s="42"/>
    </row>
    <row r="603" spans="5:6" x14ac:dyDescent="0.25">
      <c r="E603" s="42"/>
      <c r="F603" s="42"/>
    </row>
    <row r="604" spans="5:6" x14ac:dyDescent="0.25">
      <c r="E604" s="42"/>
      <c r="F604" s="42"/>
    </row>
    <row r="605" spans="5:6" x14ac:dyDescent="0.25">
      <c r="E605" s="42"/>
      <c r="F605" s="42"/>
    </row>
    <row r="606" spans="5:6" x14ac:dyDescent="0.25">
      <c r="E606" s="42"/>
      <c r="F606" s="42"/>
    </row>
    <row r="607" spans="5:6" x14ac:dyDescent="0.25">
      <c r="E607" s="42"/>
      <c r="F607" s="42"/>
    </row>
    <row r="608" spans="5:6" x14ac:dyDescent="0.25">
      <c r="E608" s="42"/>
      <c r="F608" s="42"/>
    </row>
    <row r="609" spans="5:6" x14ac:dyDescent="0.25">
      <c r="E609" s="42"/>
      <c r="F609" s="42"/>
    </row>
    <row r="610" spans="5:6" x14ac:dyDescent="0.25">
      <c r="E610" s="42"/>
      <c r="F610" s="42"/>
    </row>
    <row r="611" spans="5:6" x14ac:dyDescent="0.25">
      <c r="E611" s="42"/>
      <c r="F611" s="42"/>
    </row>
    <row r="612" spans="5:6" x14ac:dyDescent="0.25">
      <c r="E612" s="42"/>
      <c r="F612" s="42"/>
    </row>
    <row r="613" spans="5:6" x14ac:dyDescent="0.25">
      <c r="E613" s="42"/>
      <c r="F613" s="42"/>
    </row>
    <row r="614" spans="5:6" x14ac:dyDescent="0.25">
      <c r="E614" s="42"/>
      <c r="F614" s="42"/>
    </row>
    <row r="615" spans="5:6" x14ac:dyDescent="0.25">
      <c r="E615" s="42"/>
      <c r="F615" s="42"/>
    </row>
    <row r="616" spans="5:6" x14ac:dyDescent="0.25">
      <c r="E616" s="42"/>
      <c r="F616" s="42"/>
    </row>
    <row r="617" spans="5:6" x14ac:dyDescent="0.25">
      <c r="E617" s="42"/>
      <c r="F617" s="42"/>
    </row>
    <row r="618" spans="5:6" x14ac:dyDescent="0.25">
      <c r="E618" s="42"/>
      <c r="F618" s="42"/>
    </row>
    <row r="619" spans="5:6" x14ac:dyDescent="0.25">
      <c r="E619" s="42"/>
      <c r="F619" s="42"/>
    </row>
    <row r="620" spans="5:6" x14ac:dyDescent="0.25">
      <c r="E620" s="42"/>
      <c r="F620" s="42"/>
    </row>
    <row r="621" spans="5:6" x14ac:dyDescent="0.25">
      <c r="E621" s="42"/>
      <c r="F621" s="42"/>
    </row>
    <row r="622" spans="5:6" x14ac:dyDescent="0.25">
      <c r="E622" s="42"/>
      <c r="F622" s="42"/>
    </row>
    <row r="623" spans="5:6" x14ac:dyDescent="0.25">
      <c r="E623" s="42"/>
      <c r="F623" s="42"/>
    </row>
    <row r="624" spans="5:6" x14ac:dyDescent="0.25">
      <c r="E624" s="42"/>
      <c r="F624" s="42"/>
    </row>
    <row r="625" spans="5:6" x14ac:dyDescent="0.25">
      <c r="E625" s="42"/>
      <c r="F625" s="42"/>
    </row>
    <row r="626" spans="5:6" x14ac:dyDescent="0.25">
      <c r="E626" s="42"/>
      <c r="F626" s="42"/>
    </row>
    <row r="627" spans="5:6" x14ac:dyDescent="0.25">
      <c r="E627" s="42"/>
      <c r="F627" s="42"/>
    </row>
    <row r="628" spans="5:6" x14ac:dyDescent="0.25">
      <c r="E628" s="42"/>
      <c r="F628" s="42"/>
    </row>
    <row r="629" spans="5:6" x14ac:dyDescent="0.25">
      <c r="E629" s="42"/>
      <c r="F629" s="42"/>
    </row>
    <row r="630" spans="5:6" x14ac:dyDescent="0.25">
      <c r="E630" s="42"/>
      <c r="F630" s="42"/>
    </row>
    <row r="631" spans="5:6" x14ac:dyDescent="0.25">
      <c r="E631" s="42"/>
      <c r="F631" s="42"/>
    </row>
    <row r="632" spans="5:6" x14ac:dyDescent="0.25">
      <c r="E632" s="42"/>
      <c r="F632" s="42"/>
    </row>
    <row r="633" spans="5:6" x14ac:dyDescent="0.25">
      <c r="E633" s="42"/>
      <c r="F633" s="42"/>
    </row>
    <row r="634" spans="5:6" x14ac:dyDescent="0.25">
      <c r="E634" s="42"/>
      <c r="F634" s="42"/>
    </row>
    <row r="635" spans="5:6" x14ac:dyDescent="0.25">
      <c r="E635" s="42"/>
      <c r="F635" s="42"/>
    </row>
    <row r="636" spans="5:6" x14ac:dyDescent="0.25">
      <c r="E636" s="42"/>
      <c r="F636" s="42"/>
    </row>
    <row r="637" spans="5:6" x14ac:dyDescent="0.25">
      <c r="E637" s="42"/>
      <c r="F637" s="42"/>
    </row>
    <row r="638" spans="5:6" x14ac:dyDescent="0.25">
      <c r="E638" s="42"/>
      <c r="F638" s="42"/>
    </row>
    <row r="639" spans="5:6" x14ac:dyDescent="0.25">
      <c r="E639" s="42"/>
      <c r="F639" s="42"/>
    </row>
    <row r="640" spans="5:6" x14ac:dyDescent="0.25">
      <c r="E640" s="42"/>
      <c r="F640" s="42"/>
    </row>
    <row r="641" spans="5:6" x14ac:dyDescent="0.25">
      <c r="E641" s="42"/>
      <c r="F641" s="42"/>
    </row>
    <row r="642" spans="5:6" x14ac:dyDescent="0.25">
      <c r="E642" s="42"/>
      <c r="F642" s="42"/>
    </row>
    <row r="643" spans="5:6" x14ac:dyDescent="0.25">
      <c r="E643" s="42"/>
      <c r="F643" s="42"/>
    </row>
    <row r="644" spans="5:6" x14ac:dyDescent="0.25">
      <c r="E644" s="42"/>
      <c r="F644" s="42"/>
    </row>
    <row r="645" spans="5:6" x14ac:dyDescent="0.25">
      <c r="E645" s="42"/>
      <c r="F645" s="42"/>
    </row>
    <row r="646" spans="5:6" x14ac:dyDescent="0.25">
      <c r="E646" s="42"/>
      <c r="F646" s="42"/>
    </row>
    <row r="647" spans="5:6" x14ac:dyDescent="0.25">
      <c r="E647" s="42"/>
      <c r="F647" s="42"/>
    </row>
    <row r="648" spans="5:6" x14ac:dyDescent="0.25">
      <c r="E648" s="42"/>
      <c r="F648" s="42"/>
    </row>
    <row r="649" spans="5:6" x14ac:dyDescent="0.25">
      <c r="E649" s="42"/>
      <c r="F649" s="42"/>
    </row>
    <row r="650" spans="5:6" x14ac:dyDescent="0.25">
      <c r="E650" s="42"/>
      <c r="F650" s="42"/>
    </row>
    <row r="651" spans="5:6" x14ac:dyDescent="0.25">
      <c r="E651" s="42"/>
      <c r="F651" s="42"/>
    </row>
    <row r="652" spans="5:6" x14ac:dyDescent="0.25">
      <c r="E652" s="42"/>
      <c r="F652" s="42"/>
    </row>
    <row r="653" spans="5:6" x14ac:dyDescent="0.25">
      <c r="E653" s="42"/>
      <c r="F653" s="42"/>
    </row>
    <row r="654" spans="5:6" x14ac:dyDescent="0.25">
      <c r="E654" s="42"/>
      <c r="F654" s="42"/>
    </row>
    <row r="655" spans="5:6" x14ac:dyDescent="0.25">
      <c r="E655" s="42"/>
      <c r="F655" s="42"/>
    </row>
    <row r="656" spans="5:6" x14ac:dyDescent="0.25">
      <c r="E656" s="42"/>
      <c r="F656" s="42"/>
    </row>
    <row r="657" spans="5:6" x14ac:dyDescent="0.25">
      <c r="E657" s="42"/>
      <c r="F657" s="42"/>
    </row>
    <row r="658" spans="5:6" x14ac:dyDescent="0.25">
      <c r="E658" s="42"/>
      <c r="F658" s="42"/>
    </row>
    <row r="659" spans="5:6" x14ac:dyDescent="0.25">
      <c r="E659" s="42"/>
      <c r="F659" s="42"/>
    </row>
    <row r="660" spans="5:6" x14ac:dyDescent="0.25">
      <c r="E660" s="42"/>
      <c r="F660" s="42"/>
    </row>
    <row r="661" spans="5:6" x14ac:dyDescent="0.25">
      <c r="E661" s="42"/>
      <c r="F661" s="42"/>
    </row>
    <row r="662" spans="5:6" x14ac:dyDescent="0.25">
      <c r="E662" s="42"/>
      <c r="F662" s="42"/>
    </row>
    <row r="663" spans="5:6" x14ac:dyDescent="0.25">
      <c r="E663" s="42"/>
      <c r="F663" s="42"/>
    </row>
    <row r="664" spans="5:6" x14ac:dyDescent="0.25">
      <c r="E664" s="42"/>
      <c r="F664" s="42"/>
    </row>
    <row r="665" spans="5:6" x14ac:dyDescent="0.25">
      <c r="E665" s="42"/>
      <c r="F665" s="42"/>
    </row>
    <row r="666" spans="5:6" x14ac:dyDescent="0.25">
      <c r="E666" s="42"/>
      <c r="F666" s="42"/>
    </row>
    <row r="667" spans="5:6" x14ac:dyDescent="0.25">
      <c r="E667" s="42"/>
      <c r="F667" s="42"/>
    </row>
    <row r="668" spans="5:6" x14ac:dyDescent="0.25">
      <c r="E668" s="42"/>
      <c r="F668" s="42"/>
    </row>
    <row r="669" spans="5:6" x14ac:dyDescent="0.25">
      <c r="E669" s="42"/>
      <c r="F669" s="42"/>
    </row>
    <row r="670" spans="5:6" x14ac:dyDescent="0.25">
      <c r="E670" s="42"/>
      <c r="F670" s="42"/>
    </row>
    <row r="671" spans="5:6" x14ac:dyDescent="0.25">
      <c r="E671" s="42"/>
      <c r="F671" s="42"/>
    </row>
    <row r="672" spans="5:6" x14ac:dyDescent="0.25">
      <c r="E672" s="42"/>
      <c r="F672" s="42"/>
    </row>
    <row r="673" spans="5:6" x14ac:dyDescent="0.25">
      <c r="E673" s="42"/>
      <c r="F673" s="42"/>
    </row>
    <row r="674" spans="5:6" x14ac:dyDescent="0.25">
      <c r="E674" s="42"/>
      <c r="F674" s="42"/>
    </row>
    <row r="675" spans="5:6" x14ac:dyDescent="0.25">
      <c r="E675" s="42"/>
      <c r="F675" s="42"/>
    </row>
    <row r="676" spans="5:6" x14ac:dyDescent="0.25">
      <c r="E676" s="42"/>
      <c r="F676" s="42"/>
    </row>
    <row r="677" spans="5:6" x14ac:dyDescent="0.25">
      <c r="E677" s="42"/>
      <c r="F677" s="42"/>
    </row>
    <row r="678" spans="5:6" x14ac:dyDescent="0.25">
      <c r="E678" s="42"/>
      <c r="F678" s="42"/>
    </row>
    <row r="679" spans="5:6" x14ac:dyDescent="0.25">
      <c r="E679" s="42"/>
      <c r="F679" s="42"/>
    </row>
    <row r="680" spans="5:6" x14ac:dyDescent="0.25">
      <c r="E680" s="42"/>
      <c r="F680" s="42"/>
    </row>
    <row r="681" spans="5:6" x14ac:dyDescent="0.25">
      <c r="E681" s="42"/>
      <c r="F681" s="42"/>
    </row>
    <row r="682" spans="5:6" x14ac:dyDescent="0.25">
      <c r="E682" s="42"/>
      <c r="F682" s="42"/>
    </row>
    <row r="683" spans="5:6" x14ac:dyDescent="0.25">
      <c r="E683" s="42"/>
      <c r="F683" s="42"/>
    </row>
    <row r="684" spans="5:6" x14ac:dyDescent="0.25">
      <c r="E684" s="42"/>
      <c r="F684" s="42"/>
    </row>
    <row r="685" spans="5:6" x14ac:dyDescent="0.25">
      <c r="E685" s="42"/>
      <c r="F685" s="42"/>
    </row>
    <row r="686" spans="5:6" x14ac:dyDescent="0.25">
      <c r="E686" s="42"/>
      <c r="F686" s="42"/>
    </row>
    <row r="687" spans="5:6" x14ac:dyDescent="0.25">
      <c r="E687" s="42"/>
      <c r="F687" s="42"/>
    </row>
    <row r="688" spans="5:6" x14ac:dyDescent="0.25">
      <c r="E688" s="42"/>
      <c r="F688" s="42"/>
    </row>
    <row r="689" spans="5:6" x14ac:dyDescent="0.25">
      <c r="E689" s="42"/>
      <c r="F689" s="42"/>
    </row>
    <row r="690" spans="5:6" x14ac:dyDescent="0.25">
      <c r="E690" s="42"/>
      <c r="F690" s="42"/>
    </row>
    <row r="691" spans="5:6" x14ac:dyDescent="0.25">
      <c r="E691" s="42"/>
      <c r="F691" s="42"/>
    </row>
    <row r="692" spans="5:6" x14ac:dyDescent="0.25">
      <c r="E692" s="42"/>
      <c r="F692" s="42"/>
    </row>
    <row r="693" spans="5:6" x14ac:dyDescent="0.25">
      <c r="E693" s="42"/>
      <c r="F693" s="42"/>
    </row>
    <row r="694" spans="5:6" x14ac:dyDescent="0.25">
      <c r="E694" s="42"/>
      <c r="F694" s="42"/>
    </row>
    <row r="695" spans="5:6" x14ac:dyDescent="0.25">
      <c r="E695" s="42"/>
      <c r="F695" s="42"/>
    </row>
    <row r="696" spans="5:6" x14ac:dyDescent="0.25">
      <c r="E696" s="42"/>
      <c r="F696" s="42"/>
    </row>
    <row r="697" spans="5:6" x14ac:dyDescent="0.25">
      <c r="E697" s="42"/>
      <c r="F697" s="42"/>
    </row>
    <row r="698" spans="5:6" x14ac:dyDescent="0.25">
      <c r="E698" s="42"/>
      <c r="F698" s="42"/>
    </row>
    <row r="699" spans="5:6" x14ac:dyDescent="0.25">
      <c r="E699" s="42"/>
      <c r="F699" s="42"/>
    </row>
    <row r="700" spans="5:6" x14ac:dyDescent="0.25">
      <c r="E700" s="42"/>
      <c r="F700" s="42"/>
    </row>
    <row r="701" spans="5:6" x14ac:dyDescent="0.25">
      <c r="E701" s="42"/>
      <c r="F701" s="42"/>
    </row>
    <row r="702" spans="5:6" x14ac:dyDescent="0.25">
      <c r="E702" s="42"/>
      <c r="F702" s="42"/>
    </row>
    <row r="703" spans="5:6" x14ac:dyDescent="0.25">
      <c r="E703" s="42"/>
      <c r="F703" s="42"/>
    </row>
    <row r="704" spans="5:6" x14ac:dyDescent="0.25">
      <c r="E704" s="42"/>
      <c r="F704" s="42"/>
    </row>
    <row r="705" spans="5:6" x14ac:dyDescent="0.25">
      <c r="E705" s="42"/>
      <c r="F705" s="42"/>
    </row>
    <row r="706" spans="5:6" x14ac:dyDescent="0.25">
      <c r="E706" s="42"/>
      <c r="F706" s="42"/>
    </row>
    <row r="707" spans="5:6" x14ac:dyDescent="0.25">
      <c r="E707" s="42"/>
      <c r="F707" s="42"/>
    </row>
    <row r="708" spans="5:6" x14ac:dyDescent="0.25">
      <c r="E708" s="42"/>
      <c r="F708" s="42"/>
    </row>
    <row r="709" spans="5:6" x14ac:dyDescent="0.25">
      <c r="E709" s="42"/>
      <c r="F709" s="42"/>
    </row>
    <row r="710" spans="5:6" x14ac:dyDescent="0.25">
      <c r="E710" s="42"/>
      <c r="F710" s="42"/>
    </row>
    <row r="711" spans="5:6" x14ac:dyDescent="0.25">
      <c r="E711" s="42"/>
      <c r="F711" s="42"/>
    </row>
    <row r="712" spans="5:6" x14ac:dyDescent="0.25">
      <c r="E712" s="42"/>
      <c r="F712" s="42"/>
    </row>
    <row r="713" spans="5:6" x14ac:dyDescent="0.25">
      <c r="E713" s="42"/>
      <c r="F713" s="42"/>
    </row>
    <row r="714" spans="5:6" x14ac:dyDescent="0.25">
      <c r="E714" s="42"/>
      <c r="F714" s="42"/>
    </row>
    <row r="715" spans="5:6" x14ac:dyDescent="0.25">
      <c r="E715" s="42"/>
      <c r="F715" s="42"/>
    </row>
    <row r="716" spans="5:6" x14ac:dyDescent="0.25">
      <c r="E716" s="42"/>
      <c r="F716" s="42"/>
    </row>
    <row r="717" spans="5:6" x14ac:dyDescent="0.25">
      <c r="E717" s="42"/>
      <c r="F717" s="42"/>
    </row>
    <row r="718" spans="5:6" x14ac:dyDescent="0.25">
      <c r="E718" s="42"/>
      <c r="F718" s="42"/>
    </row>
    <row r="719" spans="5:6" x14ac:dyDescent="0.25">
      <c r="E719" s="42"/>
      <c r="F719" s="42"/>
    </row>
    <row r="720" spans="5:6" x14ac:dyDescent="0.25">
      <c r="E720" s="42"/>
      <c r="F720" s="42"/>
    </row>
    <row r="721" spans="5:6" x14ac:dyDescent="0.25">
      <c r="E721" s="42"/>
      <c r="F721" s="42"/>
    </row>
    <row r="722" spans="5:6" x14ac:dyDescent="0.25">
      <c r="E722" s="42"/>
      <c r="F722" s="42"/>
    </row>
    <row r="723" spans="5:6" x14ac:dyDescent="0.25">
      <c r="E723" s="42"/>
      <c r="F723" s="42"/>
    </row>
    <row r="724" spans="5:6" x14ac:dyDescent="0.25">
      <c r="E724" s="42"/>
      <c r="F724" s="42"/>
    </row>
    <row r="725" spans="5:6" x14ac:dyDescent="0.25">
      <c r="E725" s="42"/>
      <c r="F725" s="42"/>
    </row>
    <row r="726" spans="5:6" x14ac:dyDescent="0.25">
      <c r="E726" s="42"/>
      <c r="F726" s="42"/>
    </row>
    <row r="727" spans="5:6" x14ac:dyDescent="0.25">
      <c r="E727" s="42"/>
      <c r="F727" s="42"/>
    </row>
    <row r="728" spans="5:6" x14ac:dyDescent="0.25">
      <c r="E728" s="42"/>
      <c r="F728" s="42"/>
    </row>
    <row r="729" spans="5:6" x14ac:dyDescent="0.25">
      <c r="E729" s="42"/>
      <c r="F729" s="42"/>
    </row>
    <row r="730" spans="5:6" x14ac:dyDescent="0.25">
      <c r="E730" s="42"/>
      <c r="F730" s="42"/>
    </row>
    <row r="731" spans="5:6" x14ac:dyDescent="0.25">
      <c r="E731" s="42"/>
      <c r="F731" s="42"/>
    </row>
    <row r="732" spans="5:6" x14ac:dyDescent="0.25">
      <c r="E732" s="42"/>
      <c r="F732" s="42"/>
    </row>
    <row r="733" spans="5:6" x14ac:dyDescent="0.25">
      <c r="E733" s="42"/>
      <c r="F733" s="42"/>
    </row>
    <row r="734" spans="5:6" x14ac:dyDescent="0.25">
      <c r="E734" s="42"/>
      <c r="F734" s="42"/>
    </row>
    <row r="735" spans="5:6" x14ac:dyDescent="0.25">
      <c r="E735" s="42"/>
      <c r="F735" s="42"/>
    </row>
    <row r="736" spans="5:6" x14ac:dyDescent="0.25">
      <c r="E736" s="42"/>
      <c r="F736" s="42"/>
    </row>
    <row r="737" spans="5:6" x14ac:dyDescent="0.25">
      <c r="E737" s="42"/>
      <c r="F737" s="42"/>
    </row>
    <row r="738" spans="5:6" x14ac:dyDescent="0.25">
      <c r="E738" s="42"/>
      <c r="F738" s="42"/>
    </row>
    <row r="739" spans="5:6" x14ac:dyDescent="0.25">
      <c r="E739" s="42"/>
      <c r="F739" s="42"/>
    </row>
    <row r="740" spans="5:6" x14ac:dyDescent="0.25">
      <c r="E740" s="42"/>
      <c r="F740" s="42"/>
    </row>
    <row r="741" spans="5:6" x14ac:dyDescent="0.25">
      <c r="E741" s="42"/>
      <c r="F741" s="42"/>
    </row>
    <row r="742" spans="5:6" x14ac:dyDescent="0.25">
      <c r="E742" s="42"/>
      <c r="F742" s="42"/>
    </row>
    <row r="743" spans="5:6" x14ac:dyDescent="0.25">
      <c r="E743" s="42"/>
      <c r="F743" s="42"/>
    </row>
    <row r="744" spans="5:6" x14ac:dyDescent="0.25">
      <c r="E744" s="42"/>
      <c r="F744" s="42"/>
    </row>
    <row r="745" spans="5:6" x14ac:dyDescent="0.25">
      <c r="E745" s="42"/>
      <c r="F745" s="42"/>
    </row>
    <row r="746" spans="5:6" x14ac:dyDescent="0.25">
      <c r="E746" s="42"/>
      <c r="F746" s="42"/>
    </row>
    <row r="747" spans="5:6" x14ac:dyDescent="0.25">
      <c r="E747" s="42"/>
      <c r="F747" s="42"/>
    </row>
    <row r="748" spans="5:6" x14ac:dyDescent="0.25">
      <c r="E748" s="42"/>
      <c r="F748" s="42"/>
    </row>
    <row r="749" spans="5:6" x14ac:dyDescent="0.25">
      <c r="E749" s="42"/>
      <c r="F749" s="42"/>
    </row>
    <row r="750" spans="5:6" x14ac:dyDescent="0.25">
      <c r="E750" s="42"/>
      <c r="F750" s="42"/>
    </row>
    <row r="751" spans="5:6" x14ac:dyDescent="0.25">
      <c r="E751" s="42"/>
      <c r="F751" s="42"/>
    </row>
    <row r="752" spans="5:6" x14ac:dyDescent="0.25">
      <c r="E752" s="42"/>
      <c r="F752" s="42"/>
    </row>
    <row r="753" spans="5:6" x14ac:dyDescent="0.25">
      <c r="E753" s="42"/>
      <c r="F753" s="42"/>
    </row>
    <row r="754" spans="5:6" x14ac:dyDescent="0.25">
      <c r="E754" s="42"/>
      <c r="F754" s="42"/>
    </row>
    <row r="755" spans="5:6" x14ac:dyDescent="0.25">
      <c r="E755" s="42"/>
      <c r="F755" s="42"/>
    </row>
    <row r="756" spans="5:6" x14ac:dyDescent="0.25">
      <c r="E756" s="42"/>
      <c r="F756" s="42"/>
    </row>
    <row r="757" spans="5:6" x14ac:dyDescent="0.25">
      <c r="E757" s="42"/>
      <c r="F757" s="42"/>
    </row>
    <row r="758" spans="5:6" x14ac:dyDescent="0.25">
      <c r="E758" s="42"/>
      <c r="F758" s="42"/>
    </row>
    <row r="759" spans="5:6" x14ac:dyDescent="0.25">
      <c r="E759" s="42"/>
      <c r="F759" s="42"/>
    </row>
    <row r="760" spans="5:6" x14ac:dyDescent="0.25">
      <c r="E760" s="42"/>
      <c r="F760" s="42"/>
    </row>
    <row r="761" spans="5:6" x14ac:dyDescent="0.25">
      <c r="E761" s="42"/>
      <c r="F761" s="42"/>
    </row>
    <row r="762" spans="5:6" x14ac:dyDescent="0.25">
      <c r="E762" s="42"/>
      <c r="F762" s="42"/>
    </row>
    <row r="763" spans="5:6" x14ac:dyDescent="0.25">
      <c r="E763" s="42"/>
      <c r="F763" s="42"/>
    </row>
    <row r="764" spans="5:6" x14ac:dyDescent="0.25">
      <c r="E764" s="42"/>
      <c r="F764" s="42"/>
    </row>
    <row r="765" spans="5:6" x14ac:dyDescent="0.25">
      <c r="E765" s="42"/>
      <c r="F765" s="42"/>
    </row>
    <row r="766" spans="5:6" x14ac:dyDescent="0.25">
      <c r="E766" s="42"/>
      <c r="F766" s="42"/>
    </row>
    <row r="767" spans="5:6" x14ac:dyDescent="0.25">
      <c r="E767" s="42"/>
      <c r="F767" s="42"/>
    </row>
    <row r="768" spans="5:6" x14ac:dyDescent="0.25">
      <c r="E768" s="42"/>
      <c r="F768" s="42"/>
    </row>
    <row r="769" spans="5:6" x14ac:dyDescent="0.25">
      <c r="E769" s="42"/>
      <c r="F769" s="42"/>
    </row>
    <row r="770" spans="5:6" x14ac:dyDescent="0.25">
      <c r="E770" s="42"/>
      <c r="F770" s="42"/>
    </row>
    <row r="771" spans="5:6" x14ac:dyDescent="0.25">
      <c r="E771" s="42"/>
      <c r="F771" s="42"/>
    </row>
    <row r="772" spans="5:6" x14ac:dyDescent="0.25">
      <c r="E772" s="42"/>
      <c r="F772" s="42"/>
    </row>
    <row r="773" spans="5:6" x14ac:dyDescent="0.25">
      <c r="E773" s="42"/>
      <c r="F773" s="42"/>
    </row>
    <row r="774" spans="5:6" x14ac:dyDescent="0.25">
      <c r="E774" s="42"/>
      <c r="F774" s="42"/>
    </row>
    <row r="775" spans="5:6" x14ac:dyDescent="0.25">
      <c r="E775" s="42"/>
      <c r="F775" s="42"/>
    </row>
    <row r="776" spans="5:6" x14ac:dyDescent="0.25">
      <c r="E776" s="42"/>
      <c r="F776" s="42"/>
    </row>
    <row r="777" spans="5:6" x14ac:dyDescent="0.25">
      <c r="E777" s="42"/>
      <c r="F777" s="42"/>
    </row>
    <row r="778" spans="5:6" x14ac:dyDescent="0.25">
      <c r="E778" s="42"/>
      <c r="F778" s="42"/>
    </row>
    <row r="779" spans="5:6" x14ac:dyDescent="0.25">
      <c r="E779" s="42"/>
      <c r="F779" s="42"/>
    </row>
    <row r="780" spans="5:6" x14ac:dyDescent="0.25">
      <c r="E780" s="42"/>
      <c r="F780" s="42"/>
    </row>
    <row r="781" spans="5:6" x14ac:dyDescent="0.25">
      <c r="E781" s="42"/>
      <c r="F781" s="42"/>
    </row>
    <row r="782" spans="5:6" x14ac:dyDescent="0.25">
      <c r="E782" s="42"/>
      <c r="F782" s="42"/>
    </row>
    <row r="783" spans="5:6" x14ac:dyDescent="0.25">
      <c r="E783" s="42"/>
      <c r="F783" s="42"/>
    </row>
    <row r="784" spans="5:6" x14ac:dyDescent="0.25">
      <c r="E784" s="42"/>
      <c r="F784" s="42"/>
    </row>
    <row r="785" spans="5:6" x14ac:dyDescent="0.25">
      <c r="E785" s="42"/>
      <c r="F785" s="42"/>
    </row>
    <row r="786" spans="5:6" x14ac:dyDescent="0.25">
      <c r="E786" s="42"/>
      <c r="F786" s="42"/>
    </row>
    <row r="787" spans="5:6" x14ac:dyDescent="0.25">
      <c r="E787" s="42"/>
      <c r="F787" s="42"/>
    </row>
    <row r="788" spans="5:6" x14ac:dyDescent="0.25">
      <c r="E788" s="42"/>
      <c r="F788" s="42"/>
    </row>
    <row r="789" spans="5:6" x14ac:dyDescent="0.25">
      <c r="E789" s="42"/>
      <c r="F789" s="42"/>
    </row>
    <row r="790" spans="5:6" x14ac:dyDescent="0.25">
      <c r="E790" s="42"/>
      <c r="F790" s="42"/>
    </row>
    <row r="791" spans="5:6" x14ac:dyDescent="0.25">
      <c r="E791" s="42"/>
      <c r="F791" s="42"/>
    </row>
    <row r="792" spans="5:6" x14ac:dyDescent="0.25">
      <c r="E792" s="42"/>
      <c r="F792" s="42"/>
    </row>
    <row r="793" spans="5:6" x14ac:dyDescent="0.25">
      <c r="E793" s="42"/>
      <c r="F793" s="42"/>
    </row>
    <row r="794" spans="5:6" x14ac:dyDescent="0.25">
      <c r="E794" s="42"/>
      <c r="F794" s="42"/>
    </row>
    <row r="795" spans="5:6" x14ac:dyDescent="0.25">
      <c r="E795" s="42"/>
      <c r="F795" s="42"/>
    </row>
    <row r="796" spans="5:6" x14ac:dyDescent="0.25">
      <c r="E796" s="42"/>
      <c r="F796" s="42"/>
    </row>
    <row r="797" spans="5:6" x14ac:dyDescent="0.25">
      <c r="E797" s="42"/>
      <c r="F797" s="42"/>
    </row>
    <row r="798" spans="5:6" x14ac:dyDescent="0.25">
      <c r="E798" s="42"/>
      <c r="F798" s="42"/>
    </row>
    <row r="799" spans="5:6" x14ac:dyDescent="0.25">
      <c r="E799" s="42"/>
      <c r="F799" s="42"/>
    </row>
    <row r="800" spans="5:6" x14ac:dyDescent="0.25">
      <c r="E800" s="42"/>
      <c r="F800" s="42"/>
    </row>
    <row r="801" spans="5:6" x14ac:dyDescent="0.25">
      <c r="E801" s="42"/>
      <c r="F801" s="42"/>
    </row>
    <row r="802" spans="5:6" x14ac:dyDescent="0.25">
      <c r="E802" s="42"/>
      <c r="F802" s="42"/>
    </row>
    <row r="803" spans="5:6" x14ac:dyDescent="0.25">
      <c r="E803" s="42"/>
      <c r="F803" s="42"/>
    </row>
    <row r="804" spans="5:6" x14ac:dyDescent="0.25">
      <c r="E804" s="42"/>
      <c r="F804" s="42"/>
    </row>
    <row r="805" spans="5:6" x14ac:dyDescent="0.25">
      <c r="E805" s="42"/>
      <c r="F805" s="42"/>
    </row>
    <row r="806" spans="5:6" x14ac:dyDescent="0.25">
      <c r="E806" s="42"/>
      <c r="F806" s="42"/>
    </row>
    <row r="807" spans="5:6" x14ac:dyDescent="0.25">
      <c r="E807" s="42"/>
      <c r="F807" s="42"/>
    </row>
    <row r="808" spans="5:6" x14ac:dyDescent="0.25">
      <c r="E808" s="42"/>
      <c r="F808" s="42"/>
    </row>
    <row r="809" spans="5:6" x14ac:dyDescent="0.25">
      <c r="E809" s="42"/>
      <c r="F809" s="42"/>
    </row>
    <row r="810" spans="5:6" x14ac:dyDescent="0.25">
      <c r="E810" s="42"/>
      <c r="F810" s="42"/>
    </row>
    <row r="811" spans="5:6" x14ac:dyDescent="0.25">
      <c r="E811" s="42"/>
      <c r="F811" s="42"/>
    </row>
    <row r="812" spans="5:6" x14ac:dyDescent="0.25">
      <c r="E812" s="42"/>
      <c r="F812" s="42"/>
    </row>
    <row r="813" spans="5:6" x14ac:dyDescent="0.25">
      <c r="E813" s="42"/>
      <c r="F813" s="42"/>
    </row>
    <row r="814" spans="5:6" x14ac:dyDescent="0.25">
      <c r="E814" s="42"/>
      <c r="F814" s="42"/>
    </row>
    <row r="815" spans="5:6" x14ac:dyDescent="0.25">
      <c r="E815" s="42"/>
      <c r="F815" s="42"/>
    </row>
    <row r="816" spans="5:6" x14ac:dyDescent="0.25">
      <c r="E816" s="42"/>
      <c r="F816" s="42"/>
    </row>
    <row r="817" spans="5:6" x14ac:dyDescent="0.25">
      <c r="E817" s="42"/>
      <c r="F817" s="42"/>
    </row>
    <row r="818" spans="5:6" x14ac:dyDescent="0.25">
      <c r="E818" s="42"/>
      <c r="F818" s="42"/>
    </row>
    <row r="819" spans="5:6" x14ac:dyDescent="0.25">
      <c r="E819" s="42"/>
      <c r="F819" s="42"/>
    </row>
    <row r="820" spans="5:6" x14ac:dyDescent="0.25">
      <c r="E820" s="42"/>
      <c r="F820" s="42"/>
    </row>
    <row r="821" spans="5:6" x14ac:dyDescent="0.25">
      <c r="E821" s="42"/>
      <c r="F821" s="42"/>
    </row>
    <row r="822" spans="5:6" x14ac:dyDescent="0.25">
      <c r="E822" s="42"/>
      <c r="F822" s="42"/>
    </row>
    <row r="823" spans="5:6" x14ac:dyDescent="0.25">
      <c r="E823" s="42"/>
      <c r="F823" s="42"/>
    </row>
    <row r="824" spans="5:6" x14ac:dyDescent="0.25">
      <c r="E824" s="42"/>
      <c r="F824" s="42"/>
    </row>
    <row r="825" spans="5:6" x14ac:dyDescent="0.25">
      <c r="E825" s="42"/>
      <c r="F825" s="42"/>
    </row>
    <row r="826" spans="5:6" x14ac:dyDescent="0.25">
      <c r="E826" s="42"/>
      <c r="F826" s="42"/>
    </row>
    <row r="827" spans="5:6" x14ac:dyDescent="0.25">
      <c r="E827" s="42"/>
      <c r="F827" s="42"/>
    </row>
    <row r="828" spans="5:6" x14ac:dyDescent="0.25">
      <c r="E828" s="42"/>
      <c r="F828" s="42"/>
    </row>
    <row r="829" spans="5:6" x14ac:dyDescent="0.25">
      <c r="E829" s="42"/>
      <c r="F829" s="42"/>
    </row>
    <row r="830" spans="5:6" x14ac:dyDescent="0.25">
      <c r="E830" s="42"/>
      <c r="F830" s="42"/>
    </row>
    <row r="831" spans="5:6" x14ac:dyDescent="0.25">
      <c r="E831" s="42"/>
      <c r="F831" s="42"/>
    </row>
    <row r="832" spans="5:6" x14ac:dyDescent="0.25">
      <c r="E832" s="42"/>
      <c r="F832" s="42"/>
    </row>
    <row r="833" spans="5:6" x14ac:dyDescent="0.25">
      <c r="E833" s="42"/>
      <c r="F833" s="42"/>
    </row>
    <row r="834" spans="5:6" x14ac:dyDescent="0.25">
      <c r="E834" s="42"/>
      <c r="F834" s="42"/>
    </row>
    <row r="835" spans="5:6" x14ac:dyDescent="0.25">
      <c r="E835" s="42"/>
      <c r="F835" s="42"/>
    </row>
    <row r="836" spans="5:6" x14ac:dyDescent="0.25">
      <c r="E836" s="42"/>
      <c r="F836" s="42"/>
    </row>
    <row r="837" spans="5:6" x14ac:dyDescent="0.25">
      <c r="E837" s="42"/>
      <c r="F837" s="42"/>
    </row>
    <row r="838" spans="5:6" x14ac:dyDescent="0.25">
      <c r="E838" s="42"/>
      <c r="F838" s="42"/>
    </row>
    <row r="839" spans="5:6" x14ac:dyDescent="0.25">
      <c r="E839" s="42"/>
      <c r="F839" s="42"/>
    </row>
    <row r="840" spans="5:6" x14ac:dyDescent="0.25">
      <c r="E840" s="42"/>
      <c r="F840" s="42"/>
    </row>
    <row r="841" spans="5:6" x14ac:dyDescent="0.25">
      <c r="E841" s="42"/>
      <c r="F841" s="42"/>
    </row>
    <row r="842" spans="5:6" x14ac:dyDescent="0.25">
      <c r="E842" s="42"/>
      <c r="F842" s="42"/>
    </row>
    <row r="843" spans="5:6" x14ac:dyDescent="0.25">
      <c r="E843" s="42"/>
      <c r="F843" s="42"/>
    </row>
    <row r="844" spans="5:6" x14ac:dyDescent="0.25">
      <c r="E844" s="42"/>
      <c r="F844" s="42"/>
    </row>
    <row r="845" spans="5:6" x14ac:dyDescent="0.25">
      <c r="E845" s="42"/>
      <c r="F845" s="42"/>
    </row>
    <row r="846" spans="5:6" x14ac:dyDescent="0.25">
      <c r="E846" s="42"/>
      <c r="F846" s="42"/>
    </row>
    <row r="847" spans="5:6" x14ac:dyDescent="0.25">
      <c r="E847" s="42"/>
      <c r="F847" s="42"/>
    </row>
    <row r="848" spans="5:6" x14ac:dyDescent="0.25">
      <c r="E848" s="42"/>
      <c r="F848" s="42"/>
    </row>
    <row r="849" spans="5:6" x14ac:dyDescent="0.25">
      <c r="E849" s="42"/>
      <c r="F849" s="42"/>
    </row>
    <row r="850" spans="5:6" x14ac:dyDescent="0.25">
      <c r="E850" s="42"/>
      <c r="F850" s="42"/>
    </row>
    <row r="851" spans="5:6" x14ac:dyDescent="0.25">
      <c r="E851" s="42"/>
      <c r="F851" s="42"/>
    </row>
    <row r="852" spans="5:6" x14ac:dyDescent="0.25">
      <c r="E852" s="42"/>
      <c r="F852" s="42"/>
    </row>
    <row r="853" spans="5:6" x14ac:dyDescent="0.25">
      <c r="E853" s="42"/>
      <c r="F853" s="42"/>
    </row>
    <row r="854" spans="5:6" x14ac:dyDescent="0.25">
      <c r="E854" s="42"/>
      <c r="F854" s="42"/>
    </row>
    <row r="855" spans="5:6" x14ac:dyDescent="0.25">
      <c r="E855" s="42"/>
      <c r="F855" s="42"/>
    </row>
    <row r="856" spans="5:6" x14ac:dyDescent="0.25">
      <c r="E856" s="42"/>
      <c r="F856" s="42"/>
    </row>
    <row r="857" spans="5:6" x14ac:dyDescent="0.25">
      <c r="E857" s="42"/>
      <c r="F857" s="42"/>
    </row>
    <row r="858" spans="5:6" x14ac:dyDescent="0.25">
      <c r="E858" s="42"/>
      <c r="F858" s="42"/>
    </row>
    <row r="859" spans="5:6" x14ac:dyDescent="0.25">
      <c r="E859" s="42"/>
      <c r="F859" s="42"/>
    </row>
    <row r="860" spans="5:6" x14ac:dyDescent="0.25">
      <c r="E860" s="42"/>
      <c r="F860" s="42"/>
    </row>
    <row r="861" spans="5:6" x14ac:dyDescent="0.25">
      <c r="E861" s="42"/>
      <c r="F861" s="42"/>
    </row>
    <row r="862" spans="5:6" x14ac:dyDescent="0.25">
      <c r="E862" s="42"/>
      <c r="F862" s="42"/>
    </row>
    <row r="863" spans="5:6" x14ac:dyDescent="0.25">
      <c r="E863" s="42"/>
      <c r="F863" s="42"/>
    </row>
    <row r="864" spans="5:6" x14ac:dyDescent="0.25">
      <c r="E864" s="42"/>
      <c r="F864" s="42"/>
    </row>
    <row r="865" spans="5:6" x14ac:dyDescent="0.25">
      <c r="E865" s="42"/>
      <c r="F865" s="42"/>
    </row>
    <row r="866" spans="5:6" x14ac:dyDescent="0.25">
      <c r="E866" s="42"/>
      <c r="F866" s="42"/>
    </row>
    <row r="867" spans="5:6" x14ac:dyDescent="0.25">
      <c r="E867" s="42"/>
      <c r="F867" s="42"/>
    </row>
    <row r="868" spans="5:6" x14ac:dyDescent="0.25">
      <c r="E868" s="42"/>
      <c r="F868" s="42"/>
    </row>
    <row r="869" spans="5:6" x14ac:dyDescent="0.25">
      <c r="E869" s="42"/>
      <c r="F869" s="42"/>
    </row>
    <row r="870" spans="5:6" x14ac:dyDescent="0.25">
      <c r="E870" s="42"/>
      <c r="F870" s="42"/>
    </row>
    <row r="871" spans="5:6" x14ac:dyDescent="0.25">
      <c r="E871" s="42"/>
      <c r="F871" s="42"/>
    </row>
    <row r="872" spans="5:6" x14ac:dyDescent="0.25">
      <c r="E872" s="42"/>
      <c r="F872" s="42"/>
    </row>
    <row r="873" spans="5:6" x14ac:dyDescent="0.25">
      <c r="E873" s="42"/>
      <c r="F873" s="42"/>
    </row>
    <row r="874" spans="5:6" x14ac:dyDescent="0.25">
      <c r="E874" s="42"/>
      <c r="F874" s="42"/>
    </row>
    <row r="875" spans="5:6" x14ac:dyDescent="0.25">
      <c r="E875" s="42"/>
      <c r="F875" s="42"/>
    </row>
    <row r="876" spans="5:6" x14ac:dyDescent="0.25">
      <c r="E876" s="42"/>
      <c r="F876" s="42"/>
    </row>
    <row r="877" spans="5:6" x14ac:dyDescent="0.25">
      <c r="E877" s="42"/>
      <c r="F877" s="42"/>
    </row>
    <row r="878" spans="5:6" x14ac:dyDescent="0.25">
      <c r="E878" s="42"/>
      <c r="F878" s="42"/>
    </row>
    <row r="879" spans="5:6" x14ac:dyDescent="0.25">
      <c r="E879" s="42"/>
      <c r="F879" s="42"/>
    </row>
    <row r="880" spans="5:6" x14ac:dyDescent="0.25">
      <c r="E880" s="42"/>
      <c r="F880" s="42"/>
    </row>
    <row r="881" spans="5:6" x14ac:dyDescent="0.25">
      <c r="E881" s="42"/>
      <c r="F881" s="42"/>
    </row>
    <row r="882" spans="5:6" x14ac:dyDescent="0.25">
      <c r="E882" s="42"/>
      <c r="F882" s="42"/>
    </row>
    <row r="883" spans="5:6" x14ac:dyDescent="0.25">
      <c r="E883" s="42"/>
      <c r="F883" s="42"/>
    </row>
    <row r="884" spans="5:6" x14ac:dyDescent="0.25">
      <c r="E884" s="42"/>
      <c r="F884" s="42"/>
    </row>
    <row r="885" spans="5:6" x14ac:dyDescent="0.25">
      <c r="E885" s="42"/>
      <c r="F885" s="42"/>
    </row>
    <row r="886" spans="5:6" x14ac:dyDescent="0.25">
      <c r="E886" s="42"/>
      <c r="F886" s="42"/>
    </row>
    <row r="887" spans="5:6" x14ac:dyDescent="0.25">
      <c r="E887" s="42"/>
      <c r="F887" s="42"/>
    </row>
    <row r="888" spans="5:6" x14ac:dyDescent="0.25">
      <c r="E888" s="42"/>
      <c r="F888" s="42"/>
    </row>
    <row r="889" spans="5:6" x14ac:dyDescent="0.25">
      <c r="E889" s="42"/>
      <c r="F889" s="42"/>
    </row>
    <row r="890" spans="5:6" x14ac:dyDescent="0.25">
      <c r="E890" s="42"/>
      <c r="F890" s="42"/>
    </row>
    <row r="891" spans="5:6" x14ac:dyDescent="0.25">
      <c r="E891" s="42"/>
      <c r="F891" s="42"/>
    </row>
    <row r="892" spans="5:6" x14ac:dyDescent="0.25">
      <c r="E892" s="42"/>
      <c r="F892" s="42"/>
    </row>
    <row r="893" spans="5:6" x14ac:dyDescent="0.25">
      <c r="E893" s="42"/>
      <c r="F893" s="42"/>
    </row>
    <row r="894" spans="5:6" x14ac:dyDescent="0.25">
      <c r="E894" s="42"/>
      <c r="F894" s="42"/>
    </row>
    <row r="895" spans="5:6" x14ac:dyDescent="0.25">
      <c r="E895" s="42"/>
      <c r="F895" s="42"/>
    </row>
    <row r="896" spans="5:6" x14ac:dyDescent="0.25">
      <c r="E896" s="42"/>
      <c r="F896" s="42"/>
    </row>
    <row r="897" spans="5:6" x14ac:dyDescent="0.25">
      <c r="E897" s="42"/>
      <c r="F897" s="42"/>
    </row>
    <row r="898" spans="5:6" x14ac:dyDescent="0.25">
      <c r="E898" s="42"/>
      <c r="F898" s="42"/>
    </row>
    <row r="899" spans="5:6" x14ac:dyDescent="0.25">
      <c r="E899" s="42"/>
      <c r="F899" s="42"/>
    </row>
    <row r="900" spans="5:6" x14ac:dyDescent="0.25">
      <c r="E900" s="42"/>
      <c r="F900" s="42"/>
    </row>
    <row r="901" spans="5:6" x14ac:dyDescent="0.25">
      <c r="E901" s="42"/>
      <c r="F901" s="42"/>
    </row>
    <row r="902" spans="5:6" x14ac:dyDescent="0.25">
      <c r="E902" s="42"/>
      <c r="F902" s="42"/>
    </row>
    <row r="903" spans="5:6" x14ac:dyDescent="0.25">
      <c r="E903" s="42"/>
      <c r="F903" s="42"/>
    </row>
    <row r="904" spans="5:6" x14ac:dyDescent="0.25">
      <c r="E904" s="42"/>
      <c r="F904" s="42"/>
    </row>
    <row r="905" spans="5:6" x14ac:dyDescent="0.25">
      <c r="E905" s="42"/>
      <c r="F905" s="42"/>
    </row>
    <row r="906" spans="5:6" x14ac:dyDescent="0.25">
      <c r="E906" s="42"/>
      <c r="F906" s="42"/>
    </row>
    <row r="907" spans="5:6" x14ac:dyDescent="0.25">
      <c r="E907" s="42"/>
      <c r="F907" s="42"/>
    </row>
    <row r="908" spans="5:6" x14ac:dyDescent="0.25">
      <c r="E908" s="42"/>
      <c r="F908" s="42"/>
    </row>
    <row r="909" spans="5:6" x14ac:dyDescent="0.25">
      <c r="E909" s="42"/>
      <c r="F909" s="42"/>
    </row>
    <row r="910" spans="5:6" x14ac:dyDescent="0.25">
      <c r="E910" s="42"/>
      <c r="F910" s="42"/>
    </row>
    <row r="911" spans="5:6" x14ac:dyDescent="0.25">
      <c r="E911" s="42"/>
      <c r="F911" s="42"/>
    </row>
    <row r="912" spans="5:6" x14ac:dyDescent="0.25">
      <c r="E912" s="42"/>
      <c r="F912" s="42"/>
    </row>
    <row r="913" spans="5:6" x14ac:dyDescent="0.25">
      <c r="E913" s="42"/>
      <c r="F913" s="42"/>
    </row>
    <row r="914" spans="5:6" x14ac:dyDescent="0.25">
      <c r="E914" s="42"/>
      <c r="F914" s="42"/>
    </row>
    <row r="915" spans="5:6" x14ac:dyDescent="0.25">
      <c r="E915" s="42"/>
      <c r="F915" s="42"/>
    </row>
    <row r="916" spans="5:6" x14ac:dyDescent="0.25">
      <c r="E916" s="42"/>
      <c r="F916" s="42"/>
    </row>
    <row r="917" spans="5:6" x14ac:dyDescent="0.25">
      <c r="E917" s="42"/>
      <c r="F917" s="42"/>
    </row>
    <row r="918" spans="5:6" x14ac:dyDescent="0.25">
      <c r="E918" s="42"/>
      <c r="F918" s="42"/>
    </row>
    <row r="919" spans="5:6" x14ac:dyDescent="0.25">
      <c r="E919" s="42"/>
      <c r="F919" s="42"/>
    </row>
    <row r="920" spans="5:6" x14ac:dyDescent="0.25">
      <c r="E920" s="42"/>
      <c r="F920" s="42"/>
    </row>
    <row r="921" spans="5:6" x14ac:dyDescent="0.25">
      <c r="E921" s="42"/>
      <c r="F921" s="42"/>
    </row>
    <row r="922" spans="5:6" x14ac:dyDescent="0.25">
      <c r="E922" s="42"/>
      <c r="F922" s="42"/>
    </row>
    <row r="923" spans="5:6" x14ac:dyDescent="0.25">
      <c r="E923" s="42"/>
      <c r="F923" s="42"/>
    </row>
    <row r="924" spans="5:6" x14ac:dyDescent="0.25">
      <c r="E924" s="42"/>
      <c r="F924" s="42"/>
    </row>
    <row r="925" spans="5:6" x14ac:dyDescent="0.25">
      <c r="E925" s="42"/>
      <c r="F925" s="42"/>
    </row>
    <row r="926" spans="5:6" x14ac:dyDescent="0.25">
      <c r="E926" s="42"/>
      <c r="F926" s="42"/>
    </row>
    <row r="927" spans="5:6" x14ac:dyDescent="0.25">
      <c r="E927" s="42"/>
      <c r="F927" s="42"/>
    </row>
    <row r="928" spans="5:6" x14ac:dyDescent="0.25">
      <c r="E928" s="42"/>
      <c r="F928" s="42"/>
    </row>
    <row r="929" spans="5:6" x14ac:dyDescent="0.25">
      <c r="E929" s="42"/>
      <c r="F929" s="42"/>
    </row>
    <row r="930" spans="5:6" x14ac:dyDescent="0.25">
      <c r="E930" s="42"/>
      <c r="F930" s="42"/>
    </row>
    <row r="931" spans="5:6" x14ac:dyDescent="0.25">
      <c r="E931" s="42"/>
      <c r="F931" s="42"/>
    </row>
    <row r="932" spans="5:6" x14ac:dyDescent="0.25">
      <c r="E932" s="42"/>
      <c r="F932" s="42"/>
    </row>
    <row r="933" spans="5:6" x14ac:dyDescent="0.25">
      <c r="E933" s="42"/>
      <c r="F933" s="42"/>
    </row>
    <row r="934" spans="5:6" x14ac:dyDescent="0.25">
      <c r="E934" s="42"/>
      <c r="F934" s="42"/>
    </row>
    <row r="935" spans="5:6" x14ac:dyDescent="0.25">
      <c r="E935" s="42"/>
      <c r="F935" s="42"/>
    </row>
    <row r="936" spans="5:6" x14ac:dyDescent="0.25">
      <c r="E936" s="42"/>
      <c r="F936" s="42"/>
    </row>
    <row r="937" spans="5:6" x14ac:dyDescent="0.25">
      <c r="E937" s="42"/>
      <c r="F937" s="42"/>
    </row>
    <row r="938" spans="5:6" x14ac:dyDescent="0.25">
      <c r="E938" s="42"/>
      <c r="F938" s="42"/>
    </row>
    <row r="939" spans="5:6" x14ac:dyDescent="0.25">
      <c r="E939" s="42"/>
      <c r="F939" s="42"/>
    </row>
    <row r="940" spans="5:6" x14ac:dyDescent="0.25">
      <c r="E940" s="42"/>
      <c r="F940" s="42"/>
    </row>
    <row r="941" spans="5:6" x14ac:dyDescent="0.25">
      <c r="E941" s="42"/>
      <c r="F941" s="42"/>
    </row>
    <row r="942" spans="5:6" x14ac:dyDescent="0.25">
      <c r="E942" s="42"/>
      <c r="F942" s="42"/>
    </row>
    <row r="943" spans="5:6" x14ac:dyDescent="0.25">
      <c r="E943" s="42"/>
      <c r="F943" s="42"/>
    </row>
    <row r="944" spans="5:6" x14ac:dyDescent="0.25">
      <c r="E944" s="42"/>
      <c r="F944" s="42"/>
    </row>
    <row r="945" spans="5:6" x14ac:dyDescent="0.25">
      <c r="E945" s="42"/>
      <c r="F945" s="42"/>
    </row>
    <row r="946" spans="5:6" x14ac:dyDescent="0.25">
      <c r="E946" s="42"/>
      <c r="F946" s="42"/>
    </row>
    <row r="947" spans="5:6" x14ac:dyDescent="0.25">
      <c r="E947" s="42"/>
      <c r="F947" s="42"/>
    </row>
    <row r="948" spans="5:6" x14ac:dyDescent="0.25">
      <c r="E948" s="42"/>
      <c r="F948" s="42"/>
    </row>
    <row r="949" spans="5:6" x14ac:dyDescent="0.25">
      <c r="E949" s="42"/>
      <c r="F949" s="42"/>
    </row>
    <row r="950" spans="5:6" x14ac:dyDescent="0.25">
      <c r="E950" s="42"/>
      <c r="F950" s="42"/>
    </row>
    <row r="951" spans="5:6" x14ac:dyDescent="0.25">
      <c r="E951" s="42"/>
      <c r="F951" s="42"/>
    </row>
    <row r="952" spans="5:6" x14ac:dyDescent="0.25">
      <c r="E952" s="42"/>
      <c r="F952" s="42"/>
    </row>
    <row r="953" spans="5:6" x14ac:dyDescent="0.25">
      <c r="E953" s="42"/>
      <c r="F953" s="42"/>
    </row>
    <row r="954" spans="5:6" x14ac:dyDescent="0.25">
      <c r="E954" s="42"/>
      <c r="F954" s="42"/>
    </row>
    <row r="955" spans="5:6" x14ac:dyDescent="0.25">
      <c r="E955" s="42"/>
      <c r="F955" s="42"/>
    </row>
    <row r="956" spans="5:6" x14ac:dyDescent="0.25">
      <c r="E956" s="42"/>
      <c r="F956" s="42"/>
    </row>
    <row r="957" spans="5:6" x14ac:dyDescent="0.25">
      <c r="E957" s="42"/>
      <c r="F957" s="42"/>
    </row>
    <row r="958" spans="5:6" x14ac:dyDescent="0.25">
      <c r="E958" s="42"/>
      <c r="F958" s="42"/>
    </row>
    <row r="959" spans="5:6" x14ac:dyDescent="0.25">
      <c r="E959" s="42"/>
      <c r="F959" s="42"/>
    </row>
    <row r="960" spans="5:6" x14ac:dyDescent="0.25">
      <c r="E960" s="42"/>
      <c r="F960" s="42"/>
    </row>
    <row r="961" spans="5:6" x14ac:dyDescent="0.25">
      <c r="E961" s="42"/>
      <c r="F961" s="42"/>
    </row>
    <row r="962" spans="5:6" x14ac:dyDescent="0.25">
      <c r="E962" s="42"/>
      <c r="F962" s="42"/>
    </row>
    <row r="963" spans="5:6" x14ac:dyDescent="0.25">
      <c r="E963" s="42"/>
      <c r="F963" s="42"/>
    </row>
    <row r="964" spans="5:6" x14ac:dyDescent="0.25">
      <c r="E964" s="42"/>
      <c r="F964" s="42"/>
    </row>
    <row r="965" spans="5:6" x14ac:dyDescent="0.25">
      <c r="E965" s="42"/>
      <c r="F965" s="42"/>
    </row>
    <row r="966" spans="5:6" x14ac:dyDescent="0.25">
      <c r="E966" s="42"/>
      <c r="F966" s="42"/>
    </row>
    <row r="967" spans="5:6" x14ac:dyDescent="0.25">
      <c r="E967" s="42"/>
      <c r="F967" s="42"/>
    </row>
    <row r="968" spans="5:6" x14ac:dyDescent="0.25">
      <c r="E968" s="42"/>
      <c r="F968" s="42"/>
    </row>
    <row r="969" spans="5:6" x14ac:dyDescent="0.25">
      <c r="E969" s="42"/>
      <c r="F969" s="42"/>
    </row>
    <row r="970" spans="5:6" x14ac:dyDescent="0.25">
      <c r="E970" s="42"/>
      <c r="F970" s="42"/>
    </row>
    <row r="971" spans="5:6" x14ac:dyDescent="0.25">
      <c r="E971" s="42"/>
      <c r="F971" s="42"/>
    </row>
    <row r="972" spans="5:6" x14ac:dyDescent="0.25">
      <c r="E972" s="42"/>
      <c r="F972" s="42"/>
    </row>
    <row r="973" spans="5:6" x14ac:dyDescent="0.25">
      <c r="E973" s="42"/>
      <c r="F973" s="42"/>
    </row>
    <row r="974" spans="5:6" x14ac:dyDescent="0.25">
      <c r="E974" s="42"/>
      <c r="F974" s="42"/>
    </row>
    <row r="975" spans="5:6" x14ac:dyDescent="0.25">
      <c r="E975" s="42"/>
      <c r="F975" s="42"/>
    </row>
    <row r="976" spans="5:6" x14ac:dyDescent="0.25">
      <c r="E976" s="42"/>
      <c r="F976" s="42"/>
    </row>
    <row r="977" spans="5:6" x14ac:dyDescent="0.25">
      <c r="E977" s="42"/>
      <c r="F977" s="42"/>
    </row>
    <row r="978" spans="5:6" x14ac:dyDescent="0.25">
      <c r="E978" s="42"/>
      <c r="F978" s="42"/>
    </row>
    <row r="979" spans="5:6" x14ac:dyDescent="0.25">
      <c r="E979" s="42"/>
      <c r="F979" s="42"/>
    </row>
    <row r="980" spans="5:6" x14ac:dyDescent="0.25">
      <c r="E980" s="42"/>
      <c r="F980" s="42"/>
    </row>
    <row r="981" spans="5:6" x14ac:dyDescent="0.25">
      <c r="E981" s="42"/>
      <c r="F981" s="42"/>
    </row>
    <row r="982" spans="5:6" x14ac:dyDescent="0.25">
      <c r="E982" s="42"/>
      <c r="F982" s="42"/>
    </row>
    <row r="983" spans="5:6" x14ac:dyDescent="0.25">
      <c r="E983" s="42"/>
      <c r="F983" s="42"/>
    </row>
    <row r="984" spans="5:6" x14ac:dyDescent="0.25">
      <c r="E984" s="42"/>
      <c r="F984" s="42"/>
    </row>
    <row r="985" spans="5:6" x14ac:dyDescent="0.25">
      <c r="E985" s="42"/>
      <c r="F985" s="42"/>
    </row>
    <row r="986" spans="5:6" x14ac:dyDescent="0.25">
      <c r="E986" s="42"/>
      <c r="F986" s="42"/>
    </row>
    <row r="987" spans="5:6" x14ac:dyDescent="0.25">
      <c r="E987" s="42"/>
      <c r="F987" s="42"/>
    </row>
    <row r="988" spans="5:6" x14ac:dyDescent="0.25">
      <c r="E988" s="42"/>
      <c r="F988" s="42"/>
    </row>
    <row r="989" spans="5:6" x14ac:dyDescent="0.25">
      <c r="E989" s="42"/>
      <c r="F989" s="42"/>
    </row>
    <row r="990" spans="5:6" x14ac:dyDescent="0.25">
      <c r="E990" s="42"/>
      <c r="F990" s="42"/>
    </row>
    <row r="991" spans="5:6" x14ac:dyDescent="0.25">
      <c r="E991" s="42"/>
      <c r="F991" s="42"/>
    </row>
    <row r="992" spans="5:6" x14ac:dyDescent="0.25">
      <c r="E992" s="42"/>
      <c r="F992" s="42"/>
    </row>
    <row r="993" spans="5:6" x14ac:dyDescent="0.25">
      <c r="E993" s="42"/>
      <c r="F993" s="42"/>
    </row>
    <row r="994" spans="5:6" x14ac:dyDescent="0.25">
      <c r="E994" s="42"/>
      <c r="F994" s="42"/>
    </row>
    <row r="995" spans="5:6" x14ac:dyDescent="0.25">
      <c r="E995" s="42"/>
      <c r="F995" s="42"/>
    </row>
    <row r="996" spans="5:6" x14ac:dyDescent="0.25">
      <c r="E996" s="42"/>
      <c r="F996" s="42"/>
    </row>
    <row r="997" spans="5:6" x14ac:dyDescent="0.25">
      <c r="E997" s="42"/>
      <c r="F997" s="42"/>
    </row>
    <row r="998" spans="5:6" x14ac:dyDescent="0.25">
      <c r="E998" s="42"/>
      <c r="F998" s="42"/>
    </row>
    <row r="999" spans="5:6" x14ac:dyDescent="0.25">
      <c r="E999" s="42"/>
      <c r="F999" s="42"/>
    </row>
    <row r="1000" spans="5:6" x14ac:dyDescent="0.25">
      <c r="E1000" s="42"/>
      <c r="F1000" s="42"/>
    </row>
    <row r="1001" spans="5:6" x14ac:dyDescent="0.25">
      <c r="E1001" s="42"/>
      <c r="F1001" s="42"/>
    </row>
    <row r="1002" spans="5:6" x14ac:dyDescent="0.25">
      <c r="E1002" s="42"/>
      <c r="F1002" s="42"/>
    </row>
    <row r="1003" spans="5:6" x14ac:dyDescent="0.25">
      <c r="E1003" s="42"/>
      <c r="F1003" s="42"/>
    </row>
    <row r="1004" spans="5:6" x14ac:dyDescent="0.25">
      <c r="E1004" s="42"/>
      <c r="F1004" s="42"/>
    </row>
    <row r="1005" spans="5:6" x14ac:dyDescent="0.25">
      <c r="E1005" s="42"/>
      <c r="F1005" s="42"/>
    </row>
    <row r="1006" spans="5:6" x14ac:dyDescent="0.25">
      <c r="E1006" s="42"/>
      <c r="F1006" s="42"/>
    </row>
    <row r="1007" spans="5:6" x14ac:dyDescent="0.25">
      <c r="E1007" s="42"/>
      <c r="F1007" s="42"/>
    </row>
    <row r="1008" spans="5:6" x14ac:dyDescent="0.25">
      <c r="E1008" s="42"/>
      <c r="F1008" s="42"/>
    </row>
    <row r="1009" spans="5:6" x14ac:dyDescent="0.25">
      <c r="E1009" s="42"/>
      <c r="F1009" s="42"/>
    </row>
  </sheetData>
  <mergeCells count="10">
    <mergeCell ref="AC3:AD3"/>
    <mergeCell ref="AH3:AI3"/>
    <mergeCell ref="T3:U3"/>
    <mergeCell ref="B8:I8"/>
    <mergeCell ref="J8:J9"/>
    <mergeCell ref="K8:R8"/>
    <mergeCell ref="AE3:AF3"/>
    <mergeCell ref="V3:W3"/>
    <mergeCell ref="X3:Y3"/>
    <mergeCell ref="V6:W6"/>
  </mergeCells>
  <dataValidations count="5">
    <dataValidation type="list" allowBlank="1" showInputMessage="1" showErrorMessage="1" sqref="W5" xr:uid="{98A7DAB0-414A-4165-BFF5-40E17F78DD0C}">
      <formula1>$U$9:$AA$9</formula1>
    </dataValidation>
    <dataValidation type="decimal" allowBlank="1" showInputMessage="1" showErrorMessage="1" sqref="W4 AF4" xr:uid="{184E3E32-0700-4E65-B2F8-E9F19423CA53}">
      <formula1>0.01</formula1>
      <formula2>0.99</formula2>
    </dataValidation>
    <dataValidation type="decimal" operator="greaterThan" allowBlank="1" showInputMessage="1" showErrorMessage="1" sqref="AF8" xr:uid="{1A66E318-8DEF-4864-8F5A-E1B03F61299C}">
      <formula1>0</formula1>
    </dataValidation>
    <dataValidation type="list" showInputMessage="1" showErrorMessage="1" sqref="U6" xr:uid="{997FCCAA-0578-42AC-AC90-A0695C4C53BD}">
      <formula1>$J$10:$J$1048576</formula1>
    </dataValidation>
    <dataValidation type="list" allowBlank="1" showInputMessage="1" showErrorMessage="1" sqref="AI8" xr:uid="{617AF5C2-8587-448C-AF21-B7AB5808572E}">
      <formula1>SearchEffective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5538" r:id="rId4" name="Button 2">
              <controlPr defaultSize="0" print="0" autoFill="0" autoPict="0" macro="[0]!ClearPrices">
                <anchor moveWithCells="1" sizeWithCells="1">
                  <from>
                    <xdr:col>6</xdr:col>
                    <xdr:colOff>219075</xdr:colOff>
                    <xdr:row>2</xdr:row>
                    <xdr:rowOff>66675</xdr:rowOff>
                  </from>
                  <to>
                    <xdr:col>6</xdr:col>
                    <xdr:colOff>542925</xdr:colOff>
                    <xdr:row>5</xdr:row>
                    <xdr:rowOff>123825</xdr:rowOff>
                  </to>
                </anchor>
              </controlPr>
            </control>
          </mc:Choice>
        </mc:AlternateContent>
        <mc:AlternateContent xmlns:mc="http://schemas.openxmlformats.org/markup-compatibility/2006">
          <mc:Choice Requires="x14">
            <control shapeId="65539" r:id="rId5" name="Button 3">
              <controlPr defaultSize="0" print="0" autoFill="0" autoPict="0" macro="[0]!plotting_greeks2">
                <anchor moveWithCells="1" sizeWithCells="1">
                  <from>
                    <xdr:col>23</xdr:col>
                    <xdr:colOff>200025</xdr:colOff>
                    <xdr:row>3</xdr:row>
                    <xdr:rowOff>47625</xdr:rowOff>
                  </from>
                  <to>
                    <xdr:col>24</xdr:col>
                    <xdr:colOff>733425</xdr:colOff>
                    <xdr:row>4</xdr:row>
                    <xdr:rowOff>104775</xdr:rowOff>
                  </to>
                </anchor>
              </controlPr>
            </control>
          </mc:Choice>
        </mc:AlternateContent>
        <mc:AlternateContent xmlns:mc="http://schemas.openxmlformats.org/markup-compatibility/2006">
          <mc:Choice Requires="x14">
            <control shapeId="65540" r:id="rId6" name="Button 4">
              <controlPr defaultSize="0" print="0" autoFill="0" autoPict="0" macro="[0]!clear_plots">
                <anchor moveWithCells="1" sizeWithCells="1">
                  <from>
                    <xdr:col>23</xdr:col>
                    <xdr:colOff>228600</xdr:colOff>
                    <xdr:row>6</xdr:row>
                    <xdr:rowOff>85725</xdr:rowOff>
                  </from>
                  <to>
                    <xdr:col>24</xdr:col>
                    <xdr:colOff>685800</xdr:colOff>
                    <xdr:row>7</xdr:row>
                    <xdr:rowOff>123825</xdr:rowOff>
                  </to>
                </anchor>
              </controlPr>
            </control>
          </mc:Choice>
        </mc:AlternateContent>
        <mc:AlternateContent xmlns:mc="http://schemas.openxmlformats.org/markup-compatibility/2006">
          <mc:Choice Requires="x14">
            <control shapeId="65541" r:id="rId7" name="Button 5">
              <controlPr defaultSize="0" print="0" autoFill="0" autoPict="0" macro="[0]!CalculateGreeks">
                <anchor moveWithCells="1" sizeWithCells="1">
                  <from>
                    <xdr:col>5</xdr:col>
                    <xdr:colOff>123825</xdr:colOff>
                    <xdr:row>2</xdr:row>
                    <xdr:rowOff>66675</xdr:rowOff>
                  </from>
                  <to>
                    <xdr:col>6</xdr:col>
                    <xdr:colOff>152400</xdr:colOff>
                    <xdr:row>5</xdr:row>
                    <xdr:rowOff>123825</xdr:rowOff>
                  </to>
                </anchor>
              </controlPr>
            </control>
          </mc:Choice>
        </mc:AlternateContent>
        <mc:AlternateContent xmlns:mc="http://schemas.openxmlformats.org/markup-compatibility/2006">
          <mc:Choice Requires="x14">
            <control shapeId="65547" r:id="rId8" name="Button 11">
              <controlPr defaultSize="0" print="0" autoFill="0" autoPict="0" macro="[0]!strats">
                <anchor moveWithCells="1" sizeWithCells="1">
                  <from>
                    <xdr:col>35</xdr:col>
                    <xdr:colOff>66675</xdr:colOff>
                    <xdr:row>3</xdr:row>
                    <xdr:rowOff>66675</xdr:rowOff>
                  </from>
                  <to>
                    <xdr:col>35</xdr:col>
                    <xdr:colOff>790575</xdr:colOff>
                    <xdr:row>5</xdr:row>
                    <xdr:rowOff>9525</xdr:rowOff>
                  </to>
                </anchor>
              </controlPr>
            </control>
          </mc:Choice>
        </mc:AlternateContent>
        <mc:AlternateContent xmlns:mc="http://schemas.openxmlformats.org/markup-compatibility/2006">
          <mc:Choice Requires="x14">
            <control shapeId="65548" r:id="rId9" name="Button 12">
              <controlPr defaultSize="0" print="0" autoFill="0" autoPict="0" macro="[0]!clear_Strategies">
                <anchor moveWithCells="1" sizeWithCells="1">
                  <from>
                    <xdr:col>35</xdr:col>
                    <xdr:colOff>76200</xdr:colOff>
                    <xdr:row>6</xdr:row>
                    <xdr:rowOff>114300</xdr:rowOff>
                  </from>
                  <to>
                    <xdr:col>35</xdr:col>
                    <xdr:colOff>762000</xdr:colOff>
                    <xdr:row>7</xdr:row>
                    <xdr:rowOff>123825</xdr:rowOff>
                  </to>
                </anchor>
              </controlPr>
            </control>
          </mc:Choice>
        </mc:AlternateContent>
        <mc:AlternateContent xmlns:mc="http://schemas.openxmlformats.org/markup-compatibility/2006">
          <mc:Choice Requires="x14">
            <control shapeId="65549" r:id="rId10" name="Button 13">
              <controlPr defaultSize="0" print="0" autoFill="0" autoPict="0" macro="[0]!plotting_contract">
                <anchor moveWithCells="1" sizeWithCells="1">
                  <from>
                    <xdr:col>23</xdr:col>
                    <xdr:colOff>209550</xdr:colOff>
                    <xdr:row>4</xdr:row>
                    <xdr:rowOff>152400</xdr:rowOff>
                  </from>
                  <to>
                    <xdr:col>24</xdr:col>
                    <xdr:colOff>695325</xdr:colOff>
                    <xdr:row>6</xdr:row>
                    <xdr:rowOff>19050</xdr:rowOff>
                  </to>
                </anchor>
              </controlPr>
            </control>
          </mc:Choice>
        </mc:AlternateContent>
        <mc:AlternateContent xmlns:mc="http://schemas.openxmlformats.org/markup-compatibility/2006">
          <mc:Choice Requires="x14">
            <control shapeId="65558" r:id="rId11" name="Button 22">
              <controlPr defaultSize="0" print="0" autoFill="0" autoPict="0" macro="[0]!UpdateChartRange">
                <anchor moveWithCells="1" sizeWithCells="1">
                  <from>
                    <xdr:col>35</xdr:col>
                    <xdr:colOff>76200</xdr:colOff>
                    <xdr:row>5</xdr:row>
                    <xdr:rowOff>47625</xdr:rowOff>
                  </from>
                  <to>
                    <xdr:col>35</xdr:col>
                    <xdr:colOff>771525</xdr:colOff>
                    <xdr:row>6</xdr:row>
                    <xdr:rowOff>57150</xdr:rowOff>
                  </to>
                </anchor>
              </controlPr>
            </control>
          </mc:Choice>
        </mc:AlternateContent>
        <mc:AlternateContent xmlns:mc="http://schemas.openxmlformats.org/markup-compatibility/2006">
          <mc:Choice Requires="x14">
            <control shapeId="65562" r:id="rId12" name="Button 26">
              <controlPr defaultSize="0" print="0" autoFill="0" autoPict="0" macro="[0]!AddTButton">
                <anchor moveWithCells="1" sizeWithCells="1">
                  <from>
                    <xdr:col>11</xdr:col>
                    <xdr:colOff>85725</xdr:colOff>
                    <xdr:row>2</xdr:row>
                    <xdr:rowOff>95250</xdr:rowOff>
                  </from>
                  <to>
                    <xdr:col>11</xdr:col>
                    <xdr:colOff>581025</xdr:colOff>
                    <xdr:row>5</xdr:row>
                    <xdr:rowOff>76200</xdr:rowOff>
                  </to>
                </anchor>
              </controlPr>
            </control>
          </mc:Choice>
        </mc:AlternateContent>
        <mc:AlternateContent xmlns:mc="http://schemas.openxmlformats.org/markup-compatibility/2006">
          <mc:Choice Requires="x14">
            <control shapeId="65565" r:id="rId13" name="Button 29">
              <controlPr defaultSize="0" print="0" autoFill="0" autoPict="0" macro="[0]!Hide_Show_Contract_Analysis">
                <anchor moveWithCells="1" sizeWithCells="1">
                  <from>
                    <xdr:col>12</xdr:col>
                    <xdr:colOff>85725</xdr:colOff>
                    <xdr:row>3</xdr:row>
                    <xdr:rowOff>57150</xdr:rowOff>
                  </from>
                  <to>
                    <xdr:col>12</xdr:col>
                    <xdr:colOff>581025</xdr:colOff>
                    <xdr:row>4</xdr:row>
                    <xdr:rowOff>57150</xdr:rowOff>
                  </to>
                </anchor>
              </controlPr>
            </control>
          </mc:Choice>
        </mc:AlternateContent>
        <mc:AlternateContent xmlns:mc="http://schemas.openxmlformats.org/markup-compatibility/2006">
          <mc:Choice Requires="x14">
            <control shapeId="65566" r:id="rId14" name="Button 30">
              <controlPr defaultSize="0" print="0" autoFill="0" autoPict="0" macro="[0]!Hide_Show_Strategy_Analysis">
                <anchor moveWithCells="1" sizeWithCells="1">
                  <from>
                    <xdr:col>12</xdr:col>
                    <xdr:colOff>85725</xdr:colOff>
                    <xdr:row>4</xdr:row>
                    <xdr:rowOff>114300</xdr:rowOff>
                  </from>
                  <to>
                    <xdr:col>12</xdr:col>
                    <xdr:colOff>581025</xdr:colOff>
                    <xdr:row>5</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31812010-3D89-4449-86C0-06716C434918}">
          <x14:formula1>
            <xm:f>'Assumptions &amp; Lists'!$D$16:$E$16</xm:f>
          </x14:formula1>
          <xm:sqref>U4</xm:sqref>
        </x14:dataValidation>
        <x14:dataValidation type="list" allowBlank="1" showInputMessage="1" showErrorMessage="1" xr:uid="{F9985812-DAB3-4EC0-9F12-9A9CE5B7E191}">
          <x14:formula1>
            <xm:f>'Assumptions &amp; Lists'!$D$15:$E$15</xm:f>
          </x14:formula1>
          <xm:sqref>U7 AD5</xm:sqref>
        </x14:dataValidation>
        <x14:dataValidation type="list" allowBlank="1" showInputMessage="1" showErrorMessage="1" xr:uid="{6B5695CF-0454-4A99-BB14-83E3D46C483A}">
          <x14:formula1>
            <xm:f>'Assumptions &amp; Lists'!$D$4:$E$4</xm:f>
          </x14:formula1>
          <xm:sqref>E5 U5 AD6</xm:sqref>
        </x14:dataValidation>
        <x14:dataValidation type="list" allowBlank="1" showInputMessage="1" showErrorMessage="1" xr:uid="{22CB6257-A57B-4868-838D-2C2CA499E531}">
          <x14:formula1>
            <xm:f>'Assumptions &amp; Lists'!$D$18:$K$18</xm:f>
          </x14:formula1>
          <xm:sqref>AD4</xm:sqref>
        </x14:dataValidation>
        <x14:dataValidation type="list" allowBlank="1" showInputMessage="1" showErrorMessage="1" xr:uid="{AC234A1E-A48B-44ED-98D2-8EC05D4AF708}">
          <x14:formula1>
            <xm:f>'Assumptions &amp; Lists'!$D$20:$E$20</xm:f>
          </x14:formula1>
          <xm:sqref>AF6</xm:sqref>
        </x14:dataValidation>
        <x14:dataValidation type="list" allowBlank="1" showInputMessage="1" showErrorMessage="1" xr:uid="{C2A0A58E-ED53-4AC2-89DF-251ED9702AD3}">
          <x14:formula1>
            <xm:f>'Assumptions &amp; Lists'!$D$22:$I$22</xm:f>
          </x14:formula1>
          <xm:sqref>AF7</xm:sqref>
        </x14:dataValidation>
        <x14:dataValidation type="list" allowBlank="1" showInputMessage="1" showErrorMessage="1" xr:uid="{07B3283D-1065-4C85-B9B0-DB9329CDA4F9}">
          <x14:formula1>
            <xm:f>'Assumptions &amp; Lists'!$D$24:$E$24</xm:f>
          </x14:formula1>
          <xm:sqref>K3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5AE60-42BD-465B-A6BF-69DDE29892D0}">
  <sheetPr codeName="Sheet1"/>
  <dimension ref="B1:K20"/>
  <sheetViews>
    <sheetView workbookViewId="0">
      <selection activeCell="C28" sqref="C28"/>
    </sheetView>
  </sheetViews>
  <sheetFormatPr defaultRowHeight="15" x14ac:dyDescent="0.25"/>
  <cols>
    <col min="2" max="2" width="22.7109375" bestFit="1" customWidth="1"/>
    <col min="3" max="3" width="24.5703125" bestFit="1" customWidth="1"/>
    <col min="10" max="10" width="16.7109375" bestFit="1" customWidth="1"/>
  </cols>
  <sheetData>
    <row r="1" spans="2:11" x14ac:dyDescent="0.25">
      <c r="F1" t="s">
        <v>116</v>
      </c>
    </row>
    <row r="3" spans="2:11" x14ac:dyDescent="0.25">
      <c r="F3" t="s">
        <v>75</v>
      </c>
      <c r="G3" t="s">
        <v>5</v>
      </c>
      <c r="H3" t="s">
        <v>7</v>
      </c>
      <c r="I3" t="s">
        <v>111</v>
      </c>
      <c r="J3" t="s">
        <v>115</v>
      </c>
      <c r="K3" t="s">
        <v>17</v>
      </c>
    </row>
    <row r="4" spans="2:11" x14ac:dyDescent="0.25">
      <c r="B4" s="223" t="s">
        <v>103</v>
      </c>
      <c r="C4" s="224">
        <v>100</v>
      </c>
      <c r="F4">
        <v>50</v>
      </c>
      <c r="G4" cm="1">
        <f t="array" ref="G4">BinTree($F4,$C$5,$C$6,$C$7,$C$8,$C$9,$C$10,G$3,"European",0)</f>
        <v>47.635782110802694</v>
      </c>
      <c r="H4" cm="1">
        <f t="array" ref="H4">BinTree($F4,$C$5,$C$6,$C$7,$C$8,$C$9,$C$10,H$3,"European",0)</f>
        <v>8.1242502120208226E-2</v>
      </c>
      <c r="I4">
        <f>F4*$D$13+G4-H4</f>
        <v>96.271294089119948</v>
      </c>
      <c r="J4">
        <f>$D$12</f>
        <v>96.271294089119948</v>
      </c>
      <c r="K4">
        <f>I4-J4</f>
        <v>0</v>
      </c>
    </row>
    <row r="5" spans="2:11" x14ac:dyDescent="0.25">
      <c r="B5" s="225" t="s">
        <v>0</v>
      </c>
      <c r="C5" s="226">
        <f>100</f>
        <v>100</v>
      </c>
      <c r="F5">
        <v>60</v>
      </c>
      <c r="G5" cm="1">
        <f t="array" ref="G5">BinTree($F5,$C$5,$C$6,$C$7,$C$8,$C$9,$C$10,G$3,"European",0)</f>
        <v>38.257870170069737</v>
      </c>
      <c r="H5" cm="1">
        <f t="array" ref="H5">BinTree($F5,$C$5,$C$6,$C$7,$C$8,$C$9,$C$10,H$3,"European",0)</f>
        <v>0.44668145747474819</v>
      </c>
      <c r="I5">
        <f t="shared" ref="I5:I14" si="0">F5*$D$13+G5-H5</f>
        <v>96.271294089119948</v>
      </c>
      <c r="J5">
        <f t="shared" ref="J5:J14" si="1">$D$12</f>
        <v>96.271294089119948</v>
      </c>
      <c r="K5">
        <f t="shared" ref="K5:K14" si="2">I5-J5</f>
        <v>0</v>
      </c>
    </row>
    <row r="6" spans="2:11" x14ac:dyDescent="0.25">
      <c r="B6" s="225" t="s">
        <v>104</v>
      </c>
      <c r="C6" s="226">
        <v>1</v>
      </c>
      <c r="F6">
        <v>70</v>
      </c>
      <c r="G6" cm="1">
        <f t="array" ref="G6">BinTree($F6,$C$5,$C$6,$C$7,$C$8,$C$9,$C$10,G$3,"European",0)</f>
        <v>29.569569477926152</v>
      </c>
      <c r="H6" cm="1">
        <f t="array" ref="H6">BinTree($F6,$C$5,$C$6,$C$7,$C$8,$C$9,$C$10,H$3,"European",0)</f>
        <v>1.5017316614186491</v>
      </c>
      <c r="I6">
        <f t="shared" si="0"/>
        <v>96.271294089119962</v>
      </c>
      <c r="J6">
        <f t="shared" si="1"/>
        <v>96.271294089119948</v>
      </c>
      <c r="K6">
        <f t="shared" si="2"/>
        <v>0</v>
      </c>
    </row>
    <row r="7" spans="2:11" x14ac:dyDescent="0.25">
      <c r="B7" s="225" t="s">
        <v>105</v>
      </c>
      <c r="C7" s="227">
        <v>3.7999999999999999E-2</v>
      </c>
      <c r="F7">
        <v>80</v>
      </c>
      <c r="G7" cm="1">
        <f t="array" ref="G7">BinTree($F7,$C$5,$C$6,$C$7,$C$8,$C$9,$C$10,G$3,"European",0)</f>
        <v>21.99028430534846</v>
      </c>
      <c r="H7" cm="1">
        <f t="array" ref="H7">BinTree($F7,$C$5,$C$6,$C$7,$C$8,$C$9,$C$10,H$3,"European",0)</f>
        <v>3.6657973849284531</v>
      </c>
      <c r="I7">
        <f t="shared" si="0"/>
        <v>96.271294089119948</v>
      </c>
      <c r="J7">
        <f t="shared" si="1"/>
        <v>96.271294089119948</v>
      </c>
      <c r="K7">
        <f t="shared" si="2"/>
        <v>0</v>
      </c>
    </row>
    <row r="8" spans="2:11" x14ac:dyDescent="0.25">
      <c r="B8" s="225" t="s">
        <v>106</v>
      </c>
      <c r="C8" s="227">
        <v>2.5999999999999999E-2</v>
      </c>
      <c r="F8">
        <v>90</v>
      </c>
      <c r="G8" cm="1">
        <f t="array" ref="G8">BinTree($F8,$C$5,$C$6,$C$7,$C$8,$C$9,$C$10,G$3,"European",0)</f>
        <v>15.780342239799538</v>
      </c>
      <c r="H8" cm="1">
        <f t="array" ref="H8">BinTree($F8,$C$5,$C$6,$C$7,$C$8,$C$9,$C$10,H$3,"European",0)</f>
        <v>7.1992062154670222</v>
      </c>
      <c r="I8">
        <f t="shared" si="0"/>
        <v>96.271294089119948</v>
      </c>
      <c r="J8">
        <f t="shared" si="1"/>
        <v>96.271294089119948</v>
      </c>
      <c r="K8">
        <f t="shared" si="2"/>
        <v>0</v>
      </c>
    </row>
    <row r="9" spans="2:11" x14ac:dyDescent="0.25">
      <c r="B9" s="225" t="s">
        <v>107</v>
      </c>
      <c r="C9" s="228">
        <v>0.3</v>
      </c>
      <c r="F9">
        <v>100</v>
      </c>
      <c r="G9" cm="1">
        <f t="array" ref="G9">BinTree($F9,$C$5,$C$6,$C$7,$C$8,$C$9,$C$10,G$3,"European",0)</f>
        <v>10.976294068002517</v>
      </c>
      <c r="H9" cm="1">
        <f t="array" ref="H9">BinTree($F9,$C$5,$C$6,$C$7,$C$8,$C$9,$C$10,H$3,"European",0)</f>
        <v>12.138508939757507</v>
      </c>
      <c r="I9">
        <f t="shared" si="0"/>
        <v>96.271294089119948</v>
      </c>
      <c r="J9">
        <f t="shared" si="1"/>
        <v>96.271294089119948</v>
      </c>
      <c r="K9">
        <f t="shared" si="2"/>
        <v>0</v>
      </c>
    </row>
    <row r="10" spans="2:11" x14ac:dyDescent="0.25">
      <c r="B10" s="229" t="s">
        <v>108</v>
      </c>
      <c r="C10" s="230">
        <v>10</v>
      </c>
      <c r="F10">
        <v>110</v>
      </c>
      <c r="G10" cm="1">
        <f t="array" ref="G10">BinTree($F10,$C$5,$C$6,$C$7,$C$8,$C$9,$C$10,G$3,"European",0)</f>
        <v>7.4374626419781009</v>
      </c>
      <c r="H10" cm="1">
        <f t="array" ref="H10">BinTree($F10,$C$5,$C$6,$C$7,$C$8,$C$9,$C$10,H$3,"European",0)</f>
        <v>18.34302840982059</v>
      </c>
      <c r="I10">
        <f t="shared" si="0"/>
        <v>96.271294089119948</v>
      </c>
      <c r="J10">
        <f t="shared" si="1"/>
        <v>96.271294089119948</v>
      </c>
      <c r="K10">
        <f t="shared" si="2"/>
        <v>0</v>
      </c>
    </row>
    <row r="11" spans="2:11" x14ac:dyDescent="0.25">
      <c r="F11">
        <v>120</v>
      </c>
      <c r="G11" cm="1">
        <f t="array" ref="G11">BinTree($F11,$C$5,$C$6,$C$7,$C$8,$C$9,$C$10,G$3,"European",0)</f>
        <v>4.9331562819364905</v>
      </c>
      <c r="H11" cm="1">
        <f t="array" ref="H11">BinTree($F11,$C$5,$C$6,$C$7,$C$8,$C$9,$C$10,H$3,"European",0)</f>
        <v>25.582072945866486</v>
      </c>
      <c r="I11">
        <f t="shared" si="0"/>
        <v>96.271294089119934</v>
      </c>
      <c r="J11">
        <f t="shared" si="1"/>
        <v>96.271294089119948</v>
      </c>
      <c r="K11">
        <f t="shared" si="2"/>
        <v>0</v>
      </c>
    </row>
    <row r="12" spans="2:11" x14ac:dyDescent="0.25">
      <c r="B12" s="231"/>
      <c r="C12" s="232" t="s">
        <v>109</v>
      </c>
      <c r="D12">
        <f>C5*EXP(-(C7)*C6)</f>
        <v>96.271294089119948</v>
      </c>
      <c r="F12">
        <v>130</v>
      </c>
      <c r="G12" cm="1">
        <f t="array" ref="G12">BinTree($F12,$C$5,$C$6,$C$7,$C$8,$C$9,$C$10,G$3,"European",0)</f>
        <v>3.2169356372243207</v>
      </c>
      <c r="H12" cm="1">
        <f t="array" ref="H12">BinTree($F12,$C$5,$C$6,$C$7,$C$8,$C$9,$C$10,H$3,"European",0)</f>
        <v>33.609203197241797</v>
      </c>
      <c r="I12">
        <f t="shared" si="0"/>
        <v>96.271294089119934</v>
      </c>
      <c r="J12">
        <f t="shared" si="1"/>
        <v>96.271294089119948</v>
      </c>
      <c r="K12">
        <f t="shared" si="2"/>
        <v>0</v>
      </c>
    </row>
    <row r="13" spans="2:11" x14ac:dyDescent="0.25">
      <c r="C13" t="s">
        <v>117</v>
      </c>
      <c r="D13">
        <f>EXP(-$C$8*C6)</f>
        <v>0.97433508960874937</v>
      </c>
      <c r="F13">
        <v>140</v>
      </c>
      <c r="G13" cm="1">
        <f t="array" ref="G13">BinTree($F13,$C$5,$C$6,$C$7,$C$8,$C$9,$C$10,G$3,"European",0)</f>
        <v>2.0701581970746137</v>
      </c>
      <c r="H13" cm="1">
        <f t="array" ref="H13">BinTree($F13,$C$5,$C$6,$C$7,$C$8,$C$9,$C$10,H$3,"European",0)</f>
        <v>42.205776653179555</v>
      </c>
      <c r="I13">
        <f t="shared" si="0"/>
        <v>96.271294089119976</v>
      </c>
      <c r="J13">
        <f t="shared" si="1"/>
        <v>96.271294089119948</v>
      </c>
      <c r="K13">
        <f t="shared" si="2"/>
        <v>0</v>
      </c>
    </row>
    <row r="14" spans="2:11" ht="15.75" x14ac:dyDescent="0.25">
      <c r="B14" s="233" t="s">
        <v>110</v>
      </c>
      <c r="F14">
        <v>150</v>
      </c>
      <c r="G14" cm="1">
        <f t="array" ref="G14">BinTree($F14,$C$5,$C$6,$C$7,$C$8,$C$9,$C$10,G$3,"European",0)</f>
        <v>1.3187970101844826</v>
      </c>
      <c r="H14" cm="1">
        <f t="array" ref="H14">BinTree($F14,$C$5,$C$6,$C$7,$C$8,$C$9,$C$10,H$3,"European",0)</f>
        <v>51.197766362376939</v>
      </c>
      <c r="I14">
        <f t="shared" si="0"/>
        <v>96.271294089119948</v>
      </c>
      <c r="J14">
        <f t="shared" si="1"/>
        <v>96.271294089119948</v>
      </c>
      <c r="K14">
        <f t="shared" si="2"/>
        <v>0</v>
      </c>
    </row>
    <row r="15" spans="2:11" x14ac:dyDescent="0.25">
      <c r="K15">
        <f>SUM(K4:K14)</f>
        <v>0</v>
      </c>
    </row>
    <row r="16" spans="2:11" x14ac:dyDescent="0.25">
      <c r="B16" s="271" t="s">
        <v>111</v>
      </c>
      <c r="C16" s="272"/>
    </row>
    <row r="17" spans="2:3" x14ac:dyDescent="0.25">
      <c r="B17" s="234" t="s">
        <v>112</v>
      </c>
      <c r="C17" s="235" t="s">
        <v>113</v>
      </c>
    </row>
    <row r="18" spans="2:3" x14ac:dyDescent="0.25">
      <c r="B18" s="236" t="s">
        <v>7</v>
      </c>
      <c r="C18" s="237" t="s">
        <v>39</v>
      </c>
    </row>
    <row r="19" spans="2:3" x14ac:dyDescent="0.25">
      <c r="B19" s="238" t="s">
        <v>114</v>
      </c>
      <c r="C19" s="239" t="s">
        <v>40</v>
      </c>
    </row>
    <row r="20" spans="2:3" x14ac:dyDescent="0.25">
      <c r="B20" s="240" t="s">
        <v>5</v>
      </c>
      <c r="C20" s="241" t="s">
        <v>40</v>
      </c>
    </row>
  </sheetData>
  <mergeCells count="1">
    <mergeCell ref="B16:C16"/>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1B9D99-0AE8-4D41-897C-3AE1B5651E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28</vt:i4>
      </vt:variant>
    </vt:vector>
  </HeadingPairs>
  <TitlesOfParts>
    <vt:vector size="34" baseType="lpstr">
      <vt:lpstr>Assumptions &amp; Lists</vt:lpstr>
      <vt:lpstr>Risk Free &amp; Inflation</vt:lpstr>
      <vt:lpstr>Data</vt:lpstr>
      <vt:lpstr>Advanced</vt:lpstr>
      <vt:lpstr>Trader</vt:lpstr>
      <vt:lpstr>PCPar</vt:lpstr>
      <vt:lpstr>BreakEvenStrategy</vt:lpstr>
      <vt:lpstr>contract_plot</vt:lpstr>
      <vt:lpstr>contract_range</vt:lpstr>
      <vt:lpstr>COPY_TimeSpreadBool</vt:lpstr>
      <vt:lpstr>DataInput</vt:lpstr>
      <vt:lpstr>days_yr</vt:lpstr>
      <vt:lpstr>GreeksTF</vt:lpstr>
      <vt:lpstr>HideContractAnalysis</vt:lpstr>
      <vt:lpstr>HiDelta</vt:lpstr>
      <vt:lpstr>HideStratAnalysis</vt:lpstr>
      <vt:lpstr>index_new</vt:lpstr>
      <vt:lpstr>inflation</vt:lpstr>
      <vt:lpstr>LowDelta</vt:lpstr>
      <vt:lpstr>Maturity</vt:lpstr>
      <vt:lpstr>MaxLoss</vt:lpstr>
      <vt:lpstr>MaxProfit</vt:lpstr>
      <vt:lpstr>n</vt:lpstr>
      <vt:lpstr>number_value</vt:lpstr>
      <vt:lpstr>paste_indicate</vt:lpstr>
      <vt:lpstr>PlotGreek</vt:lpstr>
      <vt:lpstr>print</vt:lpstr>
      <vt:lpstr>risk_free</vt:lpstr>
      <vt:lpstr>SearchEffective</vt:lpstr>
      <vt:lpstr>strategy</vt:lpstr>
      <vt:lpstr>StratSearch</vt:lpstr>
      <vt:lpstr>T_1</vt:lpstr>
      <vt:lpstr>T_2</vt:lpstr>
      <vt:lpstr>TimeSpreadBool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Wessel van den Brink</dc:creator>
  <cp:lastModifiedBy>Wessel van den Brink</cp:lastModifiedBy>
  <dcterms:created xsi:type="dcterms:W3CDTF">2021-11-22T15:39:50Z</dcterms:created>
  <dcterms:modified xsi:type="dcterms:W3CDTF">2023-01-20T11:23:27Z</dcterms:modified>
</cp:coreProperties>
</file>